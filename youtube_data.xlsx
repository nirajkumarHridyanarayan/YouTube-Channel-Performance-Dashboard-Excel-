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OneDrive\Desktop\Data Analyst Project\Excel Project\Excel Project\YouTube Analysis Dashboard\"/>
    </mc:Choice>
  </mc:AlternateContent>
  <bookViews>
    <workbookView xWindow="0" yWindow="0" windowWidth="19200" windowHeight="6930" activeTab="3"/>
  </bookViews>
  <sheets>
    <sheet name="CategoryMap" sheetId="2" r:id="rId1"/>
    <sheet name="youtube_data" sheetId="1" r:id="rId2"/>
    <sheet name="Pivot Tables" sheetId="3" r:id="rId3"/>
    <sheet name="Dashboard" sheetId="4" r:id="rId4"/>
  </sheets>
  <definedNames>
    <definedName name="_xlnm._FilterDatabase" localSheetId="1" hidden="1">youtube_data!$A$1:$T$585</definedName>
    <definedName name="Slicer_category_name">#N/A</definedName>
    <definedName name="Slicer_video_type">#N/A</definedName>
    <definedName name="Slicer_Year_Month">#N/A</definedName>
  </definedNames>
  <calcPr calcId="162913"/>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S590" i="1" l="1"/>
  <c r="S587" i="1"/>
  <c r="K587" i="1"/>
  <c r="R11" i="1" l="1"/>
  <c r="Q587" i="1"/>
  <c r="P587" i="1"/>
  <c r="O587" i="1"/>
  <c r="A587" i="1"/>
  <c r="H57" i="1"/>
  <c r="H73" i="1"/>
  <c r="H89" i="1"/>
  <c r="H137" i="1"/>
  <c r="H169" i="1"/>
  <c r="H249" i="1"/>
  <c r="H253" i="1"/>
  <c r="H313" i="1"/>
  <c r="H329" i="1"/>
  <c r="H345" i="1"/>
  <c r="H393" i="1"/>
  <c r="H425" i="1"/>
  <c r="H505" i="1"/>
  <c r="H509" i="1"/>
  <c r="H570" i="1"/>
  <c r="H581" i="1"/>
  <c r="G41" i="1"/>
  <c r="G42" i="1"/>
  <c r="G50" i="1"/>
  <c r="G100" i="1"/>
  <c r="G101" i="1"/>
  <c r="G120" i="1"/>
  <c r="G124" i="1"/>
  <c r="G136" i="1"/>
  <c r="G144" i="1"/>
  <c r="G160" i="1"/>
  <c r="G164" i="1"/>
  <c r="G165" i="1"/>
  <c r="G184" i="1"/>
  <c r="G188" i="1"/>
  <c r="G200" i="1"/>
  <c r="G208" i="1"/>
  <c r="G224" i="1"/>
  <c r="G228" i="1"/>
  <c r="G229" i="1"/>
  <c r="G248" i="1"/>
  <c r="G252" i="1"/>
  <c r="G264" i="1"/>
  <c r="G272" i="1"/>
  <c r="G288" i="1"/>
  <c r="G292" i="1"/>
  <c r="G293" i="1"/>
  <c r="G312" i="1"/>
  <c r="G316" i="1"/>
  <c r="G328" i="1"/>
  <c r="G336" i="1"/>
  <c r="G352" i="1"/>
  <c r="G356" i="1"/>
  <c r="G357" i="1"/>
  <c r="G376" i="1"/>
  <c r="G380" i="1"/>
  <c r="G392" i="1"/>
  <c r="G400" i="1"/>
  <c r="G416" i="1"/>
  <c r="G420" i="1"/>
  <c r="G421" i="1"/>
  <c r="G440" i="1"/>
  <c r="G444" i="1"/>
  <c r="G456" i="1"/>
  <c r="G464" i="1"/>
  <c r="G480" i="1"/>
  <c r="G484" i="1"/>
  <c r="G485" i="1"/>
  <c r="G504" i="1"/>
  <c r="G508" i="1"/>
  <c r="G520" i="1"/>
  <c r="G528" i="1"/>
  <c r="G544" i="1"/>
  <c r="G546" i="1"/>
  <c r="G560" i="1"/>
  <c r="G562" i="1"/>
  <c r="G576" i="1"/>
  <c r="G578" i="1"/>
  <c r="E3" i="1"/>
  <c r="E4" i="1"/>
  <c r="E5" i="1"/>
  <c r="E6" i="1"/>
  <c r="E7" i="1"/>
  <c r="E8" i="1"/>
  <c r="E9" i="1"/>
  <c r="F9" i="1" s="1"/>
  <c r="E10" i="1"/>
  <c r="E11" i="1"/>
  <c r="E12" i="1"/>
  <c r="E13" i="1"/>
  <c r="E14" i="1"/>
  <c r="E15" i="1"/>
  <c r="E16" i="1"/>
  <c r="E17" i="1"/>
  <c r="E18" i="1"/>
  <c r="E19" i="1"/>
  <c r="E20" i="1"/>
  <c r="E21" i="1"/>
  <c r="G21" i="1" s="1"/>
  <c r="E22" i="1"/>
  <c r="E23" i="1"/>
  <c r="E24" i="1"/>
  <c r="E25" i="1"/>
  <c r="E26" i="1"/>
  <c r="E27" i="1"/>
  <c r="E28" i="1"/>
  <c r="E29" i="1"/>
  <c r="F29" i="1" s="1"/>
  <c r="E30" i="1"/>
  <c r="E31" i="1"/>
  <c r="E32" i="1"/>
  <c r="E33" i="1"/>
  <c r="E34" i="1"/>
  <c r="E35" i="1"/>
  <c r="E36" i="1"/>
  <c r="E37" i="1"/>
  <c r="E38" i="1"/>
  <c r="E39" i="1"/>
  <c r="E40" i="1"/>
  <c r="E41" i="1"/>
  <c r="F41" i="1" s="1"/>
  <c r="E42" i="1"/>
  <c r="E43" i="1"/>
  <c r="E44" i="1"/>
  <c r="E45" i="1"/>
  <c r="E46" i="1"/>
  <c r="E47" i="1"/>
  <c r="E48" i="1"/>
  <c r="E49" i="1"/>
  <c r="E50" i="1"/>
  <c r="E51" i="1"/>
  <c r="E52" i="1"/>
  <c r="E53" i="1"/>
  <c r="E54" i="1"/>
  <c r="E55" i="1"/>
  <c r="E56" i="1"/>
  <c r="E57" i="1"/>
  <c r="E58" i="1"/>
  <c r="E59" i="1"/>
  <c r="E60" i="1"/>
  <c r="E61" i="1"/>
  <c r="F61" i="1" s="1"/>
  <c r="E62" i="1"/>
  <c r="E63" i="1"/>
  <c r="E64" i="1"/>
  <c r="E65" i="1"/>
  <c r="E66" i="1"/>
  <c r="E67" i="1"/>
  <c r="E68" i="1"/>
  <c r="E69" i="1"/>
  <c r="E70" i="1"/>
  <c r="E71" i="1"/>
  <c r="E72" i="1"/>
  <c r="E73" i="1"/>
  <c r="F73" i="1" s="1"/>
  <c r="E74" i="1"/>
  <c r="E75" i="1"/>
  <c r="E76" i="1"/>
  <c r="E77" i="1"/>
  <c r="E78" i="1"/>
  <c r="E79" i="1"/>
  <c r="E80" i="1"/>
  <c r="E81" i="1"/>
  <c r="E82" i="1"/>
  <c r="E83" i="1"/>
  <c r="E84" i="1"/>
  <c r="E85" i="1"/>
  <c r="G85" i="1" s="1"/>
  <c r="E86" i="1"/>
  <c r="E87" i="1"/>
  <c r="E88" i="1"/>
  <c r="E89" i="1"/>
  <c r="E90" i="1"/>
  <c r="E91" i="1"/>
  <c r="E92" i="1"/>
  <c r="E93" i="1"/>
  <c r="F93" i="1" s="1"/>
  <c r="E94" i="1"/>
  <c r="E95" i="1"/>
  <c r="E96" i="1"/>
  <c r="E97" i="1"/>
  <c r="E98" i="1"/>
  <c r="E99" i="1"/>
  <c r="E100" i="1"/>
  <c r="E101" i="1"/>
  <c r="E102" i="1"/>
  <c r="E103" i="1"/>
  <c r="E104" i="1"/>
  <c r="E105" i="1"/>
  <c r="E106" i="1"/>
  <c r="E107" i="1"/>
  <c r="E108" i="1"/>
  <c r="E109" i="1"/>
  <c r="G109" i="1" s="1"/>
  <c r="E110" i="1"/>
  <c r="E111" i="1"/>
  <c r="E112" i="1"/>
  <c r="G112" i="1" s="1"/>
  <c r="E113" i="1"/>
  <c r="E114" i="1"/>
  <c r="E115" i="1"/>
  <c r="E116" i="1"/>
  <c r="E117" i="1"/>
  <c r="G117" i="1" s="1"/>
  <c r="E118" i="1"/>
  <c r="E119" i="1"/>
  <c r="E120" i="1"/>
  <c r="E121" i="1"/>
  <c r="E122" i="1"/>
  <c r="E123" i="1"/>
  <c r="E124" i="1"/>
  <c r="E125" i="1"/>
  <c r="F125" i="1" s="1"/>
  <c r="E126" i="1"/>
  <c r="E127" i="1"/>
  <c r="E128" i="1"/>
  <c r="E129" i="1"/>
  <c r="E130" i="1"/>
  <c r="E131" i="1"/>
  <c r="E132" i="1"/>
  <c r="E133" i="1"/>
  <c r="G133" i="1" s="1"/>
  <c r="E134" i="1"/>
  <c r="E135" i="1"/>
  <c r="E136" i="1"/>
  <c r="E137" i="1"/>
  <c r="E138" i="1"/>
  <c r="E139" i="1"/>
  <c r="E140" i="1"/>
  <c r="E141" i="1"/>
  <c r="G141" i="1" s="1"/>
  <c r="E142" i="1"/>
  <c r="E143" i="1"/>
  <c r="E144" i="1"/>
  <c r="E145" i="1"/>
  <c r="E146" i="1"/>
  <c r="E147" i="1"/>
  <c r="E148" i="1"/>
  <c r="E149" i="1"/>
  <c r="E150" i="1"/>
  <c r="E151" i="1"/>
  <c r="E152" i="1"/>
  <c r="G152" i="1" s="1"/>
  <c r="E153" i="1"/>
  <c r="H153" i="1" s="1"/>
  <c r="E154" i="1"/>
  <c r="E155" i="1"/>
  <c r="E156" i="1"/>
  <c r="E157" i="1"/>
  <c r="F157" i="1" s="1"/>
  <c r="E158" i="1"/>
  <c r="E159" i="1"/>
  <c r="E160" i="1"/>
  <c r="E161" i="1"/>
  <c r="E162" i="1"/>
  <c r="E163" i="1"/>
  <c r="E164" i="1"/>
  <c r="E165" i="1"/>
  <c r="E166" i="1"/>
  <c r="E167" i="1"/>
  <c r="E168" i="1"/>
  <c r="E169" i="1"/>
  <c r="E170" i="1"/>
  <c r="E171" i="1"/>
  <c r="E172" i="1"/>
  <c r="E173" i="1"/>
  <c r="E174" i="1"/>
  <c r="E175" i="1"/>
  <c r="E176" i="1"/>
  <c r="G176" i="1" s="1"/>
  <c r="E177" i="1"/>
  <c r="E178" i="1"/>
  <c r="E179" i="1"/>
  <c r="E180" i="1"/>
  <c r="E181" i="1"/>
  <c r="G181" i="1" s="1"/>
  <c r="E182" i="1"/>
  <c r="E183" i="1"/>
  <c r="E184" i="1"/>
  <c r="E185" i="1"/>
  <c r="E186" i="1"/>
  <c r="E187" i="1"/>
  <c r="E188" i="1"/>
  <c r="E189" i="1"/>
  <c r="F189" i="1" s="1"/>
  <c r="E190" i="1"/>
  <c r="E191" i="1"/>
  <c r="E192" i="1"/>
  <c r="E193" i="1"/>
  <c r="E194" i="1"/>
  <c r="E195" i="1"/>
  <c r="E196" i="1"/>
  <c r="E197" i="1"/>
  <c r="G197" i="1" s="1"/>
  <c r="E198" i="1"/>
  <c r="E199" i="1"/>
  <c r="E200" i="1"/>
  <c r="E201" i="1"/>
  <c r="E202" i="1"/>
  <c r="E203" i="1"/>
  <c r="E204" i="1"/>
  <c r="E205" i="1"/>
  <c r="G205" i="1" s="1"/>
  <c r="E206" i="1"/>
  <c r="E207" i="1"/>
  <c r="E208" i="1"/>
  <c r="E209" i="1"/>
  <c r="E210" i="1"/>
  <c r="E211" i="1"/>
  <c r="E212" i="1"/>
  <c r="E213" i="1"/>
  <c r="E214" i="1"/>
  <c r="E215" i="1"/>
  <c r="E216" i="1"/>
  <c r="G216" i="1" s="1"/>
  <c r="E217" i="1"/>
  <c r="H217" i="1" s="1"/>
  <c r="E218" i="1"/>
  <c r="E219" i="1"/>
  <c r="E220" i="1"/>
  <c r="E221" i="1"/>
  <c r="F221" i="1" s="1"/>
  <c r="E222" i="1"/>
  <c r="E223" i="1"/>
  <c r="E224" i="1"/>
  <c r="E225" i="1"/>
  <c r="E226" i="1"/>
  <c r="E227" i="1"/>
  <c r="E228" i="1"/>
  <c r="E229" i="1"/>
  <c r="E230" i="1"/>
  <c r="E231" i="1"/>
  <c r="E232" i="1"/>
  <c r="E233" i="1"/>
  <c r="H233" i="1" s="1"/>
  <c r="E234" i="1"/>
  <c r="E235" i="1"/>
  <c r="E236" i="1"/>
  <c r="E237" i="1"/>
  <c r="E238" i="1"/>
  <c r="E239" i="1"/>
  <c r="E240" i="1"/>
  <c r="G240" i="1" s="1"/>
  <c r="E241" i="1"/>
  <c r="E242" i="1"/>
  <c r="E243" i="1"/>
  <c r="E244" i="1"/>
  <c r="E245" i="1"/>
  <c r="G245" i="1" s="1"/>
  <c r="E246" i="1"/>
  <c r="E247" i="1"/>
  <c r="E248" i="1"/>
  <c r="E249" i="1"/>
  <c r="E250" i="1"/>
  <c r="E251" i="1"/>
  <c r="E252" i="1"/>
  <c r="E253" i="1"/>
  <c r="F253" i="1" s="1"/>
  <c r="E254" i="1"/>
  <c r="E255" i="1"/>
  <c r="E256" i="1"/>
  <c r="E257" i="1"/>
  <c r="E258" i="1"/>
  <c r="E259" i="1"/>
  <c r="E260" i="1"/>
  <c r="E261" i="1"/>
  <c r="E262" i="1"/>
  <c r="E263" i="1"/>
  <c r="E264" i="1"/>
  <c r="E265" i="1"/>
  <c r="E266" i="1"/>
  <c r="E267" i="1"/>
  <c r="E268" i="1"/>
  <c r="E269" i="1"/>
  <c r="G269" i="1" s="1"/>
  <c r="E270" i="1"/>
  <c r="E271" i="1"/>
  <c r="E272" i="1"/>
  <c r="E273" i="1"/>
  <c r="E274" i="1"/>
  <c r="E275" i="1"/>
  <c r="E276" i="1"/>
  <c r="E277" i="1"/>
  <c r="E278" i="1"/>
  <c r="E279" i="1"/>
  <c r="E280" i="1"/>
  <c r="G280" i="1" s="1"/>
  <c r="E281" i="1"/>
  <c r="E282" i="1"/>
  <c r="E283" i="1"/>
  <c r="E284" i="1"/>
  <c r="E285" i="1"/>
  <c r="F285" i="1" s="1"/>
  <c r="E286" i="1"/>
  <c r="E287" i="1"/>
  <c r="E288" i="1"/>
  <c r="E289" i="1"/>
  <c r="E290" i="1"/>
  <c r="E291" i="1"/>
  <c r="E292" i="1"/>
  <c r="E293" i="1"/>
  <c r="E294" i="1"/>
  <c r="E295" i="1"/>
  <c r="E296" i="1"/>
  <c r="E297" i="1"/>
  <c r="H297" i="1" s="1"/>
  <c r="E298" i="1"/>
  <c r="E299" i="1"/>
  <c r="E300" i="1"/>
  <c r="E301" i="1"/>
  <c r="E302" i="1"/>
  <c r="E303" i="1"/>
  <c r="E304" i="1"/>
  <c r="G304" i="1" s="1"/>
  <c r="E305" i="1"/>
  <c r="E306" i="1"/>
  <c r="E307" i="1"/>
  <c r="E308" i="1"/>
  <c r="E309" i="1"/>
  <c r="G309" i="1" s="1"/>
  <c r="E310" i="1"/>
  <c r="E311" i="1"/>
  <c r="E312" i="1"/>
  <c r="E313" i="1"/>
  <c r="E314" i="1"/>
  <c r="E315" i="1"/>
  <c r="E316" i="1"/>
  <c r="E317" i="1"/>
  <c r="F317" i="1" s="1"/>
  <c r="E318" i="1"/>
  <c r="E319" i="1"/>
  <c r="E320" i="1"/>
  <c r="E321" i="1"/>
  <c r="E322" i="1"/>
  <c r="E323" i="1"/>
  <c r="E324" i="1"/>
  <c r="E325" i="1"/>
  <c r="E326" i="1"/>
  <c r="E327" i="1"/>
  <c r="E328" i="1"/>
  <c r="E329" i="1"/>
  <c r="E330" i="1"/>
  <c r="E331" i="1"/>
  <c r="E332" i="1"/>
  <c r="E333" i="1"/>
  <c r="G333" i="1" s="1"/>
  <c r="E334" i="1"/>
  <c r="E335" i="1"/>
  <c r="E336" i="1"/>
  <c r="E337" i="1"/>
  <c r="E338" i="1"/>
  <c r="E339" i="1"/>
  <c r="E340" i="1"/>
  <c r="E341" i="1"/>
  <c r="E342" i="1"/>
  <c r="E343" i="1"/>
  <c r="E344" i="1"/>
  <c r="G344" i="1" s="1"/>
  <c r="E345" i="1"/>
  <c r="E346" i="1"/>
  <c r="E347" i="1"/>
  <c r="E348" i="1"/>
  <c r="E349" i="1"/>
  <c r="F349" i="1" s="1"/>
  <c r="E350" i="1"/>
  <c r="E351" i="1"/>
  <c r="E352" i="1"/>
  <c r="E353" i="1"/>
  <c r="E354" i="1"/>
  <c r="E355" i="1"/>
  <c r="E356" i="1"/>
  <c r="E357" i="1"/>
  <c r="E358" i="1"/>
  <c r="E359" i="1"/>
  <c r="E360" i="1"/>
  <c r="E361" i="1"/>
  <c r="E362" i="1"/>
  <c r="E363" i="1"/>
  <c r="E364" i="1"/>
  <c r="E365" i="1"/>
  <c r="G365" i="1" s="1"/>
  <c r="E366" i="1"/>
  <c r="E367" i="1"/>
  <c r="E368" i="1"/>
  <c r="G368" i="1" s="1"/>
  <c r="E369" i="1"/>
  <c r="E370" i="1"/>
  <c r="E371" i="1"/>
  <c r="E372" i="1"/>
  <c r="E373" i="1"/>
  <c r="G373" i="1" s="1"/>
  <c r="E374" i="1"/>
  <c r="E375" i="1"/>
  <c r="E376" i="1"/>
  <c r="E377" i="1"/>
  <c r="E378" i="1"/>
  <c r="E379" i="1"/>
  <c r="E380" i="1"/>
  <c r="E381" i="1"/>
  <c r="F381" i="1" s="1"/>
  <c r="E382" i="1"/>
  <c r="E383" i="1"/>
  <c r="E384" i="1"/>
  <c r="E385" i="1"/>
  <c r="E386" i="1"/>
  <c r="E387" i="1"/>
  <c r="E388" i="1"/>
  <c r="E389" i="1"/>
  <c r="G389" i="1" s="1"/>
  <c r="E390" i="1"/>
  <c r="E391" i="1"/>
  <c r="E392" i="1"/>
  <c r="E393" i="1"/>
  <c r="E394" i="1"/>
  <c r="E395" i="1"/>
  <c r="E396" i="1"/>
  <c r="E397" i="1"/>
  <c r="G397" i="1" s="1"/>
  <c r="E398" i="1"/>
  <c r="E399" i="1"/>
  <c r="E400" i="1"/>
  <c r="E401" i="1"/>
  <c r="E402" i="1"/>
  <c r="E403" i="1"/>
  <c r="E404" i="1"/>
  <c r="E405" i="1"/>
  <c r="E406" i="1"/>
  <c r="E407" i="1"/>
  <c r="E408" i="1"/>
  <c r="G408" i="1" s="1"/>
  <c r="E409" i="1"/>
  <c r="H409" i="1" s="1"/>
  <c r="E410" i="1"/>
  <c r="E411" i="1"/>
  <c r="E412" i="1"/>
  <c r="E413" i="1"/>
  <c r="F413" i="1" s="1"/>
  <c r="E414" i="1"/>
  <c r="E415" i="1"/>
  <c r="E416" i="1"/>
  <c r="E417" i="1"/>
  <c r="E418" i="1"/>
  <c r="E419" i="1"/>
  <c r="E420" i="1"/>
  <c r="E421" i="1"/>
  <c r="E422" i="1"/>
  <c r="E423" i="1"/>
  <c r="E424" i="1"/>
  <c r="E425" i="1"/>
  <c r="E426" i="1"/>
  <c r="E427" i="1"/>
  <c r="E428" i="1"/>
  <c r="E429" i="1"/>
  <c r="E430" i="1"/>
  <c r="E431" i="1"/>
  <c r="E432" i="1"/>
  <c r="G432" i="1" s="1"/>
  <c r="E433" i="1"/>
  <c r="E434" i="1"/>
  <c r="E435" i="1"/>
  <c r="E436" i="1"/>
  <c r="E437" i="1"/>
  <c r="G437" i="1" s="1"/>
  <c r="E438" i="1"/>
  <c r="E439" i="1"/>
  <c r="E440" i="1"/>
  <c r="E441" i="1"/>
  <c r="E442" i="1"/>
  <c r="E443" i="1"/>
  <c r="E444" i="1"/>
  <c r="E445" i="1"/>
  <c r="F445" i="1" s="1"/>
  <c r="E446" i="1"/>
  <c r="E447" i="1"/>
  <c r="E448" i="1"/>
  <c r="E449" i="1"/>
  <c r="E450" i="1"/>
  <c r="E451" i="1"/>
  <c r="E452" i="1"/>
  <c r="E453" i="1"/>
  <c r="E454" i="1"/>
  <c r="E455" i="1"/>
  <c r="E456" i="1"/>
  <c r="E457" i="1"/>
  <c r="E458" i="1"/>
  <c r="E459" i="1"/>
  <c r="E460" i="1"/>
  <c r="E461" i="1"/>
  <c r="G461" i="1" s="1"/>
  <c r="E462" i="1"/>
  <c r="E463" i="1"/>
  <c r="E464" i="1"/>
  <c r="E465" i="1"/>
  <c r="E466" i="1"/>
  <c r="E467" i="1"/>
  <c r="E468" i="1"/>
  <c r="E469" i="1"/>
  <c r="E470" i="1"/>
  <c r="E471" i="1"/>
  <c r="E472" i="1"/>
  <c r="G472" i="1" s="1"/>
  <c r="E473" i="1"/>
  <c r="H473" i="1" s="1"/>
  <c r="E474" i="1"/>
  <c r="E475" i="1"/>
  <c r="E476" i="1"/>
  <c r="E477" i="1"/>
  <c r="F477" i="1" s="1"/>
  <c r="E478" i="1"/>
  <c r="E479" i="1"/>
  <c r="E480" i="1"/>
  <c r="E481" i="1"/>
  <c r="E482" i="1"/>
  <c r="E483" i="1"/>
  <c r="E484" i="1"/>
  <c r="E485" i="1"/>
  <c r="E486" i="1"/>
  <c r="E487" i="1"/>
  <c r="E488" i="1"/>
  <c r="E489" i="1"/>
  <c r="H489" i="1" s="1"/>
  <c r="E490" i="1"/>
  <c r="E491" i="1"/>
  <c r="E492" i="1"/>
  <c r="E493" i="1"/>
  <c r="E494" i="1"/>
  <c r="E495" i="1"/>
  <c r="E496" i="1"/>
  <c r="G496" i="1" s="1"/>
  <c r="E497" i="1"/>
  <c r="E498" i="1"/>
  <c r="E499" i="1"/>
  <c r="E500" i="1"/>
  <c r="E501" i="1"/>
  <c r="G501" i="1" s="1"/>
  <c r="E502" i="1"/>
  <c r="E503" i="1"/>
  <c r="E504" i="1"/>
  <c r="E505" i="1"/>
  <c r="E506" i="1"/>
  <c r="E507" i="1"/>
  <c r="E508" i="1"/>
  <c r="E509" i="1"/>
  <c r="F509" i="1" s="1"/>
  <c r="E510" i="1"/>
  <c r="E511" i="1"/>
  <c r="E512" i="1"/>
  <c r="E513" i="1"/>
  <c r="E514" i="1"/>
  <c r="E515" i="1"/>
  <c r="E516" i="1"/>
  <c r="E517" i="1"/>
  <c r="G517" i="1" s="1"/>
  <c r="E518" i="1"/>
  <c r="E519" i="1"/>
  <c r="E520" i="1"/>
  <c r="E521" i="1"/>
  <c r="E522" i="1"/>
  <c r="E523" i="1"/>
  <c r="E524" i="1"/>
  <c r="E525" i="1"/>
  <c r="E526" i="1"/>
  <c r="E527" i="1"/>
  <c r="E528" i="1"/>
  <c r="E529" i="1"/>
  <c r="E530" i="1"/>
  <c r="E531" i="1"/>
  <c r="E532" i="1"/>
  <c r="E533" i="1"/>
  <c r="E534" i="1"/>
  <c r="E535" i="1"/>
  <c r="E536" i="1"/>
  <c r="G536" i="1" s="1"/>
  <c r="E537" i="1"/>
  <c r="E538" i="1"/>
  <c r="E539" i="1"/>
  <c r="E540" i="1"/>
  <c r="E541" i="1"/>
  <c r="F541" i="1" s="1"/>
  <c r="E542" i="1"/>
  <c r="E543" i="1"/>
  <c r="E544" i="1"/>
  <c r="E545" i="1"/>
  <c r="E546" i="1"/>
  <c r="E547" i="1"/>
  <c r="E548" i="1"/>
  <c r="E549" i="1"/>
  <c r="F549" i="1" s="1"/>
  <c r="E550" i="1"/>
  <c r="E551" i="1"/>
  <c r="E552" i="1"/>
  <c r="G552" i="1" s="1"/>
  <c r="E553" i="1"/>
  <c r="E554" i="1"/>
  <c r="E555" i="1"/>
  <c r="E556" i="1"/>
  <c r="E557" i="1"/>
  <c r="G557" i="1" s="1"/>
  <c r="E558" i="1"/>
  <c r="E559" i="1"/>
  <c r="E560" i="1"/>
  <c r="E561" i="1"/>
  <c r="H561" i="1" s="1"/>
  <c r="E562" i="1"/>
  <c r="F562" i="1" s="1"/>
  <c r="E563" i="1"/>
  <c r="E564" i="1"/>
  <c r="E565" i="1"/>
  <c r="E566" i="1"/>
  <c r="E567" i="1"/>
  <c r="E568" i="1"/>
  <c r="G568" i="1" s="1"/>
  <c r="E569" i="1"/>
  <c r="E570" i="1"/>
  <c r="F570" i="1" s="1"/>
  <c r="E571" i="1"/>
  <c r="E572" i="1"/>
  <c r="E573" i="1"/>
  <c r="G573" i="1" s="1"/>
  <c r="E574" i="1"/>
  <c r="E575" i="1"/>
  <c r="E576" i="1"/>
  <c r="E577" i="1"/>
  <c r="E578" i="1"/>
  <c r="E579" i="1"/>
  <c r="E580" i="1"/>
  <c r="E581" i="1"/>
  <c r="F581" i="1" s="1"/>
  <c r="E582" i="1"/>
  <c r="E583" i="1"/>
  <c r="E584" i="1"/>
  <c r="G584" i="1" s="1"/>
  <c r="E585" i="1"/>
  <c r="E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2" i="1"/>
  <c r="F580" i="1" l="1"/>
  <c r="H580" i="1"/>
  <c r="F572" i="1"/>
  <c r="H572" i="1"/>
  <c r="F564" i="1"/>
  <c r="H564" i="1"/>
  <c r="F556" i="1"/>
  <c r="H556" i="1"/>
  <c r="F548" i="1"/>
  <c r="H548" i="1"/>
  <c r="F540" i="1"/>
  <c r="H540" i="1"/>
  <c r="F532" i="1"/>
  <c r="H532" i="1"/>
  <c r="F524" i="1"/>
  <c r="H524" i="1"/>
  <c r="F516" i="1"/>
  <c r="H516" i="1"/>
  <c r="F508" i="1"/>
  <c r="H508" i="1"/>
  <c r="F500" i="1"/>
  <c r="H500" i="1"/>
  <c r="F492" i="1"/>
  <c r="H492" i="1"/>
  <c r="F484" i="1"/>
  <c r="H484" i="1"/>
  <c r="F476" i="1"/>
  <c r="H476" i="1"/>
  <c r="F468" i="1"/>
  <c r="H468" i="1"/>
  <c r="F460" i="1"/>
  <c r="H460" i="1"/>
  <c r="F452" i="1"/>
  <c r="H452" i="1"/>
  <c r="F444" i="1"/>
  <c r="H444" i="1"/>
  <c r="F436" i="1"/>
  <c r="H436" i="1"/>
  <c r="F428" i="1"/>
  <c r="H428" i="1"/>
  <c r="F420" i="1"/>
  <c r="H420" i="1"/>
  <c r="F412" i="1"/>
  <c r="H412" i="1"/>
  <c r="F404" i="1"/>
  <c r="H404" i="1"/>
  <c r="F396" i="1"/>
  <c r="H396" i="1"/>
  <c r="F388" i="1"/>
  <c r="H388" i="1"/>
  <c r="F380" i="1"/>
  <c r="H380" i="1"/>
  <c r="F372" i="1"/>
  <c r="H372" i="1"/>
  <c r="F364" i="1"/>
  <c r="H364" i="1"/>
  <c r="F356" i="1"/>
  <c r="H356" i="1"/>
  <c r="F348" i="1"/>
  <c r="H348" i="1"/>
  <c r="F340" i="1"/>
  <c r="H340" i="1"/>
  <c r="F332" i="1"/>
  <c r="H332" i="1"/>
  <c r="F324" i="1"/>
  <c r="H324" i="1"/>
  <c r="F316" i="1"/>
  <c r="H316" i="1"/>
  <c r="F308" i="1"/>
  <c r="H308" i="1"/>
  <c r="F300" i="1"/>
  <c r="H300" i="1"/>
  <c r="F292" i="1"/>
  <c r="H292" i="1"/>
  <c r="F284" i="1"/>
  <c r="H284" i="1"/>
  <c r="F276" i="1"/>
  <c r="H276" i="1"/>
  <c r="F268" i="1"/>
  <c r="H268" i="1"/>
  <c r="F260" i="1"/>
  <c r="H260" i="1"/>
  <c r="F252" i="1"/>
  <c r="H252" i="1"/>
  <c r="F244" i="1"/>
  <c r="H244" i="1"/>
  <c r="F236" i="1"/>
  <c r="H236" i="1"/>
  <c r="F228" i="1"/>
  <c r="H228" i="1"/>
  <c r="F220" i="1"/>
  <c r="H220" i="1"/>
  <c r="F212" i="1"/>
  <c r="H212" i="1"/>
  <c r="F204" i="1"/>
  <c r="H204" i="1"/>
  <c r="F196" i="1"/>
  <c r="H196" i="1"/>
  <c r="F188" i="1"/>
  <c r="H188" i="1"/>
  <c r="F180" i="1"/>
  <c r="H180" i="1"/>
  <c r="F172" i="1"/>
  <c r="H172" i="1"/>
  <c r="F164" i="1"/>
  <c r="H164" i="1"/>
  <c r="F156" i="1"/>
  <c r="H156" i="1"/>
  <c r="F148" i="1"/>
  <c r="H148" i="1"/>
  <c r="F140" i="1"/>
  <c r="H140" i="1"/>
  <c r="F132" i="1"/>
  <c r="H132" i="1"/>
  <c r="F124" i="1"/>
  <c r="H124" i="1"/>
  <c r="F116" i="1"/>
  <c r="H116" i="1"/>
  <c r="F108" i="1"/>
  <c r="H108" i="1"/>
  <c r="F100" i="1"/>
  <c r="H100" i="1"/>
  <c r="F92" i="1"/>
  <c r="H92" i="1"/>
  <c r="G92" i="1"/>
  <c r="F84" i="1"/>
  <c r="H84" i="1"/>
  <c r="G84" i="1"/>
  <c r="F76" i="1"/>
  <c r="H76" i="1"/>
  <c r="G76" i="1"/>
  <c r="F68" i="1"/>
  <c r="H68" i="1"/>
  <c r="G68" i="1"/>
  <c r="F60" i="1"/>
  <c r="H60" i="1"/>
  <c r="G60" i="1"/>
  <c r="F52" i="1"/>
  <c r="H52" i="1"/>
  <c r="G52" i="1"/>
  <c r="F44" i="1"/>
  <c r="H44" i="1"/>
  <c r="G44" i="1"/>
  <c r="F36" i="1"/>
  <c r="H36" i="1"/>
  <c r="G36" i="1"/>
  <c r="F28" i="1"/>
  <c r="H28" i="1"/>
  <c r="G28" i="1"/>
  <c r="F20" i="1"/>
  <c r="H20" i="1"/>
  <c r="G20" i="1"/>
  <c r="F12" i="1"/>
  <c r="H12" i="1"/>
  <c r="G12" i="1"/>
  <c r="F4" i="1"/>
  <c r="H4" i="1"/>
  <c r="G4" i="1"/>
  <c r="G541" i="1"/>
  <c r="G524" i="1"/>
  <c r="G460" i="1"/>
  <c r="G396" i="1"/>
  <c r="G332" i="1"/>
  <c r="G268" i="1"/>
  <c r="G204" i="1"/>
  <c r="G140" i="1"/>
  <c r="G93" i="1"/>
  <c r="H562" i="1"/>
  <c r="H317" i="1"/>
  <c r="H61" i="1"/>
  <c r="F566" i="1"/>
  <c r="H566" i="1"/>
  <c r="G566" i="1"/>
  <c r="F526" i="1"/>
  <c r="H526" i="1"/>
  <c r="G526" i="1"/>
  <c r="F486" i="1"/>
  <c r="H486" i="1"/>
  <c r="G486" i="1"/>
  <c r="F446" i="1"/>
  <c r="H446" i="1"/>
  <c r="G446" i="1"/>
  <c r="F406" i="1"/>
  <c r="H406" i="1"/>
  <c r="G406" i="1"/>
  <c r="F366" i="1"/>
  <c r="H366" i="1"/>
  <c r="G366" i="1"/>
  <c r="F326" i="1"/>
  <c r="H326" i="1"/>
  <c r="G326" i="1"/>
  <c r="F286" i="1"/>
  <c r="H286" i="1"/>
  <c r="G286" i="1"/>
  <c r="F246" i="1"/>
  <c r="H246" i="1"/>
  <c r="G246" i="1"/>
  <c r="F222" i="1"/>
  <c r="H222" i="1"/>
  <c r="G222" i="1"/>
  <c r="F182" i="1"/>
  <c r="H182" i="1"/>
  <c r="G182" i="1"/>
  <c r="F142" i="1"/>
  <c r="H142" i="1"/>
  <c r="G142" i="1"/>
  <c r="F94" i="1"/>
  <c r="H94" i="1"/>
  <c r="G94" i="1"/>
  <c r="F54" i="1"/>
  <c r="H54" i="1"/>
  <c r="G54" i="1"/>
  <c r="F565" i="1"/>
  <c r="H565" i="1"/>
  <c r="F525" i="1"/>
  <c r="H525" i="1"/>
  <c r="F485" i="1"/>
  <c r="H485" i="1"/>
  <c r="F453" i="1"/>
  <c r="H453" i="1"/>
  <c r="F421" i="1"/>
  <c r="H421" i="1"/>
  <c r="F341" i="1"/>
  <c r="H341" i="1"/>
  <c r="F301" i="1"/>
  <c r="H301" i="1"/>
  <c r="F261" i="1"/>
  <c r="H261" i="1"/>
  <c r="F181" i="1"/>
  <c r="H181" i="1"/>
  <c r="F149" i="1"/>
  <c r="H149" i="1"/>
  <c r="F53" i="1"/>
  <c r="G53" i="1"/>
  <c r="H53" i="1"/>
  <c r="F37" i="1"/>
  <c r="H37" i="1"/>
  <c r="G37" i="1"/>
  <c r="F13" i="1"/>
  <c r="H13" i="1"/>
  <c r="G13" i="1"/>
  <c r="H413" i="1"/>
  <c r="F563" i="1"/>
  <c r="H563" i="1"/>
  <c r="G563" i="1"/>
  <c r="F523" i="1"/>
  <c r="H523" i="1"/>
  <c r="G523" i="1"/>
  <c r="F499" i="1"/>
  <c r="H499" i="1"/>
  <c r="G499" i="1"/>
  <c r="F459" i="1"/>
  <c r="H459" i="1"/>
  <c r="G459" i="1"/>
  <c r="F419" i="1"/>
  <c r="H419" i="1"/>
  <c r="G419" i="1"/>
  <c r="F387" i="1"/>
  <c r="H387" i="1"/>
  <c r="G387" i="1"/>
  <c r="F363" i="1"/>
  <c r="H363" i="1"/>
  <c r="G363" i="1"/>
  <c r="F355" i="1"/>
  <c r="H355" i="1"/>
  <c r="G355" i="1"/>
  <c r="F339" i="1"/>
  <c r="H339" i="1"/>
  <c r="G339" i="1"/>
  <c r="F331" i="1"/>
  <c r="H331" i="1"/>
  <c r="G331" i="1"/>
  <c r="F299" i="1"/>
  <c r="H299" i="1"/>
  <c r="G299" i="1"/>
  <c r="F291" i="1"/>
  <c r="H291" i="1"/>
  <c r="G291" i="1"/>
  <c r="F283" i="1"/>
  <c r="H283" i="1"/>
  <c r="G283" i="1"/>
  <c r="F275" i="1"/>
  <c r="H275" i="1"/>
  <c r="G275" i="1"/>
  <c r="F267" i="1"/>
  <c r="H267" i="1"/>
  <c r="G267" i="1"/>
  <c r="F259" i="1"/>
  <c r="H259" i="1"/>
  <c r="G259" i="1"/>
  <c r="F251" i="1"/>
  <c r="H251" i="1"/>
  <c r="G251" i="1"/>
  <c r="F243" i="1"/>
  <c r="H243" i="1"/>
  <c r="G243" i="1"/>
  <c r="F235" i="1"/>
  <c r="H235" i="1"/>
  <c r="G235" i="1"/>
  <c r="F227" i="1"/>
  <c r="H227" i="1"/>
  <c r="G227" i="1"/>
  <c r="F219" i="1"/>
  <c r="H219" i="1"/>
  <c r="G219" i="1"/>
  <c r="F211" i="1"/>
  <c r="H211" i="1"/>
  <c r="G211" i="1"/>
  <c r="F203" i="1"/>
  <c r="H203" i="1"/>
  <c r="G203" i="1"/>
  <c r="F195" i="1"/>
  <c r="H195" i="1"/>
  <c r="G195" i="1"/>
  <c r="F187" i="1"/>
  <c r="H187" i="1"/>
  <c r="G187" i="1"/>
  <c r="F179" i="1"/>
  <c r="H179" i="1"/>
  <c r="G179" i="1"/>
  <c r="F171" i="1"/>
  <c r="H171" i="1"/>
  <c r="G171" i="1"/>
  <c r="F163" i="1"/>
  <c r="H163" i="1"/>
  <c r="G163" i="1"/>
  <c r="F155" i="1"/>
  <c r="H155" i="1"/>
  <c r="G155" i="1"/>
  <c r="F147" i="1"/>
  <c r="H147" i="1"/>
  <c r="G147" i="1"/>
  <c r="F139" i="1"/>
  <c r="H139" i="1"/>
  <c r="G139" i="1"/>
  <c r="F131" i="1"/>
  <c r="H131" i="1"/>
  <c r="G131" i="1"/>
  <c r="F123" i="1"/>
  <c r="H123" i="1"/>
  <c r="G123" i="1"/>
  <c r="F115" i="1"/>
  <c r="H115" i="1"/>
  <c r="G115" i="1"/>
  <c r="F107" i="1"/>
  <c r="H107" i="1"/>
  <c r="G107" i="1"/>
  <c r="F99" i="1"/>
  <c r="H99" i="1"/>
  <c r="G99" i="1"/>
  <c r="F91" i="1"/>
  <c r="H91" i="1"/>
  <c r="G91" i="1"/>
  <c r="F83" i="1"/>
  <c r="H83" i="1"/>
  <c r="G83" i="1"/>
  <c r="F75" i="1"/>
  <c r="H75" i="1"/>
  <c r="G75" i="1"/>
  <c r="F67" i="1"/>
  <c r="H67" i="1"/>
  <c r="G67" i="1"/>
  <c r="F59" i="1"/>
  <c r="H59" i="1"/>
  <c r="G59" i="1"/>
  <c r="F51" i="1"/>
  <c r="H51" i="1"/>
  <c r="G51" i="1"/>
  <c r="F43" i="1"/>
  <c r="H43" i="1"/>
  <c r="G43" i="1"/>
  <c r="F35" i="1"/>
  <c r="H35" i="1"/>
  <c r="G35" i="1"/>
  <c r="F27" i="1"/>
  <c r="H27" i="1"/>
  <c r="G27" i="1"/>
  <c r="F19" i="1"/>
  <c r="H19" i="1"/>
  <c r="G19" i="1"/>
  <c r="F11" i="1"/>
  <c r="H11" i="1"/>
  <c r="G11" i="1"/>
  <c r="G572" i="1"/>
  <c r="G556" i="1"/>
  <c r="G540" i="1"/>
  <c r="G500" i="1"/>
  <c r="G477" i="1"/>
  <c r="G436" i="1"/>
  <c r="G413" i="1"/>
  <c r="G372" i="1"/>
  <c r="G349" i="1"/>
  <c r="G308" i="1"/>
  <c r="G285" i="1"/>
  <c r="G244" i="1"/>
  <c r="G221" i="1"/>
  <c r="G180" i="1"/>
  <c r="G157" i="1"/>
  <c r="G116" i="1"/>
  <c r="G29" i="1"/>
  <c r="H477" i="1"/>
  <c r="H221" i="1"/>
  <c r="F574" i="1"/>
  <c r="H574" i="1"/>
  <c r="G574" i="1"/>
  <c r="F534" i="1"/>
  <c r="H534" i="1"/>
  <c r="G534" i="1"/>
  <c r="F502" i="1"/>
  <c r="H502" i="1"/>
  <c r="G502" i="1"/>
  <c r="F462" i="1"/>
  <c r="H462" i="1"/>
  <c r="G462" i="1"/>
  <c r="F430" i="1"/>
  <c r="H430" i="1"/>
  <c r="G430" i="1"/>
  <c r="F382" i="1"/>
  <c r="H382" i="1"/>
  <c r="G382" i="1"/>
  <c r="F342" i="1"/>
  <c r="H342" i="1"/>
  <c r="G342" i="1"/>
  <c r="F302" i="1"/>
  <c r="H302" i="1"/>
  <c r="G302" i="1"/>
  <c r="F262" i="1"/>
  <c r="H262" i="1"/>
  <c r="G262" i="1"/>
  <c r="F214" i="1"/>
  <c r="H214" i="1"/>
  <c r="G214" i="1"/>
  <c r="F174" i="1"/>
  <c r="H174" i="1"/>
  <c r="G174" i="1"/>
  <c r="F134" i="1"/>
  <c r="H134" i="1"/>
  <c r="G134" i="1"/>
  <c r="F102" i="1"/>
  <c r="H102" i="1"/>
  <c r="G102" i="1"/>
  <c r="F70" i="1"/>
  <c r="H70" i="1"/>
  <c r="G70" i="1"/>
  <c r="F30" i="1"/>
  <c r="H30" i="1"/>
  <c r="G30" i="1"/>
  <c r="F573" i="1"/>
  <c r="H573" i="1"/>
  <c r="F533" i="1"/>
  <c r="H533" i="1"/>
  <c r="F493" i="1"/>
  <c r="H493" i="1"/>
  <c r="F405" i="1"/>
  <c r="H405" i="1"/>
  <c r="F357" i="1"/>
  <c r="H357" i="1"/>
  <c r="F325" i="1"/>
  <c r="H325" i="1"/>
  <c r="F293" i="1"/>
  <c r="H293" i="1"/>
  <c r="F213" i="1"/>
  <c r="H213" i="1"/>
  <c r="F117" i="1"/>
  <c r="H117" i="1"/>
  <c r="F85" i="1"/>
  <c r="H85" i="1"/>
  <c r="F579" i="1"/>
  <c r="H579" i="1"/>
  <c r="G579" i="1"/>
  <c r="F539" i="1"/>
  <c r="H539" i="1"/>
  <c r="G539" i="1"/>
  <c r="F491" i="1"/>
  <c r="H491" i="1"/>
  <c r="G491" i="1"/>
  <c r="F443" i="1"/>
  <c r="H443" i="1"/>
  <c r="G443" i="1"/>
  <c r="F347" i="1"/>
  <c r="H347" i="1"/>
  <c r="G347" i="1"/>
  <c r="F2" i="1"/>
  <c r="H2" i="1"/>
  <c r="F578" i="1"/>
  <c r="H578" i="1"/>
  <c r="F554" i="1"/>
  <c r="H554" i="1"/>
  <c r="F546" i="1"/>
  <c r="H546" i="1"/>
  <c r="F538" i="1"/>
  <c r="H538" i="1"/>
  <c r="F530" i="1"/>
  <c r="H530" i="1"/>
  <c r="G530" i="1"/>
  <c r="F522" i="1"/>
  <c r="H522" i="1"/>
  <c r="G522" i="1"/>
  <c r="F514" i="1"/>
  <c r="H514" i="1"/>
  <c r="G514" i="1"/>
  <c r="F506" i="1"/>
  <c r="H506" i="1"/>
  <c r="G506" i="1"/>
  <c r="F498" i="1"/>
  <c r="H498" i="1"/>
  <c r="G498" i="1"/>
  <c r="F490" i="1"/>
  <c r="H490" i="1"/>
  <c r="G490" i="1"/>
  <c r="F482" i="1"/>
  <c r="H482" i="1"/>
  <c r="G482" i="1"/>
  <c r="F474" i="1"/>
  <c r="H474" i="1"/>
  <c r="G474" i="1"/>
  <c r="F466" i="1"/>
  <c r="H466" i="1"/>
  <c r="G466" i="1"/>
  <c r="F458" i="1"/>
  <c r="H458" i="1"/>
  <c r="G458" i="1"/>
  <c r="F450" i="1"/>
  <c r="H450" i="1"/>
  <c r="G450" i="1"/>
  <c r="F442" i="1"/>
  <c r="H442" i="1"/>
  <c r="G442" i="1"/>
  <c r="F434" i="1"/>
  <c r="H434" i="1"/>
  <c r="G434" i="1"/>
  <c r="F426" i="1"/>
  <c r="H426" i="1"/>
  <c r="G426" i="1"/>
  <c r="F418" i="1"/>
  <c r="H418" i="1"/>
  <c r="G418" i="1"/>
  <c r="F410" i="1"/>
  <c r="H410" i="1"/>
  <c r="G410" i="1"/>
  <c r="F402" i="1"/>
  <c r="H402" i="1"/>
  <c r="G402" i="1"/>
  <c r="F394" i="1"/>
  <c r="H394" i="1"/>
  <c r="G394" i="1"/>
  <c r="F386" i="1"/>
  <c r="H386" i="1"/>
  <c r="G386" i="1"/>
  <c r="F378" i="1"/>
  <c r="H378" i="1"/>
  <c r="G378" i="1"/>
  <c r="F370" i="1"/>
  <c r="H370" i="1"/>
  <c r="G370" i="1"/>
  <c r="F362" i="1"/>
  <c r="H362" i="1"/>
  <c r="G362" i="1"/>
  <c r="F354" i="1"/>
  <c r="H354" i="1"/>
  <c r="G354" i="1"/>
  <c r="F346" i="1"/>
  <c r="H346" i="1"/>
  <c r="G346" i="1"/>
  <c r="F338" i="1"/>
  <c r="H338" i="1"/>
  <c r="G338" i="1"/>
  <c r="F330" i="1"/>
  <c r="H330" i="1"/>
  <c r="G330" i="1"/>
  <c r="F322" i="1"/>
  <c r="H322" i="1"/>
  <c r="G322" i="1"/>
  <c r="F314" i="1"/>
  <c r="H314" i="1"/>
  <c r="G314" i="1"/>
  <c r="F306" i="1"/>
  <c r="H306" i="1"/>
  <c r="G306" i="1"/>
  <c r="F298" i="1"/>
  <c r="H298" i="1"/>
  <c r="G298" i="1"/>
  <c r="F290" i="1"/>
  <c r="H290" i="1"/>
  <c r="G290" i="1"/>
  <c r="F282" i="1"/>
  <c r="H282" i="1"/>
  <c r="G282" i="1"/>
  <c r="F274" i="1"/>
  <c r="H274" i="1"/>
  <c r="G274" i="1"/>
  <c r="F266" i="1"/>
  <c r="H266" i="1"/>
  <c r="G266" i="1"/>
  <c r="F258" i="1"/>
  <c r="H258" i="1"/>
  <c r="G258" i="1"/>
  <c r="F250" i="1"/>
  <c r="H250" i="1"/>
  <c r="G250" i="1"/>
  <c r="F242" i="1"/>
  <c r="H242" i="1"/>
  <c r="G242" i="1"/>
  <c r="F234" i="1"/>
  <c r="H234" i="1"/>
  <c r="G234" i="1"/>
  <c r="F226" i="1"/>
  <c r="H226" i="1"/>
  <c r="G226" i="1"/>
  <c r="F218" i="1"/>
  <c r="H218" i="1"/>
  <c r="G218" i="1"/>
  <c r="F210" i="1"/>
  <c r="H210" i="1"/>
  <c r="G210" i="1"/>
  <c r="F202" i="1"/>
  <c r="H202" i="1"/>
  <c r="G202" i="1"/>
  <c r="F194" i="1"/>
  <c r="H194" i="1"/>
  <c r="G194" i="1"/>
  <c r="F186" i="1"/>
  <c r="H186" i="1"/>
  <c r="G186" i="1"/>
  <c r="F178" i="1"/>
  <c r="H178" i="1"/>
  <c r="G178" i="1"/>
  <c r="F170" i="1"/>
  <c r="H170" i="1"/>
  <c r="G170" i="1"/>
  <c r="F162" i="1"/>
  <c r="H162" i="1"/>
  <c r="G162" i="1"/>
  <c r="F154" i="1"/>
  <c r="H154" i="1"/>
  <c r="G154" i="1"/>
  <c r="F146" i="1"/>
  <c r="H146" i="1"/>
  <c r="G146" i="1"/>
  <c r="F138" i="1"/>
  <c r="H138" i="1"/>
  <c r="G138" i="1"/>
  <c r="F130" i="1"/>
  <c r="H130" i="1"/>
  <c r="G130" i="1"/>
  <c r="F122" i="1"/>
  <c r="H122" i="1"/>
  <c r="G122" i="1"/>
  <c r="F114" i="1"/>
  <c r="H114" i="1"/>
  <c r="G114" i="1"/>
  <c r="F106" i="1"/>
  <c r="H106" i="1"/>
  <c r="G106" i="1"/>
  <c r="F98" i="1"/>
  <c r="H98" i="1"/>
  <c r="G98" i="1"/>
  <c r="F90" i="1"/>
  <c r="H90" i="1"/>
  <c r="G90" i="1"/>
  <c r="F82" i="1"/>
  <c r="H82" i="1"/>
  <c r="F74" i="1"/>
  <c r="H74" i="1"/>
  <c r="G74" i="1"/>
  <c r="F66" i="1"/>
  <c r="H66" i="1"/>
  <c r="G66" i="1"/>
  <c r="F58" i="1"/>
  <c r="H58" i="1"/>
  <c r="G58" i="1"/>
  <c r="F50" i="1"/>
  <c r="H50" i="1"/>
  <c r="F42" i="1"/>
  <c r="H42" i="1"/>
  <c r="F34" i="1"/>
  <c r="H34" i="1"/>
  <c r="G34" i="1"/>
  <c r="F26" i="1"/>
  <c r="H26" i="1"/>
  <c r="G26" i="1"/>
  <c r="F18" i="1"/>
  <c r="H18" i="1"/>
  <c r="F10" i="1"/>
  <c r="H10" i="1"/>
  <c r="G10" i="1"/>
  <c r="G2" i="1"/>
  <c r="G570" i="1"/>
  <c r="G554" i="1"/>
  <c r="G538" i="1"/>
  <c r="G476" i="1"/>
  <c r="G453" i="1"/>
  <c r="G412" i="1"/>
  <c r="G348" i="1"/>
  <c r="G325" i="1"/>
  <c r="G284" i="1"/>
  <c r="G261" i="1"/>
  <c r="G220" i="1"/>
  <c r="G156" i="1"/>
  <c r="G82" i="1"/>
  <c r="H549" i="1"/>
  <c r="H381" i="1"/>
  <c r="H125" i="1"/>
  <c r="H41" i="1"/>
  <c r="F550" i="1"/>
  <c r="H550" i="1"/>
  <c r="G550" i="1"/>
  <c r="F510" i="1"/>
  <c r="H510" i="1"/>
  <c r="G510" i="1"/>
  <c r="F470" i="1"/>
  <c r="H470" i="1"/>
  <c r="G470" i="1"/>
  <c r="F422" i="1"/>
  <c r="H422" i="1"/>
  <c r="G422" i="1"/>
  <c r="F390" i="1"/>
  <c r="H390" i="1"/>
  <c r="G390" i="1"/>
  <c r="F358" i="1"/>
  <c r="H358" i="1"/>
  <c r="G358" i="1"/>
  <c r="F318" i="1"/>
  <c r="H318" i="1"/>
  <c r="G318" i="1"/>
  <c r="F270" i="1"/>
  <c r="H270" i="1"/>
  <c r="G270" i="1"/>
  <c r="F238" i="1"/>
  <c r="H238" i="1"/>
  <c r="G238" i="1"/>
  <c r="F198" i="1"/>
  <c r="H198" i="1"/>
  <c r="G198" i="1"/>
  <c r="F158" i="1"/>
  <c r="H158" i="1"/>
  <c r="G158" i="1"/>
  <c r="F118" i="1"/>
  <c r="H118" i="1"/>
  <c r="G118" i="1"/>
  <c r="F78" i="1"/>
  <c r="H78" i="1"/>
  <c r="G78" i="1"/>
  <c r="F46" i="1"/>
  <c r="H46" i="1"/>
  <c r="G46" i="1"/>
  <c r="F22" i="1"/>
  <c r="H22" i="1"/>
  <c r="G22" i="1"/>
  <c r="F14" i="1"/>
  <c r="H14" i="1"/>
  <c r="G14" i="1"/>
  <c r="F6" i="1"/>
  <c r="H6" i="1"/>
  <c r="G6" i="1"/>
  <c r="F469" i="1"/>
  <c r="H469" i="1"/>
  <c r="F429" i="1"/>
  <c r="H429" i="1"/>
  <c r="F389" i="1"/>
  <c r="H389" i="1"/>
  <c r="F309" i="1"/>
  <c r="H309" i="1"/>
  <c r="F277" i="1"/>
  <c r="H277" i="1"/>
  <c r="F237" i="1"/>
  <c r="H237" i="1"/>
  <c r="F205" i="1"/>
  <c r="H205" i="1"/>
  <c r="F173" i="1"/>
  <c r="H173" i="1"/>
  <c r="F133" i="1"/>
  <c r="H133" i="1"/>
  <c r="F101" i="1"/>
  <c r="H101" i="1"/>
  <c r="F77" i="1"/>
  <c r="H77" i="1"/>
  <c r="G77" i="1"/>
  <c r="F45" i="1"/>
  <c r="H45" i="1"/>
  <c r="G45" i="1"/>
  <c r="F21" i="1"/>
  <c r="H21" i="1"/>
  <c r="F5" i="1"/>
  <c r="H5" i="1"/>
  <c r="G5" i="1"/>
  <c r="H157" i="1"/>
  <c r="F571" i="1"/>
  <c r="H571" i="1"/>
  <c r="G571" i="1"/>
  <c r="F531" i="1"/>
  <c r="H531" i="1"/>
  <c r="G531" i="1"/>
  <c r="F483" i="1"/>
  <c r="H483" i="1"/>
  <c r="G483" i="1"/>
  <c r="F451" i="1"/>
  <c r="H451" i="1"/>
  <c r="G451" i="1"/>
  <c r="F411" i="1"/>
  <c r="H411" i="1"/>
  <c r="G411" i="1"/>
  <c r="F379" i="1"/>
  <c r="H379" i="1"/>
  <c r="G379" i="1"/>
  <c r="F307" i="1"/>
  <c r="H307" i="1"/>
  <c r="G307" i="1"/>
  <c r="F585" i="1"/>
  <c r="G585" i="1"/>
  <c r="F577" i="1"/>
  <c r="G577" i="1"/>
  <c r="H577" i="1"/>
  <c r="F569" i="1"/>
  <c r="H569" i="1"/>
  <c r="G569" i="1"/>
  <c r="F561" i="1"/>
  <c r="G561" i="1"/>
  <c r="F553" i="1"/>
  <c r="H553" i="1"/>
  <c r="G553" i="1"/>
  <c r="F545" i="1"/>
  <c r="G545" i="1"/>
  <c r="H545" i="1"/>
  <c r="F537" i="1"/>
  <c r="G537" i="1"/>
  <c r="F529" i="1"/>
  <c r="G529" i="1"/>
  <c r="H529" i="1"/>
  <c r="F521" i="1"/>
  <c r="G521" i="1"/>
  <c r="F513" i="1"/>
  <c r="G513" i="1"/>
  <c r="H513" i="1"/>
  <c r="F505" i="1"/>
  <c r="G505" i="1"/>
  <c r="F497" i="1"/>
  <c r="G497" i="1"/>
  <c r="H497" i="1"/>
  <c r="F489" i="1"/>
  <c r="G489" i="1"/>
  <c r="F481" i="1"/>
  <c r="G481" i="1"/>
  <c r="H481" i="1"/>
  <c r="F473" i="1"/>
  <c r="G473" i="1"/>
  <c r="F465" i="1"/>
  <c r="G465" i="1"/>
  <c r="H465" i="1"/>
  <c r="F457" i="1"/>
  <c r="G457" i="1"/>
  <c r="F449" i="1"/>
  <c r="G449" i="1"/>
  <c r="H449" i="1"/>
  <c r="F441" i="1"/>
  <c r="G441" i="1"/>
  <c r="F433" i="1"/>
  <c r="G433" i="1"/>
  <c r="H433" i="1"/>
  <c r="F425" i="1"/>
  <c r="G425" i="1"/>
  <c r="F417" i="1"/>
  <c r="G417" i="1"/>
  <c r="H417" i="1"/>
  <c r="F409" i="1"/>
  <c r="G409" i="1"/>
  <c r="F401" i="1"/>
  <c r="G401" i="1"/>
  <c r="H401" i="1"/>
  <c r="F393" i="1"/>
  <c r="G393" i="1"/>
  <c r="F385" i="1"/>
  <c r="G385" i="1"/>
  <c r="H385" i="1"/>
  <c r="F377" i="1"/>
  <c r="G377" i="1"/>
  <c r="F369" i="1"/>
  <c r="G369" i="1"/>
  <c r="H369" i="1"/>
  <c r="F361" i="1"/>
  <c r="G361" i="1"/>
  <c r="F353" i="1"/>
  <c r="G353" i="1"/>
  <c r="H353" i="1"/>
  <c r="F345" i="1"/>
  <c r="G345" i="1"/>
  <c r="F337" i="1"/>
  <c r="G337" i="1"/>
  <c r="H337" i="1"/>
  <c r="F329" i="1"/>
  <c r="G329" i="1"/>
  <c r="F321" i="1"/>
  <c r="G321" i="1"/>
  <c r="H321" i="1"/>
  <c r="F313" i="1"/>
  <c r="G313" i="1"/>
  <c r="F305" i="1"/>
  <c r="G305" i="1"/>
  <c r="H305" i="1"/>
  <c r="F297" i="1"/>
  <c r="G297" i="1"/>
  <c r="F289" i="1"/>
  <c r="G289" i="1"/>
  <c r="H289" i="1"/>
  <c r="F281" i="1"/>
  <c r="G281" i="1"/>
  <c r="F273" i="1"/>
  <c r="G273" i="1"/>
  <c r="H273" i="1"/>
  <c r="F265" i="1"/>
  <c r="G265" i="1"/>
  <c r="F257" i="1"/>
  <c r="G257" i="1"/>
  <c r="H257" i="1"/>
  <c r="F249" i="1"/>
  <c r="G249" i="1"/>
  <c r="F241" i="1"/>
  <c r="G241" i="1"/>
  <c r="H241" i="1"/>
  <c r="F233" i="1"/>
  <c r="G233" i="1"/>
  <c r="F225" i="1"/>
  <c r="G225" i="1"/>
  <c r="H225" i="1"/>
  <c r="F217" i="1"/>
  <c r="G217" i="1"/>
  <c r="F209" i="1"/>
  <c r="G209" i="1"/>
  <c r="H209" i="1"/>
  <c r="F201" i="1"/>
  <c r="G201" i="1"/>
  <c r="F193" i="1"/>
  <c r="G193" i="1"/>
  <c r="H193" i="1"/>
  <c r="F185" i="1"/>
  <c r="G185" i="1"/>
  <c r="F177" i="1"/>
  <c r="G177" i="1"/>
  <c r="H177" i="1"/>
  <c r="F169" i="1"/>
  <c r="G169" i="1"/>
  <c r="F161" i="1"/>
  <c r="G161" i="1"/>
  <c r="H161" i="1"/>
  <c r="F153" i="1"/>
  <c r="G153" i="1"/>
  <c r="F145" i="1"/>
  <c r="G145" i="1"/>
  <c r="H145" i="1"/>
  <c r="F137" i="1"/>
  <c r="G137" i="1"/>
  <c r="F129" i="1"/>
  <c r="G129" i="1"/>
  <c r="H129" i="1"/>
  <c r="F121" i="1"/>
  <c r="G121" i="1"/>
  <c r="F113" i="1"/>
  <c r="G113" i="1"/>
  <c r="H113" i="1"/>
  <c r="F105" i="1"/>
  <c r="G105" i="1"/>
  <c r="F97" i="1"/>
  <c r="G97" i="1"/>
  <c r="H97" i="1"/>
  <c r="F89" i="1"/>
  <c r="G89" i="1"/>
  <c r="F81" i="1"/>
  <c r="H81" i="1"/>
  <c r="G81" i="1"/>
  <c r="F65" i="1"/>
  <c r="H65" i="1"/>
  <c r="F57" i="1"/>
  <c r="G57" i="1"/>
  <c r="F49" i="1"/>
  <c r="G49" i="1"/>
  <c r="H49" i="1"/>
  <c r="F33" i="1"/>
  <c r="G33" i="1"/>
  <c r="H33" i="1"/>
  <c r="F25" i="1"/>
  <c r="G25" i="1"/>
  <c r="F17" i="1"/>
  <c r="H17" i="1"/>
  <c r="G17" i="1"/>
  <c r="G516" i="1"/>
  <c r="G493" i="1"/>
  <c r="G452" i="1"/>
  <c r="G429" i="1"/>
  <c r="G388" i="1"/>
  <c r="G324" i="1"/>
  <c r="G301" i="1"/>
  <c r="G260" i="1"/>
  <c r="G237" i="1"/>
  <c r="G196" i="1"/>
  <c r="G173" i="1"/>
  <c r="G132" i="1"/>
  <c r="G73" i="1"/>
  <c r="G18" i="1"/>
  <c r="H541" i="1"/>
  <c r="H457" i="1"/>
  <c r="H377" i="1"/>
  <c r="H285" i="1"/>
  <c r="H201" i="1"/>
  <c r="H121" i="1"/>
  <c r="H29" i="1"/>
  <c r="F582" i="1"/>
  <c r="H582" i="1"/>
  <c r="G582" i="1"/>
  <c r="F542" i="1"/>
  <c r="H542" i="1"/>
  <c r="G542" i="1"/>
  <c r="F494" i="1"/>
  <c r="H494" i="1"/>
  <c r="G494" i="1"/>
  <c r="F454" i="1"/>
  <c r="H454" i="1"/>
  <c r="G454" i="1"/>
  <c r="F414" i="1"/>
  <c r="H414" i="1"/>
  <c r="G414" i="1"/>
  <c r="F374" i="1"/>
  <c r="H374" i="1"/>
  <c r="G374" i="1"/>
  <c r="F334" i="1"/>
  <c r="H334" i="1"/>
  <c r="G334" i="1"/>
  <c r="F294" i="1"/>
  <c r="H294" i="1"/>
  <c r="G294" i="1"/>
  <c r="F254" i="1"/>
  <c r="H254" i="1"/>
  <c r="G254" i="1"/>
  <c r="F206" i="1"/>
  <c r="H206" i="1"/>
  <c r="G206" i="1"/>
  <c r="F166" i="1"/>
  <c r="H166" i="1"/>
  <c r="G166" i="1"/>
  <c r="F126" i="1"/>
  <c r="H126" i="1"/>
  <c r="G126" i="1"/>
  <c r="F86" i="1"/>
  <c r="H86" i="1"/>
  <c r="G86" i="1"/>
  <c r="F38" i="1"/>
  <c r="H38" i="1"/>
  <c r="G38" i="1"/>
  <c r="F501" i="1"/>
  <c r="H501" i="1"/>
  <c r="F461" i="1"/>
  <c r="H461" i="1"/>
  <c r="F373" i="1"/>
  <c r="H373" i="1"/>
  <c r="F269" i="1"/>
  <c r="H269" i="1"/>
  <c r="F229" i="1"/>
  <c r="H229" i="1"/>
  <c r="F547" i="1"/>
  <c r="H547" i="1"/>
  <c r="G547" i="1"/>
  <c r="F507" i="1"/>
  <c r="H507" i="1"/>
  <c r="G507" i="1"/>
  <c r="F467" i="1"/>
  <c r="H467" i="1"/>
  <c r="G467" i="1"/>
  <c r="F427" i="1"/>
  <c r="H427" i="1"/>
  <c r="G427" i="1"/>
  <c r="F395" i="1"/>
  <c r="H395" i="1"/>
  <c r="G395" i="1"/>
  <c r="F323" i="1"/>
  <c r="H323" i="1"/>
  <c r="G323" i="1"/>
  <c r="F584" i="1"/>
  <c r="H584" i="1"/>
  <c r="F576" i="1"/>
  <c r="H576" i="1"/>
  <c r="F568" i="1"/>
  <c r="H568" i="1"/>
  <c r="F560" i="1"/>
  <c r="H560" i="1"/>
  <c r="F552" i="1"/>
  <c r="H552" i="1"/>
  <c r="F544" i="1"/>
  <c r="H544" i="1"/>
  <c r="F536" i="1"/>
  <c r="H536" i="1"/>
  <c r="F528" i="1"/>
  <c r="H528" i="1"/>
  <c r="F520" i="1"/>
  <c r="H520" i="1"/>
  <c r="F512" i="1"/>
  <c r="H512" i="1"/>
  <c r="F504" i="1"/>
  <c r="H504" i="1"/>
  <c r="F496" i="1"/>
  <c r="H496" i="1"/>
  <c r="F488" i="1"/>
  <c r="H488" i="1"/>
  <c r="F480" i="1"/>
  <c r="H480" i="1"/>
  <c r="F472" i="1"/>
  <c r="H472" i="1"/>
  <c r="F464" i="1"/>
  <c r="H464" i="1"/>
  <c r="F456" i="1"/>
  <c r="H456" i="1"/>
  <c r="F448" i="1"/>
  <c r="H448" i="1"/>
  <c r="F440" i="1"/>
  <c r="H440" i="1"/>
  <c r="F432" i="1"/>
  <c r="H432" i="1"/>
  <c r="F424" i="1"/>
  <c r="H424" i="1"/>
  <c r="F416" i="1"/>
  <c r="H416" i="1"/>
  <c r="F408" i="1"/>
  <c r="H408" i="1"/>
  <c r="F400" i="1"/>
  <c r="H400" i="1"/>
  <c r="F392" i="1"/>
  <c r="H392" i="1"/>
  <c r="F384" i="1"/>
  <c r="H384" i="1"/>
  <c r="F376" i="1"/>
  <c r="H376" i="1"/>
  <c r="F368" i="1"/>
  <c r="H368" i="1"/>
  <c r="F360" i="1"/>
  <c r="H360" i="1"/>
  <c r="F352" i="1"/>
  <c r="H352" i="1"/>
  <c r="F344" i="1"/>
  <c r="H344" i="1"/>
  <c r="F336" i="1"/>
  <c r="H336" i="1"/>
  <c r="F328" i="1"/>
  <c r="H328" i="1"/>
  <c r="F320" i="1"/>
  <c r="H320" i="1"/>
  <c r="F312" i="1"/>
  <c r="H312" i="1"/>
  <c r="F304" i="1"/>
  <c r="H304" i="1"/>
  <c r="F296" i="1"/>
  <c r="H296" i="1"/>
  <c r="F288" i="1"/>
  <c r="H288" i="1"/>
  <c r="F280" i="1"/>
  <c r="H280" i="1"/>
  <c r="F272" i="1"/>
  <c r="H272" i="1"/>
  <c r="F264" i="1"/>
  <c r="H264" i="1"/>
  <c r="F256" i="1"/>
  <c r="H256" i="1"/>
  <c r="F248" i="1"/>
  <c r="H248" i="1"/>
  <c r="F240" i="1"/>
  <c r="H240" i="1"/>
  <c r="F232" i="1"/>
  <c r="H232" i="1"/>
  <c r="F224" i="1"/>
  <c r="H224" i="1"/>
  <c r="F216" i="1"/>
  <c r="H216" i="1"/>
  <c r="F208" i="1"/>
  <c r="H208" i="1"/>
  <c r="F200" i="1"/>
  <c r="H200" i="1"/>
  <c r="F192" i="1"/>
  <c r="H192" i="1"/>
  <c r="F184" i="1"/>
  <c r="H184" i="1"/>
  <c r="F176" i="1"/>
  <c r="H176" i="1"/>
  <c r="F168" i="1"/>
  <c r="H168" i="1"/>
  <c r="F160" i="1"/>
  <c r="H160" i="1"/>
  <c r="F152" i="1"/>
  <c r="H152" i="1"/>
  <c r="F144" i="1"/>
  <c r="H144" i="1"/>
  <c r="F136" i="1"/>
  <c r="H136" i="1"/>
  <c r="F128" i="1"/>
  <c r="H128" i="1"/>
  <c r="F120" i="1"/>
  <c r="H120" i="1"/>
  <c r="F112" i="1"/>
  <c r="H112" i="1"/>
  <c r="F104" i="1"/>
  <c r="H104" i="1"/>
  <c r="F96" i="1"/>
  <c r="H96" i="1"/>
  <c r="G96" i="1"/>
  <c r="F88" i="1"/>
  <c r="H88" i="1"/>
  <c r="G88" i="1"/>
  <c r="F80" i="1"/>
  <c r="H80" i="1"/>
  <c r="G80" i="1"/>
  <c r="F72" i="1"/>
  <c r="H72" i="1"/>
  <c r="G72" i="1"/>
  <c r="F64" i="1"/>
  <c r="H64" i="1"/>
  <c r="G64" i="1"/>
  <c r="F56" i="1"/>
  <c r="H56" i="1"/>
  <c r="G56" i="1"/>
  <c r="F48" i="1"/>
  <c r="H48" i="1"/>
  <c r="G48" i="1"/>
  <c r="F40" i="1"/>
  <c r="H40" i="1"/>
  <c r="G40" i="1"/>
  <c r="F32" i="1"/>
  <c r="H32" i="1"/>
  <c r="G32" i="1"/>
  <c r="F24" i="1"/>
  <c r="H24" i="1"/>
  <c r="G24" i="1"/>
  <c r="F16" i="1"/>
  <c r="H16" i="1"/>
  <c r="G16" i="1"/>
  <c r="F8" i="1"/>
  <c r="H8" i="1"/>
  <c r="G8" i="1"/>
  <c r="G581" i="1"/>
  <c r="G565" i="1"/>
  <c r="G549" i="1"/>
  <c r="G533" i="1"/>
  <c r="G512" i="1"/>
  <c r="G492" i="1"/>
  <c r="G469" i="1"/>
  <c r="G448" i="1"/>
  <c r="G428" i="1"/>
  <c r="G405" i="1"/>
  <c r="G384" i="1"/>
  <c r="G364" i="1"/>
  <c r="G341" i="1"/>
  <c r="G320" i="1"/>
  <c r="G300" i="1"/>
  <c r="G277" i="1"/>
  <c r="G256" i="1"/>
  <c r="G236" i="1"/>
  <c r="G213" i="1"/>
  <c r="G192" i="1"/>
  <c r="G172" i="1"/>
  <c r="G149" i="1"/>
  <c r="G128" i="1"/>
  <c r="G108" i="1"/>
  <c r="G65" i="1"/>
  <c r="G9" i="1"/>
  <c r="H537" i="1"/>
  <c r="H445" i="1"/>
  <c r="H361" i="1"/>
  <c r="H281" i="1"/>
  <c r="H189" i="1"/>
  <c r="H105" i="1"/>
  <c r="H25" i="1"/>
  <c r="F558" i="1"/>
  <c r="H558" i="1"/>
  <c r="G558" i="1"/>
  <c r="F518" i="1"/>
  <c r="H518" i="1"/>
  <c r="G518" i="1"/>
  <c r="F478" i="1"/>
  <c r="H478" i="1"/>
  <c r="G478" i="1"/>
  <c r="F438" i="1"/>
  <c r="H438" i="1"/>
  <c r="G438" i="1"/>
  <c r="F398" i="1"/>
  <c r="H398" i="1"/>
  <c r="G398" i="1"/>
  <c r="F350" i="1"/>
  <c r="H350" i="1"/>
  <c r="G350" i="1"/>
  <c r="F310" i="1"/>
  <c r="H310" i="1"/>
  <c r="G310" i="1"/>
  <c r="F278" i="1"/>
  <c r="H278" i="1"/>
  <c r="G278" i="1"/>
  <c r="F230" i="1"/>
  <c r="H230" i="1"/>
  <c r="G230" i="1"/>
  <c r="F190" i="1"/>
  <c r="H190" i="1"/>
  <c r="G190" i="1"/>
  <c r="F150" i="1"/>
  <c r="H150" i="1"/>
  <c r="G150" i="1"/>
  <c r="F110" i="1"/>
  <c r="H110" i="1"/>
  <c r="G110" i="1"/>
  <c r="F62" i="1"/>
  <c r="H62" i="1"/>
  <c r="G62" i="1"/>
  <c r="F557" i="1"/>
  <c r="H557" i="1"/>
  <c r="F517" i="1"/>
  <c r="H517" i="1"/>
  <c r="F437" i="1"/>
  <c r="H437" i="1"/>
  <c r="F397" i="1"/>
  <c r="H397" i="1"/>
  <c r="F365" i="1"/>
  <c r="H365" i="1"/>
  <c r="F333" i="1"/>
  <c r="H333" i="1"/>
  <c r="F245" i="1"/>
  <c r="H245" i="1"/>
  <c r="F197" i="1"/>
  <c r="H197" i="1"/>
  <c r="F165" i="1"/>
  <c r="H165" i="1"/>
  <c r="F141" i="1"/>
  <c r="H141" i="1"/>
  <c r="F109" i="1"/>
  <c r="H109" i="1"/>
  <c r="F69" i="1"/>
  <c r="H69" i="1"/>
  <c r="G69" i="1"/>
  <c r="G525" i="1"/>
  <c r="F555" i="1"/>
  <c r="H555" i="1"/>
  <c r="G555" i="1"/>
  <c r="F515" i="1"/>
  <c r="H515" i="1"/>
  <c r="G515" i="1"/>
  <c r="F475" i="1"/>
  <c r="H475" i="1"/>
  <c r="G475" i="1"/>
  <c r="F435" i="1"/>
  <c r="H435" i="1"/>
  <c r="G435" i="1"/>
  <c r="F403" i="1"/>
  <c r="H403" i="1"/>
  <c r="G403" i="1"/>
  <c r="F371" i="1"/>
  <c r="H371" i="1"/>
  <c r="G371" i="1"/>
  <c r="F315" i="1"/>
  <c r="H315" i="1"/>
  <c r="G315" i="1"/>
  <c r="F583" i="1"/>
  <c r="H583" i="1"/>
  <c r="G583" i="1"/>
  <c r="F575" i="1"/>
  <c r="H575" i="1"/>
  <c r="G575" i="1"/>
  <c r="F567" i="1"/>
  <c r="H567" i="1"/>
  <c r="G567" i="1"/>
  <c r="F559" i="1"/>
  <c r="H559" i="1"/>
  <c r="G559" i="1"/>
  <c r="F551" i="1"/>
  <c r="H551" i="1"/>
  <c r="G551" i="1"/>
  <c r="F543" i="1"/>
  <c r="H543" i="1"/>
  <c r="G543" i="1"/>
  <c r="F535" i="1"/>
  <c r="H535" i="1"/>
  <c r="G535" i="1"/>
  <c r="F527" i="1"/>
  <c r="H527" i="1"/>
  <c r="G527" i="1"/>
  <c r="F519" i="1"/>
  <c r="H519" i="1"/>
  <c r="G519" i="1"/>
  <c r="F511" i="1"/>
  <c r="H511" i="1"/>
  <c r="G511" i="1"/>
  <c r="F503" i="1"/>
  <c r="H503" i="1"/>
  <c r="G503" i="1"/>
  <c r="F495" i="1"/>
  <c r="H495" i="1"/>
  <c r="G495" i="1"/>
  <c r="F487" i="1"/>
  <c r="H487" i="1"/>
  <c r="G487" i="1"/>
  <c r="F479" i="1"/>
  <c r="H479" i="1"/>
  <c r="G479" i="1"/>
  <c r="F471" i="1"/>
  <c r="H471" i="1"/>
  <c r="G471" i="1"/>
  <c r="F463" i="1"/>
  <c r="H463" i="1"/>
  <c r="G463" i="1"/>
  <c r="F455" i="1"/>
  <c r="H455" i="1"/>
  <c r="G455" i="1"/>
  <c r="F447" i="1"/>
  <c r="H447" i="1"/>
  <c r="G447" i="1"/>
  <c r="F439" i="1"/>
  <c r="H439" i="1"/>
  <c r="G439" i="1"/>
  <c r="F431" i="1"/>
  <c r="H431" i="1"/>
  <c r="G431" i="1"/>
  <c r="F423" i="1"/>
  <c r="H423" i="1"/>
  <c r="G423" i="1"/>
  <c r="F415" i="1"/>
  <c r="H415" i="1"/>
  <c r="G415" i="1"/>
  <c r="F407" i="1"/>
  <c r="H407" i="1"/>
  <c r="G407" i="1"/>
  <c r="F399" i="1"/>
  <c r="H399" i="1"/>
  <c r="G399" i="1"/>
  <c r="F391" i="1"/>
  <c r="H391" i="1"/>
  <c r="G391" i="1"/>
  <c r="F383" i="1"/>
  <c r="H383" i="1"/>
  <c r="G383" i="1"/>
  <c r="F375" i="1"/>
  <c r="H375" i="1"/>
  <c r="G375" i="1"/>
  <c r="F367" i="1"/>
  <c r="H367" i="1"/>
  <c r="G367" i="1"/>
  <c r="F359" i="1"/>
  <c r="H359" i="1"/>
  <c r="G359" i="1"/>
  <c r="F351" i="1"/>
  <c r="H351" i="1"/>
  <c r="G351" i="1"/>
  <c r="F343" i="1"/>
  <c r="H343" i="1"/>
  <c r="G343" i="1"/>
  <c r="F335" i="1"/>
  <c r="H335" i="1"/>
  <c r="G335" i="1"/>
  <c r="F327" i="1"/>
  <c r="H327" i="1"/>
  <c r="G327" i="1"/>
  <c r="F319" i="1"/>
  <c r="H319" i="1"/>
  <c r="G319" i="1"/>
  <c r="F311" i="1"/>
  <c r="H311" i="1"/>
  <c r="G311" i="1"/>
  <c r="F303" i="1"/>
  <c r="H303" i="1"/>
  <c r="G303" i="1"/>
  <c r="F295" i="1"/>
  <c r="H295" i="1"/>
  <c r="G295" i="1"/>
  <c r="F287" i="1"/>
  <c r="H287" i="1"/>
  <c r="G287" i="1"/>
  <c r="F279" i="1"/>
  <c r="H279" i="1"/>
  <c r="G279" i="1"/>
  <c r="F271" i="1"/>
  <c r="H271" i="1"/>
  <c r="G271" i="1"/>
  <c r="F263" i="1"/>
  <c r="H263" i="1"/>
  <c r="G263" i="1"/>
  <c r="F255" i="1"/>
  <c r="H255" i="1"/>
  <c r="G255" i="1"/>
  <c r="F247" i="1"/>
  <c r="H247" i="1"/>
  <c r="G247" i="1"/>
  <c r="F239" i="1"/>
  <c r="H239" i="1"/>
  <c r="G239" i="1"/>
  <c r="F231" i="1"/>
  <c r="H231" i="1"/>
  <c r="G231" i="1"/>
  <c r="F223" i="1"/>
  <c r="H223" i="1"/>
  <c r="G223" i="1"/>
  <c r="F215" i="1"/>
  <c r="H215" i="1"/>
  <c r="G215" i="1"/>
  <c r="F207" i="1"/>
  <c r="H207" i="1"/>
  <c r="G207" i="1"/>
  <c r="F199" i="1"/>
  <c r="H199" i="1"/>
  <c r="G199" i="1"/>
  <c r="F191" i="1"/>
  <c r="H191" i="1"/>
  <c r="G191" i="1"/>
  <c r="F183" i="1"/>
  <c r="H183" i="1"/>
  <c r="G183" i="1"/>
  <c r="F175" i="1"/>
  <c r="H175" i="1"/>
  <c r="G175" i="1"/>
  <c r="F167" i="1"/>
  <c r="H167" i="1"/>
  <c r="G167" i="1"/>
  <c r="F159" i="1"/>
  <c r="H159" i="1"/>
  <c r="G159" i="1"/>
  <c r="F151" i="1"/>
  <c r="H151" i="1"/>
  <c r="G151" i="1"/>
  <c r="F143" i="1"/>
  <c r="H143" i="1"/>
  <c r="G143" i="1"/>
  <c r="F135" i="1"/>
  <c r="H135" i="1"/>
  <c r="G135" i="1"/>
  <c r="F127" i="1"/>
  <c r="H127" i="1"/>
  <c r="G127" i="1"/>
  <c r="F119" i="1"/>
  <c r="H119" i="1"/>
  <c r="G119" i="1"/>
  <c r="F111" i="1"/>
  <c r="H111" i="1"/>
  <c r="G111" i="1"/>
  <c r="F103" i="1"/>
  <c r="H103" i="1"/>
  <c r="G103" i="1"/>
  <c r="F95" i="1"/>
  <c r="H95" i="1"/>
  <c r="G95" i="1"/>
  <c r="F87" i="1"/>
  <c r="H87" i="1"/>
  <c r="G87" i="1"/>
  <c r="F79" i="1"/>
  <c r="H79" i="1"/>
  <c r="G79" i="1"/>
  <c r="F71" i="1"/>
  <c r="H71" i="1"/>
  <c r="G71" i="1"/>
  <c r="F63" i="1"/>
  <c r="H63" i="1"/>
  <c r="G63" i="1"/>
  <c r="F55" i="1"/>
  <c r="H55" i="1"/>
  <c r="G55" i="1"/>
  <c r="F47" i="1"/>
  <c r="H47" i="1"/>
  <c r="G47" i="1"/>
  <c r="F39" i="1"/>
  <c r="H39" i="1"/>
  <c r="G39" i="1"/>
  <c r="F31" i="1"/>
  <c r="H31" i="1"/>
  <c r="G31" i="1"/>
  <c r="F23" i="1"/>
  <c r="H23" i="1"/>
  <c r="G23" i="1"/>
  <c r="F15" i="1"/>
  <c r="H15" i="1"/>
  <c r="G15" i="1"/>
  <c r="G580" i="1"/>
  <c r="G564" i="1"/>
  <c r="G548" i="1"/>
  <c r="G532" i="1"/>
  <c r="G509" i="1"/>
  <c r="G488" i="1"/>
  <c r="G468" i="1"/>
  <c r="G445" i="1"/>
  <c r="G424" i="1"/>
  <c r="G404" i="1"/>
  <c r="G381" i="1"/>
  <c r="G360" i="1"/>
  <c r="G340" i="1"/>
  <c r="G317" i="1"/>
  <c r="G296" i="1"/>
  <c r="G276" i="1"/>
  <c r="G253" i="1"/>
  <c r="G232" i="1"/>
  <c r="G212" i="1"/>
  <c r="G189" i="1"/>
  <c r="G168" i="1"/>
  <c r="G148" i="1"/>
  <c r="G125" i="1"/>
  <c r="G104" i="1"/>
  <c r="G61" i="1"/>
  <c r="H585" i="1"/>
  <c r="H521" i="1"/>
  <c r="H441" i="1"/>
  <c r="H349" i="1"/>
  <c r="H265" i="1"/>
  <c r="H185" i="1"/>
  <c r="H93" i="1"/>
  <c r="H9" i="1"/>
  <c r="F3" i="1"/>
  <c r="H3" i="1"/>
  <c r="G3" i="1"/>
  <c r="F7" i="1"/>
  <c r="H7" i="1"/>
  <c r="G7"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2" i="1"/>
  <c r="T4" i="1"/>
  <c r="T5" i="1"/>
  <c r="T6" i="1"/>
  <c r="T9" i="1"/>
  <c r="T10" i="1"/>
  <c r="T13" i="1"/>
  <c r="T14" i="1"/>
  <c r="T17" i="1"/>
  <c r="T18" i="1"/>
  <c r="T21" i="1"/>
  <c r="T22" i="1"/>
  <c r="T25" i="1"/>
  <c r="T26" i="1"/>
  <c r="T29" i="1"/>
  <c r="T30" i="1"/>
  <c r="T33" i="1"/>
  <c r="T34" i="1"/>
  <c r="T37" i="1"/>
  <c r="T38" i="1"/>
  <c r="T41" i="1"/>
  <c r="T42" i="1"/>
  <c r="T45" i="1"/>
  <c r="T49" i="1"/>
  <c r="T50" i="1"/>
  <c r="T53" i="1"/>
  <c r="T54" i="1"/>
  <c r="T57" i="1"/>
  <c r="T58" i="1"/>
  <c r="T61" i="1"/>
  <c r="T62" i="1"/>
  <c r="T65" i="1"/>
  <c r="T66" i="1"/>
  <c r="T69" i="1"/>
  <c r="T70" i="1"/>
  <c r="T73" i="1"/>
  <c r="T74" i="1"/>
  <c r="T77" i="1"/>
  <c r="T78" i="1"/>
  <c r="T81" i="1"/>
  <c r="T82" i="1"/>
  <c r="T85" i="1"/>
  <c r="T86" i="1"/>
  <c r="T89" i="1"/>
  <c r="T90" i="1"/>
  <c r="T93" i="1"/>
  <c r="T94" i="1"/>
  <c r="T97" i="1"/>
  <c r="T98" i="1"/>
  <c r="T101" i="1"/>
  <c r="T102" i="1"/>
  <c r="T105" i="1"/>
  <c r="T106" i="1"/>
  <c r="T109" i="1"/>
  <c r="T113" i="1"/>
  <c r="T114" i="1"/>
  <c r="T117" i="1"/>
  <c r="T118" i="1"/>
  <c r="T121" i="1"/>
  <c r="T122" i="1"/>
  <c r="T125" i="1"/>
  <c r="T126" i="1"/>
  <c r="T129" i="1"/>
  <c r="T130" i="1"/>
  <c r="T133" i="1"/>
  <c r="T134" i="1"/>
  <c r="T137" i="1"/>
  <c r="T138" i="1"/>
  <c r="T141" i="1"/>
  <c r="T142" i="1"/>
  <c r="T145" i="1"/>
  <c r="T146" i="1"/>
  <c r="T149" i="1"/>
  <c r="T150" i="1"/>
  <c r="T153" i="1"/>
  <c r="T154" i="1"/>
  <c r="T157" i="1"/>
  <c r="T158" i="1"/>
  <c r="T161" i="1"/>
  <c r="T162" i="1"/>
  <c r="T165" i="1"/>
  <c r="T166" i="1"/>
  <c r="T169" i="1"/>
  <c r="T170" i="1"/>
  <c r="T173" i="1"/>
  <c r="T177" i="1"/>
  <c r="T178" i="1"/>
  <c r="T181" i="1"/>
  <c r="T182" i="1"/>
  <c r="T185" i="1"/>
  <c r="T186" i="1"/>
  <c r="T189" i="1"/>
  <c r="T190" i="1"/>
  <c r="T193" i="1"/>
  <c r="T194" i="1"/>
  <c r="T197" i="1"/>
  <c r="T198" i="1"/>
  <c r="T201" i="1"/>
  <c r="T202" i="1"/>
  <c r="T205" i="1"/>
  <c r="T206" i="1"/>
  <c r="T209" i="1"/>
  <c r="T210" i="1"/>
  <c r="T213" i="1"/>
  <c r="T214" i="1"/>
  <c r="T217" i="1"/>
  <c r="T218" i="1"/>
  <c r="T221" i="1"/>
  <c r="T222" i="1"/>
  <c r="T225" i="1"/>
  <c r="T226" i="1"/>
  <c r="T229" i="1"/>
  <c r="T230" i="1"/>
  <c r="T233" i="1"/>
  <c r="T234" i="1"/>
  <c r="T237" i="1"/>
  <c r="T241" i="1"/>
  <c r="T242" i="1"/>
  <c r="T245" i="1"/>
  <c r="T246" i="1"/>
  <c r="T249" i="1"/>
  <c r="T250" i="1"/>
  <c r="T253" i="1"/>
  <c r="T254" i="1"/>
  <c r="T257" i="1"/>
  <c r="T258" i="1"/>
  <c r="T261" i="1"/>
  <c r="T262" i="1"/>
  <c r="T265" i="1"/>
  <c r="T266" i="1"/>
  <c r="T269" i="1"/>
  <c r="T270" i="1"/>
  <c r="T273" i="1"/>
  <c r="T274" i="1"/>
  <c r="T277" i="1"/>
  <c r="T278" i="1"/>
  <c r="T281" i="1"/>
  <c r="T282" i="1"/>
  <c r="T285" i="1"/>
  <c r="T286" i="1"/>
  <c r="T289" i="1"/>
  <c r="T290" i="1"/>
  <c r="T293" i="1"/>
  <c r="T294" i="1"/>
  <c r="T297" i="1"/>
  <c r="T298" i="1"/>
  <c r="T301" i="1"/>
  <c r="T305" i="1"/>
  <c r="T306" i="1"/>
  <c r="T309" i="1"/>
  <c r="T310" i="1"/>
  <c r="T313" i="1"/>
  <c r="T314" i="1"/>
  <c r="T317" i="1"/>
  <c r="T318" i="1"/>
  <c r="T321" i="1"/>
  <c r="T322" i="1"/>
  <c r="T325" i="1"/>
  <c r="T326" i="1"/>
  <c r="T329" i="1"/>
  <c r="T330" i="1"/>
  <c r="T333" i="1"/>
  <c r="T334" i="1"/>
  <c r="T337" i="1"/>
  <c r="T338" i="1"/>
  <c r="T341" i="1"/>
  <c r="T342" i="1"/>
  <c r="T345" i="1"/>
  <c r="T346" i="1"/>
  <c r="T349" i="1"/>
  <c r="T350" i="1"/>
  <c r="T353" i="1"/>
  <c r="T354" i="1"/>
  <c r="T357" i="1"/>
  <c r="T358" i="1"/>
  <c r="T361" i="1"/>
  <c r="T362" i="1"/>
  <c r="T365" i="1"/>
  <c r="T369" i="1"/>
  <c r="T370" i="1"/>
  <c r="T373" i="1"/>
  <c r="T374" i="1"/>
  <c r="T377" i="1"/>
  <c r="T378" i="1"/>
  <c r="T381" i="1"/>
  <c r="T382" i="1"/>
  <c r="T385" i="1"/>
  <c r="T386" i="1"/>
  <c r="T389" i="1"/>
  <c r="T390" i="1"/>
  <c r="T393" i="1"/>
  <c r="T394" i="1"/>
  <c r="T397" i="1"/>
  <c r="T398" i="1"/>
  <c r="T401" i="1"/>
  <c r="T402" i="1"/>
  <c r="T405" i="1"/>
  <c r="T406" i="1"/>
  <c r="T409" i="1"/>
  <c r="T410" i="1"/>
  <c r="T413" i="1"/>
  <c r="T414" i="1"/>
  <c r="T417" i="1"/>
  <c r="T418" i="1"/>
  <c r="T421" i="1"/>
  <c r="T422" i="1"/>
  <c r="T425" i="1"/>
  <c r="T426" i="1"/>
  <c r="T429" i="1"/>
  <c r="T433" i="1"/>
  <c r="T434" i="1"/>
  <c r="T437" i="1"/>
  <c r="T438" i="1"/>
  <c r="T441" i="1"/>
  <c r="T442" i="1"/>
  <c r="T445" i="1"/>
  <c r="T446" i="1"/>
  <c r="T449" i="1"/>
  <c r="T450" i="1"/>
  <c r="T453" i="1"/>
  <c r="T454" i="1"/>
  <c r="T457" i="1"/>
  <c r="T458" i="1"/>
  <c r="T461" i="1"/>
  <c r="T462" i="1"/>
  <c r="T465" i="1"/>
  <c r="T466" i="1"/>
  <c r="T469" i="1"/>
  <c r="T470" i="1"/>
  <c r="T473" i="1"/>
  <c r="T474" i="1"/>
  <c r="T477" i="1"/>
  <c r="T478" i="1"/>
  <c r="T481" i="1"/>
  <c r="T482" i="1"/>
  <c r="T485" i="1"/>
  <c r="T486" i="1"/>
  <c r="T489" i="1"/>
  <c r="T490" i="1"/>
  <c r="T493" i="1"/>
  <c r="T497" i="1"/>
  <c r="T498" i="1"/>
  <c r="T501" i="1"/>
  <c r="T502" i="1"/>
  <c r="T505" i="1"/>
  <c r="T506" i="1"/>
  <c r="T509" i="1"/>
  <c r="T510" i="1"/>
  <c r="T513" i="1"/>
  <c r="T514" i="1"/>
  <c r="T517" i="1"/>
  <c r="T518" i="1"/>
  <c r="T521" i="1"/>
  <c r="T522" i="1"/>
  <c r="T525" i="1"/>
  <c r="T526" i="1"/>
  <c r="T529" i="1"/>
  <c r="T530" i="1"/>
  <c r="T532" i="1"/>
  <c r="T533" i="1"/>
  <c r="T534" i="1"/>
  <c r="T537" i="1"/>
  <c r="T541" i="1"/>
  <c r="T542" i="1"/>
  <c r="T545" i="1"/>
  <c r="T546" i="1"/>
  <c r="T549" i="1"/>
  <c r="T550" i="1"/>
  <c r="T553" i="1"/>
  <c r="T554" i="1"/>
  <c r="T557" i="1"/>
  <c r="T558" i="1"/>
  <c r="T561" i="1"/>
  <c r="T562" i="1"/>
  <c r="T565" i="1"/>
  <c r="T566" i="1"/>
  <c r="T569" i="1"/>
  <c r="T570" i="1"/>
  <c r="T573" i="1"/>
  <c r="T574" i="1"/>
  <c r="T577" i="1"/>
  <c r="T578" i="1"/>
  <c r="T581" i="1"/>
  <c r="T582" i="1"/>
  <c r="T585" i="1"/>
  <c r="T2" i="1"/>
  <c r="T3" i="1"/>
  <c r="T7" i="1"/>
  <c r="T8" i="1"/>
  <c r="T11" i="1"/>
  <c r="T12" i="1"/>
  <c r="T15" i="1"/>
  <c r="T16" i="1"/>
  <c r="T19" i="1"/>
  <c r="T20" i="1"/>
  <c r="T23" i="1"/>
  <c r="T24" i="1"/>
  <c r="T27" i="1"/>
  <c r="T28" i="1"/>
  <c r="T31" i="1"/>
  <c r="T32" i="1"/>
  <c r="T35" i="1"/>
  <c r="T36" i="1"/>
  <c r="T39" i="1"/>
  <c r="T40" i="1"/>
  <c r="T43" i="1"/>
  <c r="T44" i="1"/>
  <c r="T46" i="1"/>
  <c r="T47" i="1"/>
  <c r="T48" i="1"/>
  <c r="T51" i="1"/>
  <c r="T52" i="1"/>
  <c r="T55" i="1"/>
  <c r="T56" i="1"/>
  <c r="T59" i="1"/>
  <c r="T60" i="1"/>
  <c r="T63" i="1"/>
  <c r="T64" i="1"/>
  <c r="T67" i="1"/>
  <c r="T68" i="1"/>
  <c r="T71" i="1"/>
  <c r="T72" i="1"/>
  <c r="T75" i="1"/>
  <c r="T76" i="1"/>
  <c r="T79" i="1"/>
  <c r="T80" i="1"/>
  <c r="T83" i="1"/>
  <c r="T84" i="1"/>
  <c r="T87" i="1"/>
  <c r="T88" i="1"/>
  <c r="T91" i="1"/>
  <c r="T92" i="1"/>
  <c r="T95" i="1"/>
  <c r="T96" i="1"/>
  <c r="T99" i="1"/>
  <c r="T100" i="1"/>
  <c r="T103" i="1"/>
  <c r="T104" i="1"/>
  <c r="T107" i="1"/>
  <c r="T108" i="1"/>
  <c r="T110" i="1"/>
  <c r="T111" i="1"/>
  <c r="T112" i="1"/>
  <c r="T115" i="1"/>
  <c r="T116" i="1"/>
  <c r="T119" i="1"/>
  <c r="T120" i="1"/>
  <c r="T123" i="1"/>
  <c r="T124" i="1"/>
  <c r="T127" i="1"/>
  <c r="T128" i="1"/>
  <c r="T131" i="1"/>
  <c r="T132" i="1"/>
  <c r="T135" i="1"/>
  <c r="T136" i="1"/>
  <c r="T139" i="1"/>
  <c r="T140" i="1"/>
  <c r="T143" i="1"/>
  <c r="T144" i="1"/>
  <c r="T147" i="1"/>
  <c r="T148" i="1"/>
  <c r="T151" i="1"/>
  <c r="T152" i="1"/>
  <c r="T155" i="1"/>
  <c r="T156" i="1"/>
  <c r="T159" i="1"/>
  <c r="T160" i="1"/>
  <c r="T163" i="1"/>
  <c r="T164" i="1"/>
  <c r="T167" i="1"/>
  <c r="T168" i="1"/>
  <c r="T171" i="1"/>
  <c r="T172" i="1"/>
  <c r="T174" i="1"/>
  <c r="T175" i="1"/>
  <c r="T176" i="1"/>
  <c r="T179" i="1"/>
  <c r="T180" i="1"/>
  <c r="T183" i="1"/>
  <c r="T184" i="1"/>
  <c r="T187" i="1"/>
  <c r="T188" i="1"/>
  <c r="T191" i="1"/>
  <c r="T192" i="1"/>
  <c r="T195" i="1"/>
  <c r="T196" i="1"/>
  <c r="T199" i="1"/>
  <c r="T200" i="1"/>
  <c r="T203" i="1"/>
  <c r="T204" i="1"/>
  <c r="T207" i="1"/>
  <c r="T208" i="1"/>
  <c r="T211" i="1"/>
  <c r="T212" i="1"/>
  <c r="T215" i="1"/>
  <c r="T216" i="1"/>
  <c r="T219" i="1"/>
  <c r="T220" i="1"/>
  <c r="T223" i="1"/>
  <c r="T224" i="1"/>
  <c r="T227" i="1"/>
  <c r="T228" i="1"/>
  <c r="T231" i="1"/>
  <c r="T232" i="1"/>
  <c r="T235" i="1"/>
  <c r="T236" i="1"/>
  <c r="T238" i="1"/>
  <c r="T239" i="1"/>
  <c r="T240" i="1"/>
  <c r="T243" i="1"/>
  <c r="T244" i="1"/>
  <c r="T247" i="1"/>
  <c r="T248" i="1"/>
  <c r="T251" i="1"/>
  <c r="T252" i="1"/>
  <c r="T255" i="1"/>
  <c r="T256" i="1"/>
  <c r="T259" i="1"/>
  <c r="T260" i="1"/>
  <c r="T263" i="1"/>
  <c r="T264" i="1"/>
  <c r="T267" i="1"/>
  <c r="T268" i="1"/>
  <c r="T271" i="1"/>
  <c r="T272" i="1"/>
  <c r="T275" i="1"/>
  <c r="T276" i="1"/>
  <c r="T279" i="1"/>
  <c r="T280" i="1"/>
  <c r="T283" i="1"/>
  <c r="T284" i="1"/>
  <c r="T287" i="1"/>
  <c r="T288" i="1"/>
  <c r="T291" i="1"/>
  <c r="T292" i="1"/>
  <c r="T295" i="1"/>
  <c r="T296" i="1"/>
  <c r="T299" i="1"/>
  <c r="T300" i="1"/>
  <c r="T302" i="1"/>
  <c r="T303" i="1"/>
  <c r="T304" i="1"/>
  <c r="T307" i="1"/>
  <c r="T308" i="1"/>
  <c r="T311" i="1"/>
  <c r="T312" i="1"/>
  <c r="T315" i="1"/>
  <c r="T316" i="1"/>
  <c r="T319" i="1"/>
  <c r="T320" i="1"/>
  <c r="T323" i="1"/>
  <c r="T324" i="1"/>
  <c r="T327" i="1"/>
  <c r="T328" i="1"/>
  <c r="T331" i="1"/>
  <c r="T332" i="1"/>
  <c r="T335" i="1"/>
  <c r="T336" i="1"/>
  <c r="T339" i="1"/>
  <c r="T340" i="1"/>
  <c r="T343" i="1"/>
  <c r="T344" i="1"/>
  <c r="T347" i="1"/>
  <c r="T348" i="1"/>
  <c r="T351" i="1"/>
  <c r="T352" i="1"/>
  <c r="T355" i="1"/>
  <c r="T356" i="1"/>
  <c r="T359" i="1"/>
  <c r="T360" i="1"/>
  <c r="T363" i="1"/>
  <c r="T364" i="1"/>
  <c r="T366" i="1"/>
  <c r="T367" i="1"/>
  <c r="T368" i="1"/>
  <c r="T371" i="1"/>
  <c r="T372" i="1"/>
  <c r="T375" i="1"/>
  <c r="T376" i="1"/>
  <c r="T379" i="1"/>
  <c r="T380" i="1"/>
  <c r="T383" i="1"/>
  <c r="T384" i="1"/>
  <c r="T387" i="1"/>
  <c r="T388" i="1"/>
  <c r="T391" i="1"/>
  <c r="T392" i="1"/>
  <c r="T395" i="1"/>
  <c r="T396" i="1"/>
  <c r="T399" i="1"/>
  <c r="T400" i="1"/>
  <c r="T403" i="1"/>
  <c r="T404" i="1"/>
  <c r="T407" i="1"/>
  <c r="T408" i="1"/>
  <c r="T411" i="1"/>
  <c r="T412" i="1"/>
  <c r="T415" i="1"/>
  <c r="T416" i="1"/>
  <c r="T419" i="1"/>
  <c r="T420" i="1"/>
  <c r="T423" i="1"/>
  <c r="T424" i="1"/>
  <c r="T427" i="1"/>
  <c r="T428" i="1"/>
  <c r="T430" i="1"/>
  <c r="T431" i="1"/>
  <c r="T432" i="1"/>
  <c r="T435" i="1"/>
  <c r="T436" i="1"/>
  <c r="T439" i="1"/>
  <c r="T440" i="1"/>
  <c r="T443" i="1"/>
  <c r="T444" i="1"/>
  <c r="T447" i="1"/>
  <c r="T448" i="1"/>
  <c r="T451" i="1"/>
  <c r="T452" i="1"/>
  <c r="T455" i="1"/>
  <c r="T456" i="1"/>
  <c r="T459" i="1"/>
  <c r="T460" i="1"/>
  <c r="T463" i="1"/>
  <c r="T464" i="1"/>
  <c r="T467" i="1"/>
  <c r="T468" i="1"/>
  <c r="T471" i="1"/>
  <c r="T472" i="1"/>
  <c r="T475" i="1"/>
  <c r="T476" i="1"/>
  <c r="T479" i="1"/>
  <c r="T480" i="1"/>
  <c r="T483" i="1"/>
  <c r="T484" i="1"/>
  <c r="T487" i="1"/>
  <c r="T488" i="1"/>
  <c r="T491" i="1"/>
  <c r="T492" i="1"/>
  <c r="T494" i="1"/>
  <c r="T495" i="1"/>
  <c r="T496" i="1"/>
  <c r="T499" i="1"/>
  <c r="T500" i="1"/>
  <c r="T503" i="1"/>
  <c r="T504" i="1"/>
  <c r="T507" i="1"/>
  <c r="T508" i="1"/>
  <c r="T511" i="1"/>
  <c r="T512" i="1"/>
  <c r="T515" i="1"/>
  <c r="T516" i="1"/>
  <c r="T519" i="1"/>
  <c r="T520" i="1"/>
  <c r="T523" i="1"/>
  <c r="T524" i="1"/>
  <c r="T527" i="1"/>
  <c r="T528" i="1"/>
  <c r="T531" i="1"/>
  <c r="T535" i="1"/>
  <c r="T536" i="1"/>
  <c r="T538" i="1"/>
  <c r="T539" i="1"/>
  <c r="T540" i="1"/>
  <c r="T543" i="1"/>
  <c r="T544" i="1"/>
  <c r="T547" i="1"/>
  <c r="T548" i="1"/>
  <c r="T551" i="1"/>
  <c r="T552" i="1"/>
  <c r="T555" i="1"/>
  <c r="T556" i="1"/>
  <c r="T559" i="1"/>
  <c r="T560" i="1"/>
  <c r="T563" i="1"/>
  <c r="T564" i="1"/>
  <c r="T567" i="1"/>
  <c r="T568" i="1"/>
  <c r="T571" i="1"/>
  <c r="T572" i="1"/>
  <c r="T575" i="1"/>
  <c r="T576" i="1"/>
  <c r="T579" i="1"/>
  <c r="T580" i="1"/>
  <c r="T583" i="1"/>
  <c r="T584" i="1"/>
  <c r="R3" i="1"/>
  <c r="R4" i="1"/>
  <c r="R5" i="1"/>
  <c r="R6" i="1"/>
  <c r="R7" i="1"/>
  <c r="R8" i="1"/>
  <c r="R9" i="1"/>
  <c r="R10"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2" i="1"/>
</calcChain>
</file>

<file path=xl/sharedStrings.xml><?xml version="1.0" encoding="utf-8"?>
<sst xmlns="http://schemas.openxmlformats.org/spreadsheetml/2006/main" count="4235" uniqueCount="3401">
  <si>
    <t>video_id</t>
  </si>
  <si>
    <t>published_date</t>
  </si>
  <si>
    <t>channel_id</t>
  </si>
  <si>
    <t>channel_title</t>
  </si>
  <si>
    <t>tags</t>
  </si>
  <si>
    <t>category_id</t>
  </si>
  <si>
    <t>view_count</t>
  </si>
  <si>
    <t>like_count</t>
  </si>
  <si>
    <t>comment_count</t>
  </si>
  <si>
    <t>gsJAlLOFBv0</t>
  </si>
  <si>
    <t>TINY Tech That Actually Works</t>
  </si>
  <si>
    <t>No description available</t>
  </si>
  <si>
    <t>2025-05-02T17:37:10Z</t>
  </si>
  <si>
    <t>UCMiJRAwDNSNzuYeN2uWa0pA</t>
  </si>
  <si>
    <t>Mrwhosetheboss</t>
  </si>
  <si>
    <t>['tiny', 'tech', 'gadgets', 'small', 'miniature']</t>
  </si>
  <si>
    <t>ypicIkaiViM</t>
  </si>
  <si>
    <t>2025-06-18T12:39:53Z</t>
  </si>
  <si>
    <t>UCrp_UI8XtuYfpiqluWLD7Lw</t>
  </si>
  <si>
    <t>CNBC Television</t>
  </si>
  <si>
    <t>['Squawk Box U.S.', 'CNBC', 'business news', 'finance stock', 'stock market', 'news channel', 'news station', 'breaking news', 'us news', 'world news', 'cable', 'cable news', 'finance news', 'money', 'money tips', 'financial news', 'stock market news', 'stocks']</t>
  </si>
  <si>
    <t>1Nef8LPO-jo</t>
  </si>
  <si>
    <t>2022-11-01T11:00:06Z</t>
  </si>
  <si>
    <t>['shorts', 'tech']</t>
  </si>
  <si>
    <t>lCHqmzynO-s</t>
  </si>
  <si>
    <t>Overrated vs. Underrated Tech</t>
  </si>
  <si>
    <t>2024-07-08T18:04:31Z</t>
  </si>
  <si>
    <t>UCPk2s5c4R_d-EUUNvFFODoA</t>
  </si>
  <si>
    <t>Gohar Khan</t>
  </si>
  <si>
    <t>['thailand',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t>
  </si>
  <si>
    <t>7uFrtqSwYzM</t>
  </si>
  <si>
    <t>2024-12-22T16:49:00Z</t>
  </si>
  <si>
    <t>UCxqG_E-68WAE0TWYfIopv6Q</t>
  </si>
  <si>
    <t>Digifix</t>
  </si>
  <si>
    <t>['apple glasses price', 'apple glasses design', 'vr', 'apple glasses release date', 'apple vr', 'apple smart glasses', 'ar glasses', 'iglasses', 'apple glasses', 'virtual reality', 'apple ar glasses', 'apple glasses concept', 'apple glass price', 'augmented reality', 'apple glass review', 'apple glass', 'apple glasses leak', 'apple ar headset', 'best ar glasses', 'glasses', 'apple glass launch date', 'smart glasses']</t>
  </si>
  <si>
    <t>THw-wXt7wyM</t>
  </si>
  <si>
    <t>5 Tech Myths Busted!</t>
  </si>
  <si>
    <t>2022-10-02T19:40:14Z</t>
  </si>
  <si>
    <t>['shorts', 'tech', 'myths', 'busted', 'tips']</t>
  </si>
  <si>
    <t>uvG-WToQfU4</t>
  </si>
  <si>
    <t>Old Or New Technology?</t>
  </si>
  <si>
    <t>2024-07-17T19:15:02Z</t>
  </si>
  <si>
    <t>UCWBWgCD4oAqT3hUeq40SCUw</t>
  </si>
  <si>
    <t>Sambucha</t>
  </si>
  <si>
    <t>LZYfSYXY-go</t>
  </si>
  <si>
    <t>2024-01-04T15:32:23Z</t>
  </si>
  <si>
    <t>['apple', 'iphone', 'tech', 'gadgets', 'shorts', 'thinnest', 'smallest']</t>
  </si>
  <si>
    <t>jYcV7a098Yw</t>
  </si>
  <si>
    <t>2025-06-19T10:07:23Z</t>
  </si>
  <si>
    <t>UCzDE2LGSmJnw53WrZ7mM_Aw</t>
  </si>
  <si>
    <t>Living in China</t>
  </si>
  <si>
    <t>['midea', 'living in china', 'china energy', 'midea technology', 'china technology', 'midea energy', 'smart ac', 'midea ac review', 'kuka', 'kuka robot', 'air conditioner', 'midea air conditioner', 'hiconics', 'clou electronics', 'china tech', 'china', 'china life', 'jason lightfoot', 'china travel', 'china tariffs']</t>
  </si>
  <si>
    <t>5fKkXFresYI</t>
  </si>
  <si>
    <t>5 Times Tech has SAVED LIVES!</t>
  </si>
  <si>
    <t>2022-10-15T08:25:08Z</t>
  </si>
  <si>
    <t>['tech', 'shorts']</t>
  </si>
  <si>
    <t>TaY-jRMbNpk</t>
  </si>
  <si>
    <t>Huawei Mate XT Hands On! ðŸ”¥</t>
  </si>
  <si>
    <t>2024-09-29T13:28:57Z</t>
  </si>
  <si>
    <t>UCXy9a8QpkHVsvAXXaQavx2g</t>
  </si>
  <si>
    <t>We Tech</t>
  </si>
  <si>
    <t>['huawei mate xt', 'huawei mate xt review', 'Huawei mate xt unboxing', 'huawei mate xt hands on', 'huawei', 'we tech', 'New', 'trending', 'technology', 'folding']</t>
  </si>
  <si>
    <t>pKbr1LhfxXM</t>
  </si>
  <si>
    <t>2024-08-15T04:59:00Z</t>
  </si>
  <si>
    <t>UCGmuLwV0XD_uqL4wKZg4hgA</t>
  </si>
  <si>
    <t>Immersed</t>
  </si>
  <si>
    <t>De7s-IB_DAw</t>
  </si>
  <si>
    <t>You're wasting money on Tech.</t>
  </si>
  <si>
    <t>2025-05-21T09:03:41Z</t>
  </si>
  <si>
    <t>['money saving', 'finance', 'save money', 'get things cheaper', 'subscription services', 'netflix', 'spotify', 'youtube', 'disney plus', 'apple', 'iphone', 'subscription']</t>
  </si>
  <si>
    <t>cS0hLW8qulk</t>
  </si>
  <si>
    <t>2024-12-22T03:30:14Z</t>
  </si>
  <si>
    <t>UCcku89bM8Nu8rtAaledTPxg</t>
  </si>
  <si>
    <t xml:space="preserve">Rohit Ramani </t>
  </si>
  <si>
    <t>['Future mobile', 'ai', 'ai advancements', 'ai innovations', 'artificial intelligence', 'cool gadgets', 'elon musk', 'elon musk tech', 'emerging trends', 'future business tech', 'future business technologies', 'future gadgets', 'future of technology', 'future tech', 'future technology', 'future technology 2030', 'future technology 60 minutes', 'innovation', 'next gen', 'next-gen technology', 'robotics', 'robotics trends', 'science', 'smart gadgets', 'tech predictions', 'tech trends 2024', 'tech trends 2025', 'technology', 'vr']</t>
  </si>
  <si>
    <t>2ExXkdBkM78</t>
  </si>
  <si>
    <t>2024-03-20T15:46:57Z</t>
  </si>
  <si>
    <t>UCClfFsWcT3N2I7VTXXyt84A</t>
  </si>
  <si>
    <t>Salem Techsperts</t>
  </si>
  <si>
    <t>RHtnrzct2RM</t>
  </si>
  <si>
    <t>#techno #short #technology #newphone</t>
  </si>
  <si>
    <t>2021-10-18T21:51:15Z</t>
  </si>
  <si>
    <t>UCswhjJmbjCmBOErBUo2NYbg</t>
  </si>
  <si>
    <t>World New News every day</t>
  </si>
  <si>
    <t>KArch4rjU_0</t>
  </si>
  <si>
    <t>2024-05-12T17:37:14Z</t>
  </si>
  <si>
    <t>UCJ0-OtVpF0wOKEqT2Z1HEtA</t>
  </si>
  <si>
    <t>ElectroBOOM</t>
  </si>
  <si>
    <t>T-F-vVNVQ50</t>
  </si>
  <si>
    <t>2025-01-20T14:00:28Z</t>
  </si>
  <si>
    <t>UCSWZxpzUTkriCZRe0Nl0UqA</t>
  </si>
  <si>
    <t>YouFact Tech</t>
  </si>
  <si>
    <t>['you fact tech', 'you fact', 'ufact', 'gadgets', 'technologies', 'CES 2025', 'ai gadgets']</t>
  </si>
  <si>
    <t>ZYIi81NCeU4</t>
  </si>
  <si>
    <t>2023-06-20T03:53:41Z</t>
  </si>
  <si>
    <t>UC9Tib0IsWBst6tlQ-p3L4Pw</t>
  </si>
  <si>
    <t>Will Bowers</t>
  </si>
  <si>
    <t>['humane', 'apple vision pro', 'humane tech', 'humane AI', 'humane Vancouver', 'apple vr', 'will bowers', 'will.mov', 'willbwrs']</t>
  </si>
  <si>
    <t>MBQBY9b6OAU</t>
  </si>
  <si>
    <t>2025-04-14T11:18:58Z</t>
  </si>
  <si>
    <t>['youtuber', 'products', 'mkbhd', 'panels', 'tech', 'mark rober', 'ryan trahan', 'youtube']</t>
  </si>
  <si>
    <t>mkcgVN90zl0</t>
  </si>
  <si>
    <t>This Gadget BRICKS Your Phone!</t>
  </si>
  <si>
    <t>#shorts #tech #gadgets #socialmedia</t>
  </si>
  <si>
    <t>2025-02-21T14:57:07Z</t>
  </si>
  <si>
    <t>QEJpZjg8GuA</t>
  </si>
  <si>
    <t>2025-02-22T17:04:13Z</t>
  </si>
  <si>
    <t>UCy0tKL1T7wFoYcxCe0xjN6Q</t>
  </si>
  <si>
    <t>Technology Connections</t>
  </si>
  <si>
    <t>94LDWSXT7HY</t>
  </si>
  <si>
    <t>2023-04-26T16:44:18Z</t>
  </si>
  <si>
    <t>Uy7rP_rXzv4</t>
  </si>
  <si>
    <t>2024-09-06T20:13:48Z</t>
  </si>
  <si>
    <t>eSucdOAIwrg</t>
  </si>
  <si>
    <t>2024-03-06T17:39:55Z</t>
  </si>
  <si>
    <t>ewmRD0MacxI</t>
  </si>
  <si>
    <t>2024-12-10T10:30:15Z</t>
  </si>
  <si>
    <t>UCcCjXTiKc-0wFKHI035VVzQ</t>
  </si>
  <si>
    <t xml:space="preserve">v3 facts </t>
  </si>
  <si>
    <t>['shorts', 'gadgets', 'amazing gadgets', 'unique gadgets', 'unique cool gadgets', 'usefull Gadgets', 'Top 3 Smartphone gadgets', 'Top 3 Smartphone gadgets under 50', 'Top 3 Best Unique Gadgets', 'boys gadgets']</t>
  </si>
  <si>
    <t>W96a8svXo14</t>
  </si>
  <si>
    <t>2025-06-15T16:59:11Z</t>
  </si>
  <si>
    <t>a_5btLCRR24</t>
  </si>
  <si>
    <t>2016-06-25T15:34:29Z</t>
  </si>
  <si>
    <t>UC5yHbiSKzETyX9BL1HgNerg</t>
  </si>
  <si>
    <t>The Real G Music TV</t>
  </si>
  <si>
    <t>['50', 'cent', 'curtis', '50 cent', '187', 'album', 'full', 'playlist', 'dirty', 'intro', 'instrumental', 'my', 'gun', 'go', 'off', 'jackson', 'songs', 'complet', 'clean', 'camron', 'hd', 'hq', 'diss', 'man', 'down', 'trailer', 'remix', 'mix', 'many', 'men', 'club', 'pimp', 'eminem', 'back', 'body', 'bags', 'beef', 'birthday', 'bulletproof', 'animal', 'ambition', 'rnb', 'best', 'friend', 'triple', 'diabled', 'Ayo Technology', 'Ayo', 'Technology', 'ft', 'feat', 'justin', 'Timberlake', 'Timberland', 'Timbaland', 'Justin Timberlake']</t>
  </si>
  <si>
    <t>IOVKA9eBzkw</t>
  </si>
  <si>
    <t>2024-09-10T13:23:57Z</t>
  </si>
  <si>
    <t>UCnrGU9pNN5t7nMdDc2etrRA</t>
  </si>
  <si>
    <t xml:space="preserve">Mr. Deshi Inventor </t>
  </si>
  <si>
    <t>['new invention', 'invention', 'DIY project', 'DIY idea', 'homemade invention', 'homemade DIY project', 'shorts', 'youtube shorts', 'trending shorts', 'science project', 'new technology', 'smart gadgets', 'science', 'technology', 'gadgets']</t>
  </si>
  <si>
    <t>v4H2fTgHGuc</t>
  </si>
  <si>
    <t>2025-01-03T17:38:04Z</t>
  </si>
  <si>
    <t>UCsBjURrPoezykLs9EqgamOA</t>
  </si>
  <si>
    <t>Fireship</t>
  </si>
  <si>
    <t>['webdev', 'app development', 'lesson', 'tutorial']</t>
  </si>
  <si>
    <t>PBmrLVBH9OI</t>
  </si>
  <si>
    <t>2024-12-08T21:36:50Z</t>
  </si>
  <si>
    <t>UCPMIXPIhGp2WJzocPRQiM1w</t>
  </si>
  <si>
    <t>JMTech</t>
  </si>
  <si>
    <t>['Google pixel 9', 'New Google pixel 9', 'Pixel 9', 'Google smart phone', 'Best alternative to iPhone', 'Google pixel 9 review', 'iPhone 16 versus Google pixel 9', 'iPhone vs android', 'New smart phone', 'Smart phone', 'iPhone killer', 'Android is better than iPhone', 'Is android better than iPhone?', 'Technology', 'tech', 'iPhone 16']</t>
  </si>
  <si>
    <t>653lN9zARjc</t>
  </si>
  <si>
    <t>2022-09-09T15:07:05Z</t>
  </si>
  <si>
    <t>UCZSlfzadjnw7G419c_OJ9eg</t>
  </si>
  <si>
    <t>Mrwhosetheboss Plus</t>
  </si>
  <si>
    <t>['shorts', 'tech', 'iphone', 'smartphone', 'hacks', 'mrwhosetheboss', 'gadgets', 'spy gadgets']</t>
  </si>
  <si>
    <t>tvNV2MweDJ0</t>
  </si>
  <si>
    <t>2024-08-31T15:46:53Z</t>
  </si>
  <si>
    <t>UC2_t6GbaEitHjxbHwDbvhRg</t>
  </si>
  <si>
    <t>XiLiR Technologies</t>
  </si>
  <si>
    <t>SA980y3PcIM</t>
  </si>
  <si>
    <t>2023-07-14T12:33:24Z</t>
  </si>
  <si>
    <t>UCtlo5-_lMQo6PeWTx7LvXOw</t>
  </si>
  <si>
    <t>Creative Savant</t>
  </si>
  <si>
    <t>['mkbhd', 'mkbhd podcast', 'mkbhd podcast clips', 'mkbhd podcast andrew', 'mkbhd interview', 'marques brownlee', 'marques', 'marques brownlee podcast', 'marques brownlee interview', 'andrew', 'andrew schulz', 'flagrant 2', 'andrew schultz', 'flagrant', 'tech', 'technology', 'dream phone', 'phone', 'mkbhd phone', 'podcast', 'podcast clips', 'short', 'shorts']</t>
  </si>
  <si>
    <t>s4ET7Vn3nz4</t>
  </si>
  <si>
    <t>20 Coolest Tech at CES 2025</t>
  </si>
  <si>
    <t>2025-01-13T17:01:03Z</t>
  </si>
  <si>
    <t>UCCsREoj8rSRkEvxWqxr74rQ</t>
  </si>
  <si>
    <t>Cybernews</t>
  </si>
  <si>
    <t>['ces 2025', 'ces', 'ces 2025 tech', 'best ces 2025 tech', 'ces tech', 'ces recap', 'ces 2025 recap', 'ces 2025 highlights', 'best of ces', 'cybernews ces 2025', 'xreal one', 'xreal one pro', 'cybernews', 'ces2025', 'ces hot tech', 'tech']</t>
  </si>
  <si>
    <t>LPOLWKtU5cI</t>
  </si>
  <si>
    <t>2023-05-03T12:30:10Z</t>
  </si>
  <si>
    <t>UC7TNIdi43AgEBY4yA9VV3PQ</t>
  </si>
  <si>
    <t>Paritolkks</t>
  </si>
  <si>
    <t>['Ibm', 'Worlds smallest computer', 'Smallest computer in the world', 'Smallest computer', 'Micro mote', 'Tech', 'Technology', 'Unknown facts', 'New technology', 'New tech']</t>
  </si>
  <si>
    <t>rbyud9N4zPM</t>
  </si>
  <si>
    <t>2024-01-26T05:45:01Z</t>
  </si>
  <si>
    <t>UC6EM2H38sX0eXddx05MnOGw</t>
  </si>
  <si>
    <t>Ashley Dudarenok</t>
  </si>
  <si>
    <t>['china', 'china digital world', 'what can we learn from china', 'digital technology china', 'china digital growth', 'digital china strategy', 'china digital future', 'digital rise of china', 'china digitalization', 'china digital marketing', 'china marketing trends 2023', 'network marketing in china', 'chinese consumers', 'how to sell on chinese market', 'how does marketing work in china', 'chinese marketing strategies', 'how to attract chinese consumers', 'china trends 2023', 'china consumer trends']</t>
  </si>
  <si>
    <t>efemIGFQ64M</t>
  </si>
  <si>
    <t>2023-09-29T21:07:48Z</t>
  </si>
  <si>
    <t>['tech', 'coolest amazon finds', 'amazon', 'tech gadget', 'gadget', 'amazon tech gadget', 'tech gadgets from amazon', 'cool amazon tech gadgets 2023', 'cool tech gadgets for 2023', 'cool tech gadget', 'cool tech gadgets', 'cool tech', 'amazon finds', 'coolest amazon tech gadget finds of 2023', 'top amazon find of 2023', 'tech gadgets', 'top tech gadgets of 2023', 'new tech gadget', 'coolest tech gadget on amazon', 'amazon 2023 tech gadget', 'amazon tech gadgets', 'insane tech find']</t>
  </si>
  <si>
    <t>nA6ZdAZqloc</t>
  </si>
  <si>
    <t>I hate AI.</t>
  </si>
  <si>
    <t>2025-02-14T18:00:43Z</t>
  </si>
  <si>
    <t>UCXuqSBlHAE6Xw-yeJA0Tunw</t>
  </si>
  <si>
    <t>Linus Tech Tips</t>
  </si>
  <si>
    <t>Ad3HP6iRyUE</t>
  </si>
  <si>
    <t>2025-05-28T14:40:48Z</t>
  </si>
  <si>
    <t>['tech', 'gadgets', 'edc', 'anker', 'charger', 'cable', 'power bank', 'everyday', 'everyday carry']</t>
  </si>
  <si>
    <t>CxwXplBESgY</t>
  </si>
  <si>
    <t>2024-10-17T12:10:54Z</t>
  </si>
  <si>
    <t>UCdhyGLBRk_oHt3zrlYyn8-w</t>
  </si>
  <si>
    <t>TECH WITH AR</t>
  </si>
  <si>
    <t>['GadgetReview', 'Gadgets', 'CoolGadgets', 'SmartGadgets', 'MustHaveGadgets', 'CoolTech', 'GadgetGeek', 'LatestTech', 'cargadgets', 'gadgetsforcar', 'carlover', 'bestcargadgets']</t>
  </si>
  <si>
    <t>5upVC6YzQCE</t>
  </si>
  <si>
    <t>2023-09-19T00:54:11Z</t>
  </si>
  <si>
    <t>jmStr5LUCeA</t>
  </si>
  <si>
    <t>2024-05-29T19:19:18Z</t>
  </si>
  <si>
    <t>['iot smart parking', 'wireless power transfer', 'arduino based smart parking', 'smart parking', 'arduino best project', 'innovative project ideas', 'electronics project ideas', 'new idea on ev', 'remote xy app based project', 'final year project', 'major project for ece']</t>
  </si>
  <si>
    <t>Pl7TYh055xY</t>
  </si>
  <si>
    <t>2024-07-12T20:25:07Z</t>
  </si>
  <si>
    <t>fepKQej1DH0</t>
  </si>
  <si>
    <t>2025-06-06T13:36:27Z</t>
  </si>
  <si>
    <t>['transparent', 'tech', 'gadgets', 'cool tech', 'i bought', 'smartphone', 'iphone', 'speaker', 'apple']</t>
  </si>
  <si>
    <t>QLROnFIQQvk</t>
  </si>
  <si>
    <t>2024-01-20T16:02:43Z</t>
  </si>
  <si>
    <t>UC415bOPUcGSamy543abLmRA</t>
  </si>
  <si>
    <t>Cleo Abram</t>
  </si>
  <si>
    <t>gkklrVa8amY</t>
  </si>
  <si>
    <t>2025-03-06T10:09:46Z</t>
  </si>
  <si>
    <t>UCdp6GUwjKscp5ST4M4WgIpw</t>
  </si>
  <si>
    <t>TechWiser</t>
  </si>
  <si>
    <t>['TechWiser']</t>
  </si>
  <si>
    <t>9H7v3aG2Exc</t>
  </si>
  <si>
    <t>5 Most DANGEROUS Tech Products</t>
  </si>
  <si>
    <t>2022-03-14T12:51:10Z</t>
  </si>
  <si>
    <t>['shorts', 'tech', 'iphone', 'smartphone', 'hacks', 'mrwhosetheboss', 'technology', 'gadgets']</t>
  </si>
  <si>
    <t>j4M47qLTeJ4</t>
  </si>
  <si>
    <t>My DREAM Everyday Tech!</t>
  </si>
  <si>
    <t>2024-06-12T11:41:07Z</t>
  </si>
  <si>
    <t>['EDC', 'Every day carry', 'Backpack', 'Best edc', 'EDC gadgets', 'Gadgets', 'Tech']</t>
  </si>
  <si>
    <t>B5UKShUCx_Y</t>
  </si>
  <si>
    <t>2024-07-16T16:06:11Z</t>
  </si>
  <si>
    <t>ppS6QMI5p88</t>
  </si>
  <si>
    <t>2024-09-28T16:34:40Z</t>
  </si>
  <si>
    <t>JVPbMYC2JIQ</t>
  </si>
  <si>
    <t>2023-12-20T22:45:51Z</t>
  </si>
  <si>
    <t>UC06HVrkOL33D5lLnCPjr6NQ</t>
  </si>
  <si>
    <t>Breaking Taps</t>
  </si>
  <si>
    <t>P-TANCVoHlc</t>
  </si>
  <si>
    <t>Technology isn't fun anymore</t>
  </si>
  <si>
    <t>2025-02-28T21:14:50Z</t>
  </si>
  <si>
    <t>UCTSRIY3GLFYIpkR2QwyeklA</t>
  </si>
  <si>
    <t>Drew Gooden</t>
  </si>
  <si>
    <t>['drew gooden', 'comedy', 'commentary', 'reaction', 'vine', 'drew gooden vine', 'road work ahead guy', 'parody', 'rant', 'cringe']</t>
  </si>
  <si>
    <t>pW6cVtjIwpY</t>
  </si>
  <si>
    <t>2024-09-01T10:07:32Z</t>
  </si>
  <si>
    <t>['Gadgets', 'CoolGadgets', 'GadgetReview', 'SmartGadgets', 'MustHaveGadgets', 'CoolTech', 'GadgetGeek', 'LatestTech', 'Amazon gadgets', 'tech']</t>
  </si>
  <si>
    <t>VZGuI05udzk</t>
  </si>
  <si>
    <t>2024-01-10T15:33:15Z</t>
  </si>
  <si>
    <t>UCa0mvXpcwOGCBOdUBaIFe7A</t>
  </si>
  <si>
    <t>PanaceaTutor</t>
  </si>
  <si>
    <t>nyjuAqhaPaE</t>
  </si>
  <si>
    <t>2025-03-21T16:01:03Z</t>
  </si>
  <si>
    <t>UC4b7LRyeMlfVm596Ww0Hf6w</t>
  </si>
  <si>
    <t>Avenu Animations</t>
  </si>
  <si>
    <t>['toilet', 'poop', 'toilet technology', 'automatic poop cleaner', 'rico animation', 'funny videos', 'avenu animation', 'funny meme videos']</t>
  </si>
  <si>
    <t>xxVgTfq2Xkg</t>
  </si>
  <si>
    <t>2025-05-22T14:41:23Z</t>
  </si>
  <si>
    <t>UCBb1902HikGjGja4gV3N5WA</t>
  </si>
  <si>
    <t>Top 10 Discoveries Official</t>
  </si>
  <si>
    <t>['Top10Discoveriesoffical', 'Top10Discoveries', 'china tech', 'china', 'China innovation 2025', 'China AI', 'China robotics', 'China 6G', 'quantum computer China', 'thorium reactor', 'China flying car', 'China chip breakthrough', 'China vs USA technology', 'China future', 'China tech 2025', 'China future technology', 'China innovation breakthrough', 'Made in China 2025', 'China AI chips', 'China robotics revolution', 'China quantum computer', 'Flying cars China', 'China robot factory', 'China smart city', 'china vs usa']</t>
  </si>
  <si>
    <t>t3tPJBitduY</t>
  </si>
  <si>
    <t>2025-04-28T00:01:00Z</t>
  </si>
  <si>
    <t>UCPApobRbtECCSnVKiAZMhCA</t>
  </si>
  <si>
    <t>SEO Tech</t>
  </si>
  <si>
    <t>['Bus technology', 'Invention', 'Invention 2025']</t>
  </si>
  <si>
    <t>iatS86r1Hnk</t>
  </si>
  <si>
    <t>2023-02-11T00:28:32Z</t>
  </si>
  <si>
    <t>UC4gEs2SNPr8GBNcdbQGnLjg</t>
  </si>
  <si>
    <t>MDrepairs</t>
  </si>
  <si>
    <t>-055GvEU7f0</t>
  </si>
  <si>
    <t>2024-06-21T14:12:54Z</t>
  </si>
  <si>
    <t>HSGD3m4D-ko</t>
  </si>
  <si>
    <t>2025-01-10T07:34:36Z</t>
  </si>
  <si>
    <t>UCgI2_FwIz4B8SYGP07NdTkw</t>
  </si>
  <si>
    <t>Mad Science Dept</t>
  </si>
  <si>
    <t>BiZcyJPoDy0</t>
  </si>
  <si>
    <t>2024-03-21T12:23:27Z</t>
  </si>
  <si>
    <t>['tech', 'mrwhosetheboss', 'gadgets', 'best tech', 'cheap tech', 'smartphone', 'iphone', 'laptop', 'rugged', 'durable', 'indestructible']</t>
  </si>
  <si>
    <t>qqeZ5Hcw1Tg</t>
  </si>
  <si>
    <t>Meanwhile Android ðŸ’€</t>
  </si>
  <si>
    <t>2024-12-25T18:31:43Z</t>
  </si>
  <si>
    <t>UC22rU-oXsRzoBqM71k13icA</t>
  </si>
  <si>
    <t xml:space="preserve"> ZQotiz Edits</t>
  </si>
  <si>
    <t>rT_bOEzCz74</t>
  </si>
  <si>
    <t>2024-12-18T18:00:46Z</t>
  </si>
  <si>
    <t>UC04KsGq3npibMCE9Td3mVDg</t>
  </si>
  <si>
    <t>Cheddar</t>
  </si>
  <si>
    <t>['Cheddar']</t>
  </si>
  <si>
    <t>2F6YD_xBi-4</t>
  </si>
  <si>
    <t>Zuckerberg on Y Combinator podcast</t>
  </si>
  <si>
    <t>2023-05-29T14:18:55Z</t>
  </si>
  <si>
    <t>UCw4t-Dafc-XlnagELJbCbhg</t>
  </si>
  <si>
    <t>Renji Bijoy</t>
  </si>
  <si>
    <t>['Meta', 'Mark Zuckerberg', 'startups', 'startup', 'y Combinator', 'YC', 'entrepreneurship', 'entrepreneur', 'business', 'tech', 'technology', 'Elon musk', 'Jeff Bezos']</t>
  </si>
  <si>
    <t>xiv6IE915nc</t>
  </si>
  <si>
    <t>2023-11-08T22:46:26Z</t>
  </si>
  <si>
    <t>UZ3g4vB-UAU</t>
  </si>
  <si>
    <t>2024-12-20T15:00:30Z</t>
  </si>
  <si>
    <t>UCNjsoaLHhxEUUpOIEbo2l_Q</t>
  </si>
  <si>
    <t>Tech Moments</t>
  </si>
  <si>
    <t>['Tech', 'Technology', 'Engineering', 'Innovations', 'Viral', 'Shorts']</t>
  </si>
  <si>
    <t>yOdTslFmmoA</t>
  </si>
  <si>
    <t>2024-09-06T16:02:44Z</t>
  </si>
  <si>
    <t>UC7-PWJBq7yiStftsUqVsSqw</t>
  </si>
  <si>
    <t>YeFacts</t>
  </si>
  <si>
    <t>CgzHTd8BNcE</t>
  </si>
  <si>
    <t>2024-02-26T15:23:17Z</t>
  </si>
  <si>
    <t>UCMUimWE2e4WGCg_msQbpKfA</t>
  </si>
  <si>
    <t>Surajit Thinks</t>
  </si>
  <si>
    <t>['china', 'china technology', 'china infrastructure', 'china floating bridge', "china's solar road", 'technology', 'gian hai aap', 'india', 'china smart technology', 'upside down train', 'sky train in china', 'chinese']</t>
  </si>
  <si>
    <t>69lvD0Myk6Y</t>
  </si>
  <si>
    <t>2025-01-06T16:18:04Z</t>
  </si>
  <si>
    <t>pp6ZEEFu7R0</t>
  </si>
  <si>
    <t>2024-10-04T10:07:20Z</t>
  </si>
  <si>
    <t>['GadgetReview', 'Gadgets', 'CoolGadgets', 'SmartGadgets', 'MustHaveGadgets', 'CoolTech', 'GadgetGeek', 'LatestTech', 'technology', 'Techlove', 'gadgets lovers', 'life saving gadgets']</t>
  </si>
  <si>
    <t>NCpwAnHWIk4</t>
  </si>
  <si>
    <t>#craftideas #technology #kitchen</t>
  </si>
  <si>
    <t>2025-03-03T15:35:29Z</t>
  </si>
  <si>
    <t>UCUtg0hpxD9zQ6-Z2-Kfst7A</t>
  </si>
  <si>
    <t>CraftsFlare</t>
  </si>
  <si>
    <t>_IqkYJ7ItYg</t>
  </si>
  <si>
    <t>2025-01-30T09:30:21Z</t>
  </si>
  <si>
    <t>UCeogOLhewThX2lh8cPe2IWg</t>
  </si>
  <si>
    <t>Matt Storer</t>
  </si>
  <si>
    <t>fUEwoiC5AO0</t>
  </si>
  <si>
    <t>2023-06-01T19:38:34Z</t>
  </si>
  <si>
    <t>UC7fWeaHhqgM4Ry-RMpM2YYw</t>
  </si>
  <si>
    <t>TRT World</t>
  </si>
  <si>
    <t>['TRT world', 'trtworld', 'World News', 'breaking news', 'breaking', 'turkish news', 'tÃ¼rkiye news', 'trt']</t>
  </si>
  <si>
    <t>_DQfMAnSZ5Y</t>
  </si>
  <si>
    <t>2025-05-20T17:05:06Z</t>
  </si>
  <si>
    <t>UCakSAR_crAk4P5DT6FsovwQ</t>
  </si>
  <si>
    <t>mcm sanjay</t>
  </si>
  <si>
    <t>['ATM bike', 'bike security feature', 'bike security technology', 'shorts', 'bike shorts', 'bike hack', 'ATM bike shorts', 'motorcycle shorts', 'motorcycle technology', 'Indian bike', 'Indian bike security', 'bike security system', 'viral bike', 'YouTube shorts', 'new hack']</t>
  </si>
  <si>
    <t>ZrgFhEojipE</t>
  </si>
  <si>
    <t>2025-03-30T14:02:31Z</t>
  </si>
  <si>
    <t>UCNT0h9yycyCbaRqGUH_2D6g</t>
  </si>
  <si>
    <t>KYRGYZ USTA</t>
  </si>
  <si>
    <t>OPLkS9wLhow</t>
  </si>
  <si>
    <t>2023-05-12T01:30:12Z</t>
  </si>
  <si>
    <t>UChvzFAyWyofbidb7Mh3WMZw</t>
  </si>
  <si>
    <t>VMK Technical Power</t>
  </si>
  <si>
    <t>['shorts', 'science', 'technology', 'trending']</t>
  </si>
  <si>
    <t>b-9nGVd2xjA</t>
  </si>
  <si>
    <t>2024-10-18T05:29:17Z</t>
  </si>
  <si>
    <t>UCpfrSv31fP9ePmBHnf5k3rg</t>
  </si>
  <si>
    <t>The History Hub</t>
  </si>
  <si>
    <t>['Computer science', 'First computer', 'History of computing', 'Computer evolution', 'Charles Babbage', 'Mechanical computers', 'Computing history', 'Tech history', 'Digital revolution', 'Technology timeline', 'Electronic computers', 'history worlds', 'Computer mechanics', 'Computing discoveries', '19th-century technology', 'Historical tech analysis', 'Historical inventions in computing', 'shorts', 'shorts worls', 'History of artificial intelligence', 'Historical figures in tech']</t>
  </si>
  <si>
    <t>8HHVCZ5Ya5c</t>
  </si>
  <si>
    <t>2025-03-13T11:14:10Z</t>
  </si>
  <si>
    <t>UCBuDHP5fBgZ-RPOmKyTV_EA</t>
  </si>
  <si>
    <t>Gulbahar Technical</t>
  </si>
  <si>
    <t>['china vs usa vs eu', 'technological advancements', 'china aviation', 'usa robotics', 'europe regulations', 'AI innovation', 'future of technology', 'global tech race', 'china military development', 'emerging superpowers']</t>
  </si>
  <si>
    <t>IPhARlUO6NA</t>
  </si>
  <si>
    <t>2023-04-28T01:30:04Z</t>
  </si>
  <si>
    <t>_J2zbtBiJh4</t>
  </si>
  <si>
    <t>Fastest WiFi EVER!</t>
  </si>
  <si>
    <t>2023-04-05T13:00:33Z</t>
  </si>
  <si>
    <t>UCw4IHIMsDO5wpIiprOSXiEA</t>
  </si>
  <si>
    <t>Dhruv Rathee Shorts</t>
  </si>
  <si>
    <t>['Dhruv Rathee', 'Dhruvrathee', 'Dhruv Rathee Shorts', 'Education', 'Informative']</t>
  </si>
  <si>
    <t>70k5uXcjUXg</t>
  </si>
  <si>
    <t>2024-07-01T14:00:06Z</t>
  </si>
  <si>
    <t>4b84ZW4A3bc</t>
  </si>
  <si>
    <t>2025-04-24T07:55:00Z</t>
  </si>
  <si>
    <t>UC5ael8EvEzSNjcYe-3PL9xw</t>
  </si>
  <si>
    <t>BTX TROLL</t>
  </si>
  <si>
    <t>['Troll Face remix', 'Troll Face reaction', 'Troll Face animation', 'Troll Face sound effect', 'Troll Face green screen', 'Troll Face compilation', 'Troll Face transition', 'Troll Face funny moments', 'Troll Face viral video', 'Troll Face edit', 'CapCut Troll Face', 'Troll Face trend', 'Troll Face meme', 'Troll Face template', 'Funny Troll Face videos', 'Troll Face montage', 'Troll Face CapCut template', 'Troll Face TikTok trend', 'Troll Face video editing', 'MrBeast', 'T-Series', 'Cocomelon', 'memes']</t>
  </si>
  <si>
    <t>mRH6KXqLcLE</t>
  </si>
  <si>
    <t>2024-10-27T06:40:02Z</t>
  </si>
  <si>
    <t>UCk0CM7Ykn42Axc7-4qgs5Fg</t>
  </si>
  <si>
    <t>Official Facts</t>
  </si>
  <si>
    <t>['#shorts', '#facts', '#tamilfacts', '#tamilshorts', '#officialfacts']</t>
  </si>
  <si>
    <t>jN3f_cq5WQI</t>
  </si>
  <si>
    <t>2024-10-11T08:00:36Z</t>
  </si>
  <si>
    <t>['shorts', 'gadgets', 'Unboxing', 'new gadgets', 'amazing gadgets', 'cool unique gadgets', 'Top 3 gadgets', 'unboxing gadgets', 'unique cool gadgets', 'facts']</t>
  </si>
  <si>
    <t>T-HWQ4jQ2p4</t>
  </si>
  <si>
    <t>2024-06-18T16:17:35Z</t>
  </si>
  <si>
    <t>UCRlWXcripH3oV_v6uSb9ASw</t>
  </si>
  <si>
    <t>WQAD News 8</t>
  </si>
  <si>
    <t>ri_eqKBypaw</t>
  </si>
  <si>
    <t>2025-03-30T15:04:15Z</t>
  </si>
  <si>
    <t>UCRdNPwyyBaT_kTvYFkd6j_g</t>
  </si>
  <si>
    <t>Helping Bro</t>
  </si>
  <si>
    <t>['technologia', 'teknolojiya', 'teknologia', 'teknolocia', 'technology', 'laptop setup india', 'laptop setup wars india', 'laptop setup room']</t>
  </si>
  <si>
    <t>jE8C0FHWuks</t>
  </si>
  <si>
    <t>2025-02-08T14:00:53Z</t>
  </si>
  <si>
    <t>UCGBO6EahCqQSyXIws1MQdDg</t>
  </si>
  <si>
    <t>Future Business Tech</t>
  </si>
  <si>
    <t>['ai', 'future business tech', 'future technology', 'future tech', 'future business technologies', 'future technologies']</t>
  </si>
  <si>
    <t>8O036eqvpNI</t>
  </si>
  <si>
    <t>2025-05-25T17:19:04Z</t>
  </si>
  <si>
    <t>['coin ATM', 'coin ATM bike', 'coin technology', 'ATM bike', 'new hack', 'new bike coin ATM', 'bike hacker', 'viral bike', 'YouTube shorts', 'viral technology', 'viral bike coin', 'coin technology bike', 'new feature bike', 'bike coin feature']</t>
  </si>
  <si>
    <t>9J4eS6I5_s0</t>
  </si>
  <si>
    <t>2025-05-15T12:48:05Z</t>
  </si>
  <si>
    <t>['kickstarter', 'tech', 'gadgets', 'internet', 'best tech', 'cool tech']</t>
  </si>
  <si>
    <t>xNU5QRra-3o</t>
  </si>
  <si>
    <t>2025-04-03T06:20:26Z</t>
  </si>
  <si>
    <t>UCsBL0eE13BdFrVuc0-QmTzw</t>
  </si>
  <si>
    <t>The Fivengers</t>
  </si>
  <si>
    <t>['shorts', 'shortsvideo', 'shortsviral', 'shortsindia', 'ytshorts', 'youtubeshorts', 'youtube India', 'technology', 'fyp', 'funny', 'comedy', 'memes', 'viral', 'uttar pradesh']</t>
  </si>
  <si>
    <t>or7JOVi2vwU</t>
  </si>
  <si>
    <t>2024-10-01T05:24:11Z</t>
  </si>
  <si>
    <t>UChEH_eKDZrOJjhcdzYjI4jA</t>
  </si>
  <si>
    <t>BucketJosh</t>
  </si>
  <si>
    <t>8Bx6pg0j3I8</t>
  </si>
  <si>
    <t>2025-02-12T17:43:14Z</t>
  </si>
  <si>
    <t>UCAbIzdnrncJi_aEchwltNYA</t>
  </si>
  <si>
    <t>Easy to Learn &amp; Write</t>
  </si>
  <si>
    <t>['essay on technology', 'Easy essay on technology', 'best essay on technology', '10 lines on technology', 'essay on technology for class 1 to 5', 'speech on technology', 'paragraph on technology', 'about technology', '100 words on technology', 'few word on technology', 'short essay on technology', 'english essay on technology', 'essay on technology in english', 'essay writing', 'easy to learn and write', 'english grammar', 'technology', 'technology essay in english', 'science', 'tech', 'internet', 'computer']</t>
  </si>
  <si>
    <t>NGcUoRXBXRY</t>
  </si>
  <si>
    <t>2024-08-25T00:13:38Z</t>
  </si>
  <si>
    <t>UC7rsYYvQbqQrJDGhqWmtAgQ</t>
  </si>
  <si>
    <t>Kyle Krueger</t>
  </si>
  <si>
    <t>7bHs2SlUMNQ</t>
  </si>
  <si>
    <t>2024-02-01T16:23:44Z</t>
  </si>
  <si>
    <t>UC13L28DWv7ap1HL6ZG828Bg</t>
  </si>
  <si>
    <t>makinerz</t>
  </si>
  <si>
    <t>['solidworks', 'cad', 'mechanism', 'mechanisms', 'industrial design', 'industrial mechanism', 'designer', 'catia', 'freelancer', '3d design', '3d modeling', 'machine design', 'machinery', 'industrial machinery', 'industrial machine', 'business', 'business ideas', 'catia v5 tutorial', 'solidworks drawing', 'solidworks electrical', 'solidworks tutorials', 'mechanical engineering', 'the mechanisms', 'mechanical principles', 'solidworks tutorial', 'how to use solidworks', 'automation', 'mechanics', 'automation solutions', 'automation solidworks', 'tech']</t>
  </si>
  <si>
    <t>KYhsFxN3jNo</t>
  </si>
  <si>
    <t>Invention</t>
  </si>
  <si>
    <t>2024-05-12T09:44:02Z</t>
  </si>
  <si>
    <t>UCx1yYZtkdt9VQhZlR7I6--w</t>
  </si>
  <si>
    <t>ProShorts 101</t>
  </si>
  <si>
    <t>sGI1H7VhJbc</t>
  </si>
  <si>
    <t>2024-10-03T23:13:28Z</t>
  </si>
  <si>
    <t>UCUvIsQMxWWJ_1ajxu5plOFw</t>
  </si>
  <si>
    <t>Spigen</t>
  </si>
  <si>
    <t>AClfhmJYyNc</t>
  </si>
  <si>
    <t>2024-07-04T10:38:25Z</t>
  </si>
  <si>
    <t>['rarest', 'phones', 'tech', 'smartphone', 'keyboard', 'mouse', 'pc', 'evangelion', 'harry potter', 'transformers', 'rare', 'expensive']</t>
  </si>
  <si>
    <t>x54fK8BKLVk</t>
  </si>
  <si>
    <t>2025-06-20T16:39:53Z</t>
  </si>
  <si>
    <t>UCPdVC7w-AmZ6BGCoIoU1v3g</t>
  </si>
  <si>
    <t>Meibot</t>
  </si>
  <si>
    <t>OSCOQ6vnLwU</t>
  </si>
  <si>
    <t>2025-05-27T15:18:23Z</t>
  </si>
  <si>
    <t>XOwxbB9X6aQ</t>
  </si>
  <si>
    <t>2024-01-10T19:38:36Z</t>
  </si>
  <si>
    <t>g2_3jU7ysdc</t>
  </si>
  <si>
    <t>2024-05-13T16:05:54Z</t>
  </si>
  <si>
    <t>['shorts', 'amazing facts', 'science facts', 'shorts hindi', 'latest viral shorts']</t>
  </si>
  <si>
    <t>hU4eMj23Aa8</t>
  </si>
  <si>
    <t>Katerine - Ayo Technology</t>
  </si>
  <si>
    <t>2009-03-30T14:05:42Z</t>
  </si>
  <si>
    <t>UCHeo8472OnB2poQyPvcBx9g</t>
  </si>
  <si>
    <t>MyMusic</t>
  </si>
  <si>
    <t>['usher', 'baths', 'right', 'Ayo', 'nelly', 'cent', 'Katerine', 'around', 'remix', 'goes around', 'ciara', 'video clip', 'goes', 'featuring', 'music', 'madonna', 'value', 'timberlake', 'Dancing', 'Clip', 'All', 'comes', 'say', 'magic', 'nelly furtado', 'justin', 'shock', 'feat', 'mobile', 'minutes', 'Best', 'beds baths', 'beds', 'say right', 'furtado', 'Technology', 'Artist', 'charts', 'future', 'timberland', 'timbaland']</t>
  </si>
  <si>
    <t>Op_xFYWaKWc</t>
  </si>
  <si>
    <t>China technology</t>
  </si>
  <si>
    <t>2022-05-13T04:36:07Z</t>
  </si>
  <si>
    <t>UCpBAFkFmMPVhyxRahMMkqjQ</t>
  </si>
  <si>
    <t>Nishu Rider 001</t>
  </si>
  <si>
    <t>rp6fxCrCtbg</t>
  </si>
  <si>
    <t>China Advance Technology ðŸ˜±</t>
  </si>
  <si>
    <t>2024-11-30T16:30:16Z</t>
  </si>
  <si>
    <t>UCNkUROwawopm-3gWXm_4Kpg</t>
  </si>
  <si>
    <t>The Facts Usa</t>
  </si>
  <si>
    <t>GY9usnmuC0g</t>
  </si>
  <si>
    <t>2025-04-23T15:35:07Z</t>
  </si>
  <si>
    <t>['new bike', 'bike technology', 'ATM bike', 'viral bike', 'new ATM', 'new indian bike', 'bike coins shorts', 'ATM tricks', 'new ATM video', 'viral technology', 'new hack', 'Tesla bike', 'Tesla new technology', 'YouTube shorts', 'bike experiment']</t>
  </si>
  <si>
    <t>72O_2Wid1d8</t>
  </si>
  <si>
    <t>2025-03-29T06:01:05Z</t>
  </si>
  <si>
    <t>UCQXG7nBmEbQ6WMc6CIrVtJg</t>
  </si>
  <si>
    <t>Jax Zone</t>
  </si>
  <si>
    <t>['Technology', 'Technology funny video', 'Technologia viral', 'Technology viral video', 'Short video', 'Comedy video', 'Trending video', 'YouTube trending video', 'Instagram trending', 'Reels', 'Funny video', 'Funny', 'Facebook funny video', 'Sikandar movie trailer', 'Sikandar movie song', 'Eid Mubarak', 'Akka', 'Eid Mubara', 'Eid Mubarak song', 'Mubarak eid mubarak', 'Mitha']</t>
  </si>
  <si>
    <t>g2x0tLg6mzk</t>
  </si>
  <si>
    <t>2025-01-25T10:28:54Z</t>
  </si>
  <si>
    <t>UCQGINbsakaZx6I5x3PwmWfA</t>
  </si>
  <si>
    <t>On Road Indian</t>
  </si>
  <si>
    <t>DDD_5wDitto</t>
  </si>
  <si>
    <t>2023-11-13T06:45:00Z</t>
  </si>
  <si>
    <t>UCq30pSBD9tX6d5_xT5aNPoA</t>
  </si>
  <si>
    <t>Tech Master</t>
  </si>
  <si>
    <t>['best smartphone under 40k', 'best smartphone under 40k in bangladesh', 'best smartphone under 40k in bd', 'best phone under 40000', 'best smartphone under 40000', 'tech', 'tech master', 'tech master shorts', 'best phone under 40000 in 2023', 'best phone under 40000 in india 2023', 'best phone under 40000 in india', 'Best smartphone under 40000', 'Best phone under 40000', 'Oneplus 11r', 'nothing phone 2', 'Iqoo neo 7 pro', 'Pixel 7a', 'Oneplus nord 3', 'Oneplus', 'Samsung', 'oneplus 11r', 'samsung s21 fe', 'vivo v27 pro']</t>
  </si>
  <si>
    <t>iOCq_vONzaI</t>
  </si>
  <si>
    <t>2025-05-19T15:47:21Z</t>
  </si>
  <si>
    <t>UCHGMvINAw7UFfk65SpAPw2Q</t>
  </si>
  <si>
    <t>SmartphoneFan</t>
  </si>
  <si>
    <t>cWKTL81IxFs</t>
  </si>
  <si>
    <t>2024-08-26T17:15:24Z</t>
  </si>
  <si>
    <t>A2Kj_ZfmoVo</t>
  </si>
  <si>
    <t>Crazy Gadgets Of China ðŸ¤¯</t>
  </si>
  <si>
    <t>2024-07-22T07:34:03Z</t>
  </si>
  <si>
    <t>UCVqI2QpteQwPCpIp0KKi0Tw</t>
  </si>
  <si>
    <t>Rich Baba</t>
  </si>
  <si>
    <t>['Amazing Gadgets Of China ðŸ¤¯', 'Amazing China Invention', 'China Amazing Invention', 'Top - 3 Chinese Gadgets', 'Amazing China Gadgets', 'Awesome Chinese Gadgets', 'Top - 3 Amazing Gadgets', 'Amazing Crazy Gadgets', 'Top 3 Cool Chinese Gadgets', 'Top 3 Crazy Gadgets', 'Gadgets', 'Tech Gadgets', 'viral', 'Comedy', 'Funny']</t>
  </si>
  <si>
    <t>dD3r2UkmJtg</t>
  </si>
  <si>
    <t>2024-06-01T06:38:20Z</t>
  </si>
  <si>
    <t>UCLverqV6G5MER0YXM4LienQ</t>
  </si>
  <si>
    <t>Vigyan Recharge</t>
  </si>
  <si>
    <t>['#vigyanRecharge', '#shorts', '#engineering', 'Shorts', '#science', '#vigyan', '#physics', '#fun']</t>
  </si>
  <si>
    <t>G5IrhtQ5Sds</t>
  </si>
  <si>
    <t>2025-03-29T17:14:10Z</t>
  </si>
  <si>
    <t>UC9MNtiq6SDJKL6Ssip0pi4Q</t>
  </si>
  <si>
    <t>Ajju_vlogs855</t>
  </si>
  <si>
    <t>dnVo4jr19go</t>
  </si>
  <si>
    <t>2025-06-04T13:01:14Z</t>
  </si>
  <si>
    <t>UCUAgJ9XvHfsGTMwoWckXtUQ</t>
  </si>
  <si>
    <t>Daily Planetz</t>
  </si>
  <si>
    <t>OhbphOxQ7ew</t>
  </si>
  <si>
    <t>2024-07-02T00:42:51Z</t>
  </si>
  <si>
    <t>UC9Iqczs-U5nhOFsQ_n1bZmQ</t>
  </si>
  <si>
    <t>Adhik Gyan</t>
  </si>
  <si>
    <t>['shorts', 'Elon musk', 'neuralink', 'how neuralink chip work', 'first person', 'Facts', 'viral video', 'akash Parihar', 'a2motivation']</t>
  </si>
  <si>
    <t>BOYYWTPaGNk</t>
  </si>
  <si>
    <t>2025-05-02T09:00:03Z</t>
  </si>
  <si>
    <t>UCGqfCP9PVuKu8RJsoJT-F6A</t>
  </si>
  <si>
    <t>Unique Troll</t>
  </si>
  <si>
    <t>['trollface', 'trollface edit', 'trolledit', 'skulledit', 'edit', 'technology', 'technologya', 'coldest moment', 'unique technology']</t>
  </si>
  <si>
    <t>2vCBxgKktkg</t>
  </si>
  <si>
    <t>2024-11-08T12:33:34Z</t>
  </si>
  <si>
    <t>UCpkqz2tiWoJ_GDtloiQyGRA</t>
  </si>
  <si>
    <t>yummyfarm</t>
  </si>
  <si>
    <t>XalhKVHFLSU</t>
  </si>
  <si>
    <t>2025-01-12T18:00:22Z</t>
  </si>
  <si>
    <t>UCddbE0TKdiOMfkawq45kWJw</t>
  </si>
  <si>
    <t>DigZen</t>
  </si>
  <si>
    <t>5eYTHiC55Bo</t>
  </si>
  <si>
    <t>3 Tech Myths BustedâŒ</t>
  </si>
  <si>
    <t>#shorts #smartphone #tech #mythbusters</t>
  </si>
  <si>
    <t>2024-10-10T15:48:47Z</t>
  </si>
  <si>
    <t>UCoL68NLLSUQqEDwMZPvrdEg</t>
  </si>
  <si>
    <t>TechBurner Shorts</t>
  </si>
  <si>
    <t>['tech', 'best tech', 'tech news', 'cool tech', 'tech gifts', 'cheap tech', 'big tech', 'dog tech', 'new tech', 'top tech', '2024 tech', 'prim tech', 'tech prim', 'tiny tech', 'thin tech', 'tech n9ne', 'tech fails', 'tech deals', 'weird tech', 'tech world', 'smart tech', 'kitchen tech', 'tech under 50', 'tech under 25', 'laid off tech', 'smallest tech', 'cheapest tech', 'tech unboxing', 'emerging tech', 'tech under $50', 'primitive tech', 'tech primitive', 'cool tech gifts', 'best tech gifts', 'weekly tech news']</t>
  </si>
  <si>
    <t>qkWVwqVoMGY</t>
  </si>
  <si>
    <t>2025-06-20T12:30:18Z</t>
  </si>
  <si>
    <t>UCsEzRn6gjCHpC5ddx1MEgUQ</t>
  </si>
  <si>
    <t>AK Tech Shorts</t>
  </si>
  <si>
    <t>ZOj8cDqFTws</t>
  </si>
  <si>
    <t>2024-11-04T12:30:35Z</t>
  </si>
  <si>
    <t>UCwr-evhuzGZgDFrq_1pLt_A</t>
  </si>
  <si>
    <t>Error Makes Clever</t>
  </si>
  <si>
    <t>mChqRhQOvJ0</t>
  </si>
  <si>
    <t>2025-04-13T16:35:44Z</t>
  </si>
  <si>
    <t>['bike technology', 'bike video', 'india bike', 'bike experiment', 'ATM bike', 'motorcycle shorts', 'bike tricks', 'bike rider', 'bike hack', 'bike juice hack', 'juice tricks', 'money bike', 'money new tricks', 'bike shorts', 'india new bike', 'ATM technology', 'bike ATM video']</t>
  </si>
  <si>
    <t>PbB5r2p3Sl4</t>
  </si>
  <si>
    <t>2024-05-25T14:43:01Z</t>
  </si>
  <si>
    <t>UCglXlpWjIi95auM3umWWLdw</t>
  </si>
  <si>
    <t>Tech Master Shorts</t>
  </si>
  <si>
    <t>['tech master', 'shorts', 'technology', 'facts', 'amazingtipsandtricks', 'arvind kharra', 'GADGETS', 'zoom', '200x zoom', 's24 ultra zoom', 'smartphone zoom', 'iphone zoom', 'gadget', 'new product', 'master shorts', '400x zoom', 'apple zoom', 'new videos', 'viral trick', 'india', 'hindi', 'latest videos', 'most popular gadget', 'zoom camera', 'smartphone', 'zooming gadget', 'techmaster']</t>
  </si>
  <si>
    <t>iPJfSknuO8I</t>
  </si>
  <si>
    <t>2025-05-07T09:45:42Z</t>
  </si>
  <si>
    <t>UCKeYOr6dVjJR8dUYNqDUr4Q</t>
  </si>
  <si>
    <t>The Goat Saga</t>
  </si>
  <si>
    <t>['Troll face', 'troll face edit', 'trending edit']</t>
  </si>
  <si>
    <t>DENG7Q7VRgo</t>
  </si>
  <si>
    <t>2017-12-16T15:25:23Z</t>
  </si>
  <si>
    <t>UCToZSQjcLTIqcmONexj_Q8w</t>
  </si>
  <si>
    <t>Astrolabe</t>
  </si>
  <si>
    <t>['FLOPPY DISK', 'THUMB DRIVE', 'BOOKS', 'KINDLE', 'FORD MODEL T', 'FORD GT', 'TELEVISION', 'UHDTV', 'VIDEO CAM', 'HI-DEF VIDEO RECORDER', 'LAPTOP', 'COMPACT ULTRAPORTABLES', 'MOBILE PHONE', 'SMARTPHONE', 'ENIAC', 'PORTABLE CALCULATOR', 'past', 'present', 'Technology']</t>
  </si>
  <si>
    <t>ahU946l6ZLw</t>
  </si>
  <si>
    <t>4 Unknown Tech Facts</t>
  </si>
  <si>
    <t>Share with your friends!</t>
  </si>
  <si>
    <t>2021-11-02T05:00:01Z</t>
  </si>
  <si>
    <t>['tech facts', 'facts', 'random facts', 'amazing facts', 'interesting facts', 'tech facts in hindi', 'science facts', 'technology facts', 'tech', 'tech facts in telugu', 'facts about technology', 'top tech facts', 'tech facts 2021', 'tech facts today', 'tech facts daily', 'tech facts hindi']</t>
  </si>
  <si>
    <t>ZjxiNW-6aPU</t>
  </si>
  <si>
    <t>2023-01-24T13:55:01Z</t>
  </si>
  <si>
    <t>UCvo2tOQ0yDJLFRi7QAt58yA</t>
  </si>
  <si>
    <t>MostTechy Shorts</t>
  </si>
  <si>
    <t>RM717Aj_VKQ</t>
  </si>
  <si>
    <t>2023-12-31T12:01:04Z</t>
  </si>
  <si>
    <t>UCsszPWN4P6mKHmuMz3xZC8Q</t>
  </si>
  <si>
    <t>TechIN</t>
  </si>
  <si>
    <t>['inventions', 'gadgets', 'technology', 'tech', 'amazing inventions you must see', 'inventions of the future', 'THE CRYPTIDE SNEAKER', 'WAYRAY AR', 'PADRONE', 'ATOUN TABITO 02', 'KARA PURE', 'AZERON CYBORG', 'PRODRONE PD6B-AW-ARM', 'BELL NEXUS', 'EMERGE HOME', 'EKTO ONE', 'MANGO POWER', 'PUDU BELLABOT', 'Lâ€™ORÃ‰AL COLORSONIC', '15 amazing concept', 'Mercedes Vision EQXX', 'Martini 6.0', 'Hill HX50', 'VeloX V', 'TCL CSOT', 'Panther KF51', 'Air Yacht V2', 'Pearl suites', 'Flowspace Pod', 'The Huntress', 'Matthieu Tarrit Polar Vehicle']</t>
  </si>
  <si>
    <t>hUBSHHrkgqw</t>
  </si>
  <si>
    <t>2025-06-08T11:04:37Z</t>
  </si>
  <si>
    <t>UC-zx3tEi3t7JYCeR09f7Tpw</t>
  </si>
  <si>
    <t>Technical chahal 1M</t>
  </si>
  <si>
    <t>_vUUs5rrRAs</t>
  </si>
  <si>
    <t>2024-12-11T15:00:50Z</t>
  </si>
  <si>
    <t>iz2sZfxkn2M</t>
  </si>
  <si>
    <t>2025-03-18T06:01:36Z</t>
  </si>
  <si>
    <t>UCccExinXJkC9aQHROcCizaQ</t>
  </si>
  <si>
    <t>ideal institute aligarh</t>
  </si>
  <si>
    <t>['Ic Reballing Tricks #mobilerepair #technology', 'how to ic reballing', 'ic reballing', 'bga reballing', 'ic reballing tips', 'ic reballing trick', 'ic repairing', 'how to ic repairing', 'ic reball', 'ic reballing problem', 'ic not reballing', 'after reballing ic short', 'perfect ic reballing', 'perfectly ic reballing', 'best method for ic reballing', 'ic reballing problem solution', 'mobile repair', 'mobile repairing', 'mobile repairing course', 'electronics', 'soldering', 'desoldering', 'soldering tutorial', 'flux paste']</t>
  </si>
  <si>
    <t>i2k6jHHzK4s</t>
  </si>
  <si>
    <t>2024-09-11T23:00:32Z</t>
  </si>
  <si>
    <t>UCyV_WlB1BsOyImfMyLbX68Q</t>
  </si>
  <si>
    <t>Learn Something New</t>
  </si>
  <si>
    <t>['microchip', 'cpu', 'phone cpu', 'tech', 'technology', 'microscope', 'computer science', 'chip fabrication', 'circuits', 'semiconductors', 'learn', 'learn something new']</t>
  </si>
  <si>
    <t>0N8kGDSBMEw</t>
  </si>
  <si>
    <t>Technologia âœ…  TechnologyâŒ</t>
  </si>
  <si>
    <t>2025-04-02T10:53:04Z</t>
  </si>
  <si>
    <t>UCrkP7L7oieiejXdQHWLqYIg</t>
  </si>
  <si>
    <t>Manoj Saru</t>
  </si>
  <si>
    <t>IVz9cpC-bPc</t>
  </si>
  <si>
    <t>2025-04-05T06:11:20Z</t>
  </si>
  <si>
    <t>UCTElrLO8jq4_59DoYZsDhDw</t>
  </si>
  <si>
    <t>TF2 iNAYAT</t>
  </si>
  <si>
    <t>['technology meme free fire', 'free fire max', 'the inayat', 'funny', 'shorts', 'trends', 'viral']</t>
  </si>
  <si>
    <t>Cn7020nMstc</t>
  </si>
  <si>
    <t>2025-04-08T04:36:25Z</t>
  </si>
  <si>
    <t>UC3hsgInrT3d9FEYQW82OFTw</t>
  </si>
  <si>
    <t>Suraj pk comedy</t>
  </si>
  <si>
    <t>HpTax3ukTrE</t>
  </si>
  <si>
    <t>2025-06-20T19:06:02Z</t>
  </si>
  <si>
    <t>UCCiGY0qGJ6ArOh8FpwgmxJQ</t>
  </si>
  <si>
    <t>ryan</t>
  </si>
  <si>
    <t>Qh9lWfIcg08</t>
  </si>
  <si>
    <t>2025-03-08T03:30:13Z</t>
  </si>
  <si>
    <t>UCGVfw2366cErHJVRAW-sF-A</t>
  </si>
  <si>
    <t>Echelon world</t>
  </si>
  <si>
    <t>['Shorts', 'Shorts feed', 'Yt shorts', 'Youtube shorts']</t>
  </si>
  <si>
    <t>zHnn-92jG_Q</t>
  </si>
  <si>
    <t>2025-02-07T11:42:11Z</t>
  </si>
  <si>
    <t>fjo_mb1oSUA</t>
  </si>
  <si>
    <t>2024-08-31T02:45:01Z</t>
  </si>
  <si>
    <t>UCNUs-Bc-D0cNjvutSX8pxFA</t>
  </si>
  <si>
    <t>Edward Factz</t>
  </si>
  <si>
    <t>['shorts', 'japan technology', 'japan technology shorts', 'japanese technology', 'tech', 'This Japanese Technology is AmazingðŸ˜±', 'yt shorts', 'youtube shorts', 'trending shorts', 'short video', 'shorts video', 'short', 'amazing facts', 'amazing facts in hindi', 'interesting facts', 'mind blowing facts', 'facts', 'facts in hindi', 'random facts', 'edward factz']</t>
  </si>
  <si>
    <t>BgR_F3ujanE</t>
  </si>
  <si>
    <t>2025-05-29T02:15:57Z</t>
  </si>
  <si>
    <t>UCIiBURO5RZKzAjoT6g9iYFQ</t>
  </si>
  <si>
    <t>Phonix FF</t>
  </si>
  <si>
    <t>['freefire', 'freefire Telugu', 'freefire india', '#1million complete', 'shortsfeed', 'trending', 'popular', 'how to viral a short video']</t>
  </si>
  <si>
    <t>yYO3UstXI2M</t>
  </si>
  <si>
    <t>2025-03-22T05:03:57Z</t>
  </si>
  <si>
    <t>UCssTsMMA2EiDWoXR_qV-KVg</t>
  </si>
  <si>
    <t>sfrvsubhan</t>
  </si>
  <si>
    <t>['technology', 'TECHNOLOGY', 'TECHNOLOGY ORÄ°GÄ°NAL', 'technology original', 'viral video', 'viral', 'funny', 'funny video', 'trend funny video', 'trend video', 'sfrvsubhan', 'seferov subhan']</t>
  </si>
  <si>
    <t>tmUfzbmxHnI</t>
  </si>
  <si>
    <t>2025-05-28T09:21:31Z</t>
  </si>
  <si>
    <t>UCzzirC9w-48gsxrdpLxH2Jg</t>
  </si>
  <si>
    <t>ANFF LIVE</t>
  </si>
  <si>
    <t>['#freefire @raistar #funny #technologia']</t>
  </si>
  <si>
    <t>lAnlIt8Ee3I</t>
  </si>
  <si>
    <t>2025-06-04T16:39:55Z</t>
  </si>
  <si>
    <t>['bike shorts', 'viral bike', 'ATM bike', 'ATM technology', 'Indian bike', 'Indian ATM bike', 'bike ride', 'new bike', 'new technologies', 'viral short bike', 'Indian technology bike', 'bike experiment', 'experiment shorts', 'YouTube shorts', 'viral shorts']</t>
  </si>
  <si>
    <t>LdlLUogNYMw</t>
  </si>
  <si>
    <t>2024-02-25T16:03:59Z</t>
  </si>
  <si>
    <t>['Tech', 'india', 'gadgets', 'cool tech', 'tech gifts', 'cheap tech', 'cheap']</t>
  </si>
  <si>
    <t>zWzF4eQaKYs</t>
  </si>
  <si>
    <t>2024-09-26T13:58:24Z</t>
  </si>
  <si>
    <t>UCiO3cv9toTRF2cQxHDXZDhQ</t>
  </si>
  <si>
    <t>Jsinfo shorts</t>
  </si>
  <si>
    <t>['ai breakthroughs', 'ai future', 'cool gadgets', 'future of ai', 'future tech', 'future technology', 'gadget trends', 'gadgets', 'home automation', 'home automation ideas', 'inventions', 'japan tech trends', 'robotics development', 'robotics excellence', 'robotics future', 'robotics innovations', 'robotics news', 'robotics trends', 'smart home devices', 'smart home gadgets', 'smart home ideas', 'smart home tech', 'smart solutions', 'smart tech solutions', 'tech breakthroughs', 'tech innovations', 'tech mavericks', 'technology']</t>
  </si>
  <si>
    <t>D7Bevixm-Mo</t>
  </si>
  <si>
    <t>Pakistan Ki Technology ðŸ˜‚</t>
  </si>
  <si>
    <t>2025-05-28T07:50:42Z</t>
  </si>
  <si>
    <t>UC3KGumGbw4sHlnUtgtn9IqQ</t>
  </si>
  <si>
    <t>Bobby Ustad</t>
  </si>
  <si>
    <t>['Pakistani funny video', 'Khan baba roast', 'Pakistani technology', 'Roast', 'Comedy']</t>
  </si>
  <si>
    <t>0Fgk0LYVkNI</t>
  </si>
  <si>
    <t>2025-06-17T13:00:01Z</t>
  </si>
  <si>
    <t>UCQeRaTukNYft1_6AZPACnog</t>
  </si>
  <si>
    <t xml:space="preserve">Asmongold TV  </t>
  </si>
  <si>
    <t>['asmongold', 'asmongold reacts', 'asmongold wow', 'asmongold highlights', 'asmongold youtube', 'world of warcraft', 'asmongold funny', 'asmongold tv', 'asmongold channel', 'zackrawrr']</t>
  </si>
  <si>
    <t>1NagraXOMsc</t>
  </si>
  <si>
    <t>2025-04-24T10:30:43Z</t>
  </si>
  <si>
    <t>['Broken Flex Repair #mobilerepair #technology', 'how to repair broken flex', 'how to repair flex', 'how to repair damage flex', 'how to repair cutted flex', 'how to repair turn flex', 'broken flex', 'damage flex', 'broken cable flex repair', 'broken ribon flex repair', 'broken belt flex repair', 'mobile repair', 'mobile repairing', 'mobile repairing complete course full video', 'electronic', 'soldering', 'micro soldering', 'micro jumper', 'flux paste', 'solder paste', 'solder mask', 'uv mask', 'broken flex repairing']</t>
  </si>
  <si>
    <t>UrgqdJ6vtoY</t>
  </si>
  <si>
    <t>#ishowspeed #trending #viral #china #technology</t>
  </si>
  <si>
    <t>2025-04-02T16:20:03Z</t>
  </si>
  <si>
    <t>UCYRrP22txtZdPr7t2IxkR9w</t>
  </si>
  <si>
    <t>Ironaldox</t>
  </si>
  <si>
    <t>4nVjPcVtv_w</t>
  </si>
  <si>
    <t>2025-03-14T02:35:45Z</t>
  </si>
  <si>
    <t>UCTAliyUXj9YL5k_6LVc6Iww</t>
  </si>
  <si>
    <t>Kashan Rehmani Vlogs</t>
  </si>
  <si>
    <t>xJHCo8OxNbc</t>
  </si>
  <si>
    <t>2024-05-17T17:26:17Z</t>
  </si>
  <si>
    <t>UCFpaOPdt17s83Z35VDlREBw</t>
  </si>
  <si>
    <t xml:space="preserve">Spark Animasyon </t>
  </si>
  <si>
    <t>o4jEHIGBR_U</t>
  </si>
  <si>
    <t>2025-04-20T06:35:00Z</t>
  </si>
  <si>
    <t>['Technology', 'Trending technologia', 'Trending technology', 'Technology funny video', 'Funny', 'Video', 'Viral', 'Trending memes', 'Reels', 'Instagram trending video', 'Lol', 'Haha', 'Jaat movie total collection', 'Jaat movie action scene', 'Ai trending']</t>
  </si>
  <si>
    <t>TaZZOxYDfeA</t>
  </si>
  <si>
    <t>How much does B.TECH pay?</t>
  </si>
  <si>
    <t>2023-05-12T10:13:54Z</t>
  </si>
  <si>
    <t>UCvknEk1Bjmep7Ebv6QrJGSg</t>
  </si>
  <si>
    <t>Broke Brothers</t>
  </si>
  <si>
    <t>g5-S3Uief-E</t>
  </si>
  <si>
    <t>2025-04-15T12:08:25Z</t>
  </si>
  <si>
    <t>UC9kGAFMDzda_bHkfrYcKmtQ</t>
  </si>
  <si>
    <t>Trendy Tech Review Show</t>
  </si>
  <si>
    <t>KvN3JXICzdM</t>
  </si>
  <si>
    <t>2024-11-27T13:00:31Z</t>
  </si>
  <si>
    <t>UCUTF61UNExRdjmoK5mXwWfQ</t>
  </si>
  <si>
    <t>AI Uncovered</t>
  </si>
  <si>
    <t>['top 20 new technology trends that will define the future', 'future technology trends', 'latest tech innovations', 'new technology 2024', 'top tech trends 2024', 'future of ai', 'quantum computing advancements', 'sustainable technology trends', 'advanced robotics future', 'web3 technology', 'renewable energy innovations', 'future of healthcare technology', 'technology trends reshaping industries', 'top tech trends of the future', 'breakthroughs in artificial intelligence', 'ai uncovered']</t>
  </si>
  <si>
    <t>UlCIc17u2ec</t>
  </si>
  <si>
    <t>2024-09-29T13:35:40Z</t>
  </si>
  <si>
    <t>UCXbv3qLKS0B63kakKcc8E0g</t>
  </si>
  <si>
    <t>FactsZilla</t>
  </si>
  <si>
    <t>['amazing facts', 'amazing information', 'unique techniques', 'Japanese next level technology', 'japan technology', 'unique techniques about']</t>
  </si>
  <si>
    <t>nM0Q6-vQuv4</t>
  </si>
  <si>
    <t>2024-02-20T06:30:38Z</t>
  </si>
  <si>
    <t>UC92-zm0B8vLq-mtJtSHnrJQ</t>
  </si>
  <si>
    <t>The Wrench</t>
  </si>
  <si>
    <t>h0xOdfMJTJI</t>
  </si>
  <si>
    <t>2022-05-27T07:07:04Z</t>
  </si>
  <si>
    <t>UCOvOXLATfCrOJmAYaO4mRBA</t>
  </si>
  <si>
    <t>VFX HD</t>
  </si>
  <si>
    <t>wGBEjmdr6tw</t>
  </si>
  <si>
    <t>what is Information technology</t>
  </si>
  <si>
    <t>2024-08-03T21:00:40Z</t>
  </si>
  <si>
    <t>UCtATf9reJ2p7781q2n2F4_w</t>
  </si>
  <si>
    <t>Easy to write</t>
  </si>
  <si>
    <t>['#what', '#whatisit', '#whatis', '#information technology', '#information', '#technology', '#informations', '#technologies', '#whatisinformationtechnology', '#shorts', '#easy', '#easytowrite', '#computer', '#video', '#education', '#howtowrite']</t>
  </si>
  <si>
    <t>Xy26ECyV3LA</t>
  </si>
  <si>
    <t>2025-06-18T19:00:25Z</t>
  </si>
  <si>
    <t>RWbvNuEwXVc</t>
  </si>
  <si>
    <t>2024-08-25T15:29:58Z</t>
  </si>
  <si>
    <t>['smartphone', 'smartphone review', 'xreal beam pro', 'xreal air 2 pro', 'xreal beam pro and air 2 pro review', 'xreal air 2 pro and beam pro', 'xreal air 2 pro review', 'xreal beam pro review', 'air 2 pro', 'xreal ar glasses', 'ar glasses', 'xreal', '3d ar glasses']</t>
  </si>
  <si>
    <t>DJHXrLqugcA</t>
  </si>
  <si>
    <t>2025-06-12T01:45:38Z</t>
  </si>
  <si>
    <t>UCHvF0weGdYOYqFO1oy5cWZw</t>
  </si>
  <si>
    <t>YANPOL</t>
  </si>
  <si>
    <t>['teclado', 'led', 'holograma', 'bluethoot']</t>
  </si>
  <si>
    <t>wO_0wNI0aBo</t>
  </si>
  <si>
    <t>Charge Your Phone In 2 Seconds</t>
  </si>
  <si>
    <t>2025-01-15T15:30:20Z</t>
  </si>
  <si>
    <t>4qNVBYTGl9I</t>
  </si>
  <si>
    <t>Ayo Technology</t>
  </si>
  <si>
    <t>2019-01-09T06:45:39Z</t>
  </si>
  <si>
    <t>UCOcnYBwT1jb6EHlS0cwhNkA</t>
  </si>
  <si>
    <t>50 Cent - Topic</t>
  </si>
  <si>
    <t>['50 Cent', 'ãƒ•ã‚£ãƒ•ãƒ†ã‚£ã‚»ãƒ³ãƒˆ', '50ã‚»ãƒ³ãƒˆ', 'Justin Timberlake', 'ã‚¸ãƒ£ã‚¹ãƒ†ã‚£ãƒ³ãƒ†ã‚£ãƒ³ãƒãƒ¼ãƒ¬ã‚¤ã‚¯', 'ã‚¸ãƒ£ã‚¹ãƒ†ã‚£ãƒ³ãƒ»ãƒ†ã‚£ãƒ³ãƒãƒ¼ãƒ¬ã‚¤ã‚¯', 'Best Of 50 Cent', 'Ayo Technology']</t>
  </si>
  <si>
    <t>SzMiJFOa6w8</t>
  </si>
  <si>
    <t>2024-02-17T11:00:31Z</t>
  </si>
  <si>
    <t>['ai', 'artificial intelligence', 'future business tech', 'future technology', 'future tech', 'future business technologies', 'future technologies', 'artificial general intelligence', 'artificial superintelligence', 'superintelligence', 'future city', 'radical life extension', 'crispr', 'quantum computer', 'neuralink', 'humanoid robot', 'generative ai', 'starlink', 'nanotechnology', 'smart cities', 'mixed reality', 'autonomous vehicles', 'blockchain', 'lab grown meat', 'smart home', 'fusion power', 'space tourism', 'artificial wombs']</t>
  </si>
  <si>
    <t>5VTvYuE6zVs</t>
  </si>
  <si>
    <t>2025-06-10T00:47:46Z</t>
  </si>
  <si>
    <t>UCK7tptUDHh-RYDsdxO1-5QQ</t>
  </si>
  <si>
    <t>The Wall Street Journal</t>
  </si>
  <si>
    <t>['wwdc 2024', 'apple', 'apple news', 'ios26', 'apple ios26', 'apple wwdc 2025', 'wwdc recap', 'liquid glass', 'apple liquid glass', 'visual intelligence', 'ai', 'ai news', 'apple ai', 'siri', 'siri update', 'call screening', 'hold assist', 'live translation', 'apple redesign', 'apple event', 'apple intelligence', 'apple wwdc', 'apple product review', 'apple smart home hub', 'apple new software', 'software updates', 'iphone', 'iphone news', 'safari redesign', 'carplay', 'iphone camera', 'phone screening', 'google', 'samsung', 'tech news', 'techy']</t>
  </si>
  <si>
    <t>PFcqKDOjMzM</t>
  </si>
  <si>
    <t>2024-10-01T03:22:46Z</t>
  </si>
  <si>
    <t>UCwyTuMaiJk8tdRf50uZCmtA</t>
  </si>
  <si>
    <t>BornToFly22</t>
  </si>
  <si>
    <t>bvn7mH7l2Qs</t>
  </si>
  <si>
    <t>2025-05-13T00:08:29Z</t>
  </si>
  <si>
    <t>UC0MYNOsIrz6jmXfIMERyRHQ</t>
  </si>
  <si>
    <t>Karl Conrad</t>
  </si>
  <si>
    <t>['Samsung galaxy s25 edge', 'Samsung s25 edge', 'samsung s25 edge camera', 'samsung s25 edge unboxing', 'samsung s25 edge review', 'samsung s25 edge hands on', 'samsung s25 edge', 'samsung galaxy s25 edge review', 'samsung galaxy s25 edge camera', 'samsung galaxy s25 edge hands on', 'samsung galaxy s25 edge vs s25 ultra', 's25 ultra vs s25 edge', 's25 edge vs s25 ultra', 'Samsung galaxy s25 ultra vs s25 edge', 'smartphone', 'tech', 'technology', 'phone', 'shorts', 'youtube shorts', 'tech unboxing', 'android', 'tech shorts']</t>
  </si>
  <si>
    <t>Ms3a1hbZlaU</t>
  </si>
  <si>
    <t>2024-09-20T09:23:46Z</t>
  </si>
  <si>
    <t>['Gadgets', 'CoolGadgets', 'GadgetReview', 'SmartGadgets', 'MustHaveGadgets', 'CoolTech', 'GadgetGeek', 'LatestTech']</t>
  </si>
  <si>
    <t>47gDOw_PNrw</t>
  </si>
  <si>
    <t>2025-06-11T12:14:42Z</t>
  </si>
  <si>
    <t>UCzNl75jitCHmIHVcK9girAQ</t>
  </si>
  <si>
    <t>Thanks Invention</t>
  </si>
  <si>
    <t>IPptIw6-meQ</t>
  </si>
  <si>
    <t>2024-07-27T11:55:51Z</t>
  </si>
  <si>
    <t>UCdO1c-gvJuDA_7D66Su2esg</t>
  </si>
  <si>
    <t>Khushi Sharma</t>
  </si>
  <si>
    <t>xXF6-C3XC2E</t>
  </si>
  <si>
    <t>2025-06-07T15:36:51Z</t>
  </si>
  <si>
    <t>['bike shorts', 'bike technology', 'chai lovers', 'bike lovers', 'viral bike', 'ATM bike', 'new feature bike', 'viral short bike', 'Indian bike', 'Indian bike shorts', 'new bike', 'new technologies', 'YouTube shorts', 'new shorts', 'feed shorts', 'new bike shorts']</t>
  </si>
  <si>
    <t>HtNXxoHl99Q</t>
  </si>
  <si>
    <t>2025-01-23T06:50:00Z</t>
  </si>
  <si>
    <t>['tech master', 'shorts', 'technology', 'facts', 'amazingtipsandtricks', 'arvind kharra', 'samsung galaxt s25 ultra', 'galaxy s25', 'india', 'samsung', 'tech', 'tech master shorts', 'hindi', 's25 ultra', 's25 series', 'fastest phone 2025', 'enable fast charging in android', 'boost gaming performance in any smartphone', 'viral', 'entertainment', 'funny', 'comedy']</t>
  </si>
  <si>
    <t>0cZ9AVA4oMs</t>
  </si>
  <si>
    <t>2025-06-20T13:33:19Z</t>
  </si>
  <si>
    <t>UC_bN7yBXpdfszkJXaTRDJbw</t>
  </si>
  <si>
    <t>Prabhat gaupale</t>
  </si>
  <si>
    <t>g8DA2e0LoIw</t>
  </si>
  <si>
    <t>2025-04-01T14:28:05Z</t>
  </si>
  <si>
    <t>UCnzi4YrXHlSsSlsQ3cTThbQ</t>
  </si>
  <si>
    <t>SpeedNaldo7</t>
  </si>
  <si>
    <t>Ec_nLzmdKWE</t>
  </si>
  <si>
    <t>2024-11-27T20:00:09Z</t>
  </si>
  <si>
    <t>UCjzQOIISFGqui9A4__hJNJw</t>
  </si>
  <si>
    <t>Scitech-Time</t>
  </si>
  <si>
    <t>2XxA16p3mlo</t>
  </si>
  <si>
    <t>2025-04-14T15:43:29Z</t>
  </si>
  <si>
    <t>UChT7Ga_9INnIrVPBNXo7aqA</t>
  </si>
  <si>
    <t>Factops</t>
  </si>
  <si>
    <t>VmqH41dydeI</t>
  </si>
  <si>
    <t>2024-09-26T07:02:08Z</t>
  </si>
  <si>
    <t>UC0labapmBYc-gdwcFRzWVlg</t>
  </si>
  <si>
    <t>Monash Information Technology</t>
  </si>
  <si>
    <t>['Australia', 'Career', 'Computer Science', 'Higher Education', 'Information Technology', 'Job', 'Melbourne', 'Study', 'Top University', 'University']</t>
  </si>
  <si>
    <t>Oyc9c1q0RRU</t>
  </si>
  <si>
    <t>2024-04-21T13:45:01Z</t>
  </si>
  <si>
    <t>UCGza0UwOOdcryLK-1taT8SA</t>
  </si>
  <si>
    <t>Techà¤µà¤¾à¤²à¤¾</t>
  </si>
  <si>
    <t>['perpetu motion machine', 'free energy machine', 'free energy setup Desi jugaad', 'best free energy machine']</t>
  </si>
  <si>
    <t>ICVuIjZ1OkY</t>
  </si>
  <si>
    <t>2025-03-10T15:06:52Z</t>
  </si>
  <si>
    <t>UCIwDtUGlxhQcQ38ihxtGD3Q</t>
  </si>
  <si>
    <t>Tech Guru Kaka</t>
  </si>
  <si>
    <t>yi3HfhbmZH8</t>
  </si>
  <si>
    <t>2024-07-28T16:39:34Z</t>
  </si>
  <si>
    <t>o-I04OW5m9Q</t>
  </si>
  <si>
    <t>2023-05-17T01:30:16Z</t>
  </si>
  <si>
    <t>bukk_V-EDYg</t>
  </si>
  <si>
    <t>2025-03-18T16:09:34Z</t>
  </si>
  <si>
    <t>['bike experiment', 'bike shorts', 'shorts bike', 'new hack bike', 'bike new feature', 'money bike', 'bike rider technology', 'bike lovers', 'motorcycle shorts', 'YouTube shorts', 'new short', 'viral bike', 'viral shorts', 'new', 'bike']</t>
  </si>
  <si>
    <t>KFsddFc-sI4</t>
  </si>
  <si>
    <t>2025-04-06T20:02:00Z</t>
  </si>
  <si>
    <t>UC17Uwo5BkSTtGVbOkywJ7_Q</t>
  </si>
  <si>
    <t>Future Tech</t>
  </si>
  <si>
    <t>['Future Tech', 'Gadgets Under', 'cool gadgets', 'technology', 'tech under', 'under $25', 'new gadgets', 'gadgets on amazon', 'new gadgets on amazon', 'amazon gadgets', 'latest gadgets', 'cheapest gadgets', 'unique gadgets', 'amazon', 'cool gadgets on amazon india', 'gadget under rs 1000', 'gadgets under 500 rs', 'under 500 rs gadgets', 'new tech gadget', 'best gadgets', 'gadgets 2025', 'best tech gifts 2025', '2025', 'gifts', 'gifts 2025', 'under 50 dollars', 'cool gifts for christmas', 'gifts on amazon', 'tech gifts 2025']</t>
  </si>
  <si>
    <t>rzFKuRWktCo</t>
  </si>
  <si>
    <t>2023-04-12T12:28:00Z</t>
  </si>
  <si>
    <t>5JfK0PJQdes</t>
  </si>
  <si>
    <t>2024-05-15T19:17:53Z</t>
  </si>
  <si>
    <t>UCYhFgajuL8unEptfPMU5r1A</t>
  </si>
  <si>
    <t>Tip Top Knowledge</t>
  </si>
  <si>
    <t>['shorts', 'ytshorts', 'youtubeshorts', 'shortsfeed', 'china farming', 'china technology', 'shorts monetization', 'youtube monetization', 'hindi facts', 'tip top knowledge', 'shortsbeta']</t>
  </si>
  <si>
    <t>KueWTlO8waE</t>
  </si>
  <si>
    <t>2024-12-19T13:05:34Z</t>
  </si>
  <si>
    <t>UCEFYVDdTzUlwvoL2Em-xAgA</t>
  </si>
  <si>
    <t xml:space="preserve">Fuljhuri Writing </t>
  </si>
  <si>
    <t>dBKfH_Le4-k</t>
  </si>
  <si>
    <t>2025-05-11T16:50:41Z</t>
  </si>
  <si>
    <t>['ATM bike', 'bike technology', 'money bike', 'new bike', 'indian bike', 'motorcycle shorts', 'motorcycle technology', 'shorts', 'bike shorts', 'ATM shorts', 'ATM technology', 'viral bike', 'fanny bike', 'fanny shorts', 'viral ATM video', 'bike hack']</t>
  </si>
  <si>
    <t>cDUqtkKdVQg</t>
  </si>
  <si>
    <t>2024-07-17T12:52:30Z</t>
  </si>
  <si>
    <t>OWuEY_1DZag</t>
  </si>
  <si>
    <t>2025-06-16T16:29:17Z</t>
  </si>
  <si>
    <t>J3f3qZ3Jdvg</t>
  </si>
  <si>
    <t>2025-05-05T10:00:35Z</t>
  </si>
  <si>
    <t>UCVn7UJr1UaB-eOzftQTfirg</t>
  </si>
  <si>
    <t>Jimy Project</t>
  </si>
  <si>
    <t>g9ch8yHthP4</t>
  </si>
  <si>
    <t>2024-12-30T22:00:24Z</t>
  </si>
  <si>
    <t>UCzmU5mkiPWeDccclPq2bs7Q</t>
  </si>
  <si>
    <t>Beyond Discovery</t>
  </si>
  <si>
    <t>['China', 'Has Launched', 'New Generation', 'New Generation Transport', 'SHOCKING The US', 'China new generation transport', 'china transpostation']</t>
  </si>
  <si>
    <t>44Hhtthevzs</t>
  </si>
  <si>
    <t>2024-02-22T16:00:06Z</t>
  </si>
  <si>
    <t>F-rw1uvt11E</t>
  </si>
  <si>
    <t>2025-03-23T13:00:42Z</t>
  </si>
  <si>
    <t>UCkO7saw1SXudGPC0RZfwZjQ</t>
  </si>
  <si>
    <t>@Ak_balliawala_0.2</t>
  </si>
  <si>
    <t>rmDj9uFUU8M</t>
  </si>
  <si>
    <t>2022-05-18T15:24:08Z</t>
  </si>
  <si>
    <t>UClfll_TO6FpOPLUg4Aawhlw</t>
  </si>
  <si>
    <t>M4 Tech</t>
  </si>
  <si>
    <t>J9sWQ9M4u08</t>
  </si>
  <si>
    <t>2024-10-20T03:30:18Z</t>
  </si>
  <si>
    <t>UCfkU03zJEEOcvoYiJrHKA2A</t>
  </si>
  <si>
    <t xml:space="preserve">Afzal k Fact </t>
  </si>
  <si>
    <t>UpzCuKkveTI</t>
  </si>
  <si>
    <t>2024-02-28T16:14:27Z</t>
  </si>
  <si>
    <t>UCrq8njNr92EBuA4KXJX3OiQ</t>
  </si>
  <si>
    <t>FuturisticTech</t>
  </si>
  <si>
    <t>['inventions', 'amazing inventions you must see', 'cool inventions', 'inventions you must have', 'amazing inventions', 'inventions that will change your life', 'futuristic inventions', 'innovation', 'inventions 2024', 'best inventions', 'top 15 inventions', '15 inventions that will blow your mind', 'inventions you need to see', "inventions you didn't know existed", 'inventions of the future', 'TCL RayNeo X2', 'Voixatch', 'Apple Vision Pro', 'Airspeeder Crewed', 'Alarm Stop Sleep']</t>
  </si>
  <si>
    <t>EHNuwI74zew</t>
  </si>
  <si>
    <t>2024-08-24T10:47:38Z</t>
  </si>
  <si>
    <t>['tech', 'best tech', 'technology', 'gadgets', 'pointless', 'stupid', 'dumb', 'rant', 'unneccessary', 'iphone', 'smartphones']</t>
  </si>
  <si>
    <t>8jg-zVxSHU0</t>
  </si>
  <si>
    <t>2023-03-31T13:25:00Z</t>
  </si>
  <si>
    <t>['shorts', 'viral shorts', 'shorts video', 'tech', 'reaction shorts', 'shorts reaction', 'comedy', 'shorts viral kaise hoga', 'youtube shorts', '@shorts', '#shorts', 'tech master', 'phone', 'smartphone', 'locker']</t>
  </si>
  <si>
    <t>EzUBS8dnNvE</t>
  </si>
  <si>
    <t>2024-01-13T12:35:53Z</t>
  </si>
  <si>
    <t>OGzi18yM2tw</t>
  </si>
  <si>
    <t>2025-06-15T13:00:39Z</t>
  </si>
  <si>
    <t>UCGmPeEqdsLBMsfUK3DZOw2A</t>
  </si>
  <si>
    <t>RandomMangos</t>
  </si>
  <si>
    <t>fGSJHn5wnC8</t>
  </si>
  <si>
    <t>2023-12-06T08:34:08Z</t>
  </si>
  <si>
    <t>UCPaf9OniHYTpjYPs3_K-B9w</t>
  </si>
  <si>
    <t>Suprans</t>
  </si>
  <si>
    <t>['TechEntrepreneurship', 'ChinaElectronicsMarket', 'BuildYourBrand', 'ElectronicsSourcing', 'InnovationJourney', 'ShortsTutorial', 'BrandCreationTips', 'GlobalEntrepreneur', 'DIYBrand', 'EntrepreneurshipGuide']</t>
  </si>
  <si>
    <t>roTczpcXaYk</t>
  </si>
  <si>
    <t>2025-01-27T08:47:51Z</t>
  </si>
  <si>
    <t>UC8SFy66JbVwPcYhvplWPm1g</t>
  </si>
  <si>
    <t>Mahadev Tyagi</t>
  </si>
  <si>
    <t>hmWoDINP7G4</t>
  </si>
  <si>
    <t>2025-06-14T15:27:01Z</t>
  </si>
  <si>
    <t>UCVLaRbKaPFM29W91sHhGtqQ</t>
  </si>
  <si>
    <t>DKP REPAIR</t>
  </si>
  <si>
    <t>T9TQ-rphLI4</t>
  </si>
  <si>
    <t>2025-06-20T16:17:46Z</t>
  </si>
  <si>
    <t>UCgeu38G_jcXQ1xMiRZgD_AA</t>
  </si>
  <si>
    <t>Sami Pec</t>
  </si>
  <si>
    <t>R6sWmlyXmys</t>
  </si>
  <si>
    <t>2025-05-31T13:34:13Z</t>
  </si>
  <si>
    <t>UCYJp64Of-hn-v83fJRy7nig</t>
  </si>
  <si>
    <t xml:space="preserve">ÑÑ”Ð¼Ñ”Ð¼Ð²Ñ”Ñ me </t>
  </si>
  <si>
    <t>JK-Iayp5YNg</t>
  </si>
  <si>
    <t>2025-06-20T21:43:58Z</t>
  </si>
  <si>
    <t>UCfj3Db1yab-IaJqFbExqgIg</t>
  </si>
  <si>
    <t>JDAWGTV</t>
  </si>
  <si>
    <t>O7AdhjkYhtk</t>
  </si>
  <si>
    <t>2025-05-25T16:00:38Z</t>
  </si>
  <si>
    <t>UCg000s7WtHV0yps-hQ-SHwA</t>
  </si>
  <si>
    <t>Upload Ideas With Itamar</t>
  </si>
  <si>
    <t>FmmMcgAp3UM</t>
  </si>
  <si>
    <t>2025-03-29T02:46:20Z</t>
  </si>
  <si>
    <t>UCGSnz7gKnBMoyF24sbHA3wA</t>
  </si>
  <si>
    <t>TVS VIDROS</t>
  </si>
  <si>
    <t>A702QDhqkUA</t>
  </si>
  <si>
    <t>2024-08-13T20:48:01Z</t>
  </si>
  <si>
    <t>UCG0BfrzUNENepeNVe0YumOg</t>
  </si>
  <si>
    <t>PodcastClips</t>
  </si>
  <si>
    <t>f4ggk7aYOeo</t>
  </si>
  <si>
    <t>2022-06-22T17:55:59Z</t>
  </si>
  <si>
    <t>UCWI-ohtRu8eEeDj93hmUsUQ</t>
  </si>
  <si>
    <t>Coding with Lewis</t>
  </si>
  <si>
    <t>Ca8LMfZXKqU</t>
  </si>
  <si>
    <t>2022-08-15T16:10:34Z</t>
  </si>
  <si>
    <t>UCJoYs6q1R7KE3MWlNqebIqw</t>
  </si>
  <si>
    <t>Tech way</t>
  </si>
  <si>
    <t>qGLQq6tXTDk</t>
  </si>
  <si>
    <t>2024-04-19T05:14:16Z</t>
  </si>
  <si>
    <t>arHTKC8ffPQ</t>
  </si>
  <si>
    <t>2025-06-17T21:41:04Z</t>
  </si>
  <si>
    <t>UCHB8fIpAKZy6UVz4Q_c4cRg</t>
  </si>
  <si>
    <t>thejunglebadger</t>
  </si>
  <si>
    <t>SJBkTSSJGPQ</t>
  </si>
  <si>
    <t>2023-12-10T10:43:56Z</t>
  </si>
  <si>
    <t>UCezOhPRojzE_Du7XQodCKxQ</t>
  </si>
  <si>
    <t>Ziroth</t>
  </si>
  <si>
    <t>wCjHZoo1Iz8</t>
  </si>
  <si>
    <t>Cool Amazon tech gadgets</t>
  </si>
  <si>
    <t>Amazon finds</t>
  </si>
  <si>
    <t>2022-08-16T18:39:24Z</t>
  </si>
  <si>
    <t>UCE-orYJxj0L2cYWbFVHPMPQ</t>
  </si>
  <si>
    <t>Out Of The Box</t>
  </si>
  <si>
    <t>['cool gadgets', 'amazon gadgets', 'gadgets', 'cool tech', 'amazon finds']</t>
  </si>
  <si>
    <t>CXJ5ZU7VVSc</t>
  </si>
  <si>
    <t>2024-08-30T03:54:29Z</t>
  </si>
  <si>
    <t>UCpiPhZVveHua0fcikxo8wmQ</t>
  </si>
  <si>
    <t>Megalithic Marvels (Derek Olson)</t>
  </si>
  <si>
    <t>['Dendera', 'Lightbulbs', 'Lights', 'Technology', 'Electricity', 'Ancient', 'Egypt', 'Egyptians', 'Temple']</t>
  </si>
  <si>
    <t>znMoMAHg9Jo</t>
  </si>
  <si>
    <t>2024-09-23T07:31:18Z</t>
  </si>
  <si>
    <t>['Smart invention', 'Smart gadgets', 'DIY idea', 'homemade invention', 'gadgets', 'technology', 'homemade DIY project', 'shorts', 'youtube shorts', 'viral shorts', 'trending shorts', 'science and technology', 'Mr deshi inventor', 'science']</t>
  </si>
  <si>
    <t>8SIcDkceVsw</t>
  </si>
  <si>
    <t>2025-06-14T16:18:14Z</t>
  </si>
  <si>
    <t>0Jt5I_tPkcs</t>
  </si>
  <si>
    <t>2025-06-19T09:47:45Z</t>
  </si>
  <si>
    <t>['Broken Tracks Repair #mobilerepair #technology', 'how to repair broken tracks', 'broken tracks repair', 'broken tracks repairing', 'how to repair damage supply', 'how to repair broken damage soldering pads', 'broken soldering joints', 'broken motherboard tracks', 'broken trace', 'broken trace repair', 'mobile repair', 'mobile repairing', 'mobile repairing course', 'electronics', 'soldering', 'desoldering', 'jumper', 'tracks repairing via jumper', 'micro jumper', 'micro soldering', 'solder mask', 'uv solder mask']</t>
  </si>
  <si>
    <t>F_5_iSPOEuw</t>
  </si>
  <si>
    <t>2022-10-30T12:06:27Z</t>
  </si>
  <si>
    <t>UCJfNJmcv6LXCDsaa2kB_-7A</t>
  </si>
  <si>
    <t>MaviGadget</t>
  </si>
  <si>
    <t>1x34b3MNJKo</t>
  </si>
  <si>
    <t>2025-01-11T07:05:48Z</t>
  </si>
  <si>
    <t>UCmpFo9yFL9gOdS1PXWc7ong</t>
  </si>
  <si>
    <t>Elon Musk_AI Robots</t>
  </si>
  <si>
    <t>['Elon Musk', 'viral', 'viral video', 'ai', 'artificial intelligence', 'robot', '#Tesla', 'Tesla', '#ElonMusk', 'shorts', '#shorts']</t>
  </si>
  <si>
    <t>HI7XvaqtKe8</t>
  </si>
  <si>
    <t>2024-11-27T05:30:12Z</t>
  </si>
  <si>
    <t>lJoJsyDiRKQ</t>
  </si>
  <si>
    <t>2024-11-01T08:06:23Z</t>
  </si>
  <si>
    <t>gxA1907DZoY</t>
  </si>
  <si>
    <t>2023-04-27T08:15:01Z</t>
  </si>
  <si>
    <t>['GADGETS', 'shorts', 'tech master shorts', '#short', 'smartphone setting', 'smartphone', 'comedy', 'tips', 'mobile', 'tricks', 'india', 'friends', 'friend', 'android', 'prank', 'WORLDS BEST']</t>
  </si>
  <si>
    <t>WurAqmOVXao</t>
  </si>
  <si>
    <t>2025-06-02T06:31:59Z</t>
  </si>
  <si>
    <t>UCuFkA1HPWVD0mXl8o1uBZzA</t>
  </si>
  <si>
    <t>Dhananjay Bhosale</t>
  </si>
  <si>
    <t>ZLOhiGZZhVs</t>
  </si>
  <si>
    <t>2024-09-15T14:30:19Z</t>
  </si>
  <si>
    <t>UCFJW46vi9NiBePRa92C4oNQ</t>
  </si>
  <si>
    <t>Vigyan Mitra</t>
  </si>
  <si>
    <t>['detachable aeroplane technology', 'ukraine technology', 'detachable aeroplane', 'aeroplane', 'detachable aeroplane cabin', 'detachable airplane technology', 'airplane detachable cabin parachute', 'innovation', 'science', 'facts', 'technology', 'tech', 'vigyan mitra', 'shorts', 'detachable plane technology', 'parachute', 'airbus', 'safety', 'simulator', 'plane crash landing', 'plane crash', 'aircraft emergency', 'aircraft emergency landing', 'aviation', 'ukranian engineer', 'plane', 'detachable cabin plane']</t>
  </si>
  <si>
    <t>VI5T9tCR_RA</t>
  </si>
  <si>
    <t>2025-02-03T21:47:21Z</t>
  </si>
  <si>
    <t>UCOmcA3f_RrH6b9NmcNa4tdg</t>
  </si>
  <si>
    <t>CNET</t>
  </si>
  <si>
    <t>['CNET', 'Technology', 'tech', 'Tech Devices']</t>
  </si>
  <si>
    <t>flY9daaR9Do</t>
  </si>
  <si>
    <t>2025-01-11T14:00:43Z</t>
  </si>
  <si>
    <t>UCqjVP9gAanUGFgTA5BRDvyA</t>
  </si>
  <si>
    <t>HowToMen</t>
  </si>
  <si>
    <t>['howtomen', 'CES', 'CES 2025', 'CES 2025 smart home', 'CES 2025 tech', 'CES 2025 best tech']</t>
  </si>
  <si>
    <t>Fb-3wD-nDpM</t>
  </si>
  <si>
    <t>2024-07-16T07:28:40Z</t>
  </si>
  <si>
    <t>['Top - 3 Amazing Gadgets For Home', '3 Most Amazing Gadgets for home', 'Amazing Usefull Gadgets For Home', 'Best Home Gadgets', 'Top - 3 Amazing Home Gadgets', 'Top - 3 Awesome Gadgets for Home', 'Home Gadgets', 'Top - 3 Amazing Usefull Home Gadgets', 'Top - 3 Amazing Invention for Home', 'Top - 3 Awesome Invention For Home', 'Gadgets For Home', 'Tech Gadgets for Home', 'Gadget', 'Ghar ke liye Gajab ke Gadgets', 'Comedy', 'funny']</t>
  </si>
  <si>
    <t>WKe0VbuPZ0o</t>
  </si>
  <si>
    <t>2024-10-23T12:43:49Z</t>
  </si>
  <si>
    <t>UCBbeXVY55K5estTHrKWJ5Yg</t>
  </si>
  <si>
    <t>Tech FC Shorts</t>
  </si>
  <si>
    <t>P9lRZcHiZQs</t>
  </si>
  <si>
    <t>2024-10-04T03:10:00Z</t>
  </si>
  <si>
    <t>UCVlPnnIxBysk2x0wEPtE1Zw</t>
  </si>
  <si>
    <t>Æ¦á´‡Ï»ixá´‡Ê€ Ï»á´‡á´…á´œÊŸ</t>
  </si>
  <si>
    <t>['sigma', 'sigma sir', 'sigma math', 'sigma reel', 'physical', 'physics', 'physically', 'magic', 'science', 'education', 'Albert Einstein', 'knolage', 'iq', 'science test', 'test', 'gaming', 'ff', 'natok', 'news', 'movie', 'science and technology', 'technology', 'technical science']</t>
  </si>
  <si>
    <t>JUjCW_7g_Lg</t>
  </si>
  <si>
    <t>2025-02-02T01:30:10Z</t>
  </si>
  <si>
    <t>K3uiMsqptOs</t>
  </si>
  <si>
    <t>2024-03-21T16:30:05Z</t>
  </si>
  <si>
    <t>UCOnnmKlDZltHAqJLz-XIpGA</t>
  </si>
  <si>
    <t>Universe Inside You</t>
  </si>
  <si>
    <t>['ancient egyptian technology and inventions', 'ancient egyptian technology', 'ancient civilizations', 'egypt', 'ancient egypt', 'schist disk', 'serapeum of saqqara', 'abu ghurab', 'giza', 'ancient history', 'pyramids', 'pyramid of giza', 'graham hancock', 'brien foerster', 'unchartedx', 'elephantine island', 'karnak', 'dendera temple', 'dendera light']</t>
  </si>
  <si>
    <t>RiVSG1edaBE</t>
  </si>
  <si>
    <t>2025-06-17T04:00:29Z</t>
  </si>
  <si>
    <t>UCEGWWnTvwDC94_jn8xYQRkw</t>
  </si>
  <si>
    <t>Fact Baazigar</t>
  </si>
  <si>
    <t>IYLbIbMZ9IQ</t>
  </si>
  <si>
    <t>invention</t>
  </si>
  <si>
    <t>2024-04-28T09:05:34Z</t>
  </si>
  <si>
    <t>UCfBq1NGgEepzrSqiJ_OUffQ</t>
  </si>
  <si>
    <t>AB Electric</t>
  </si>
  <si>
    <t>F8rJmVHstkU</t>
  </si>
  <si>
    <t>2022-11-27T07:51:35Z</t>
  </si>
  <si>
    <t>UC4JUzmhmiGmPl7uzLpzODyw</t>
  </si>
  <si>
    <t>Loku</t>
  </si>
  <si>
    <t>['50 Cent', 'Ayo Technology', 'Justin Timberlake', '50 cent ayo technology', 'Lyrics']</t>
  </si>
  <si>
    <t>KUBAm5uynwo</t>
  </si>
  <si>
    <t>How We Came to Hate Technology</t>
  </si>
  <si>
    <t>2025-02-01T18:00:23Z</t>
  </si>
  <si>
    <t>UCVSeCkn_4KUguSRFxS4YU3w</t>
  </si>
  <si>
    <t>chon digital</t>
  </si>
  <si>
    <t>['the downfall of technology', 'apple', 'imac', 'microsoft', 'windows xp', 'windows 95', 'frutiger aero', 'the lost novelty of technology']</t>
  </si>
  <si>
    <t>Cwb9_4YdNyQ</t>
  </si>
  <si>
    <t>2022-06-24T13:24:08Z</t>
  </si>
  <si>
    <t>UCv-OBAd6y1GeNK1Qx1aaJjg</t>
  </si>
  <si>
    <t>VROOK Learning</t>
  </si>
  <si>
    <t>['artificialintellience', 'ai', 'technology', 'tech', 'web', 'innovation']</t>
  </si>
  <si>
    <t>1VFXj-Z8ShM</t>
  </si>
  <si>
    <t>2025-01-26T12:42:48Z</t>
  </si>
  <si>
    <t>MBpIM7Ks-Tc</t>
  </si>
  <si>
    <t>2024-08-18T21:47:03Z</t>
  </si>
  <si>
    <t>BLSyl4cbgwU</t>
  </si>
  <si>
    <t>Android vs apple #shorts</t>
  </si>
  <si>
    <t>2025-01-18T16:55:03Z</t>
  </si>
  <si>
    <t>UCy32E1WycOEwPf9bGA7X6WA</t>
  </si>
  <si>
    <t>ItsDoom Editz</t>
  </si>
  <si>
    <t>_0PQw3wrlEA</t>
  </si>
  <si>
    <t>2025-06-18T02:57:24Z</t>
  </si>
  <si>
    <t>UCxVNTYSYaBXIqhhEURbYZLA</t>
  </si>
  <si>
    <t>Matt's Computer Services</t>
  </si>
  <si>
    <t>O2YoUbNZwNg</t>
  </si>
  <si>
    <t>Science and technology</t>
  </si>
  <si>
    <t>2021-09-23T15:17:52Z</t>
  </si>
  <si>
    <t>UCj3YnPuhaNVwCuPpUTFqWRg</t>
  </si>
  <si>
    <t>my season trend</t>
  </si>
  <si>
    <t>Ceqabjjgh8o</t>
  </si>
  <si>
    <t>$30 vs $300 Apple Watch!</t>
  </si>
  <si>
    <t>2023-03-19T09:46:20Z</t>
  </si>
  <si>
    <t>['apple', 'iphone', 'watch', 'shorts']</t>
  </si>
  <si>
    <t>_YiJDk9H88o</t>
  </si>
  <si>
    <t>2025-06-14T05:20:33Z</t>
  </si>
  <si>
    <t>UCUxofTiQ3P1iC1lhuZW-KBQ</t>
  </si>
  <si>
    <t>TechTRENDZ</t>
  </si>
  <si>
    <t>0L-MBwlNVFI</t>
  </si>
  <si>
    <t>2024-05-22T16:53:17Z</t>
  </si>
  <si>
    <t>UCsTcErHg8oDvUnTzoqsYeNw</t>
  </si>
  <si>
    <t>Unbox Therapy</t>
  </si>
  <si>
    <t>LwVHl9NYvcA</t>
  </si>
  <si>
    <t>2024-12-20T10:12:09Z</t>
  </si>
  <si>
    <t>UCHg5YSsWMajbHHga3lcXywg</t>
  </si>
  <si>
    <t>The magic project</t>
  </si>
  <si>
    <t>wrJsExM8D-o</t>
  </si>
  <si>
    <t>2024-05-26T11:00:42Z</t>
  </si>
  <si>
    <t>UCsN32BtMd0IoByjJRNF12cw</t>
  </si>
  <si>
    <t>60 Minutes</t>
  </si>
  <si>
    <t>['60 minutes', 'cbs news', 'flying cars', 'artificial intelligence', '60 minutes quantum computing', 'artificial intelligence explained', 'quantum computing', 'evtols', 'carbon capture', 'technology', 'nuclear fusion', 'nvidia', 'chatgpt', 'openai', 'supersonic flight', 'wind power', 'hvac']</t>
  </si>
  <si>
    <t>OcuYIlrG7ao</t>
  </si>
  <si>
    <t>2024-01-29T14:05:00Z</t>
  </si>
  <si>
    <t>['tech master', 'shorts', 'technology', 'facts', 'apple', 'iphone', 'charging competition', 'fast charger', 'samsung', 's24ultra', 'iphone15pro max', 'fun', 'tech with fun', 'tech boy', 'viral shorts', 'Samsung Vs iPhone', 'daily shorts', 'funny']</t>
  </si>
  <si>
    <t>k-oDjfP6S4c</t>
  </si>
  <si>
    <t>#gadjets
#tech
#anitech
#technology</t>
  </si>
  <si>
    <t>2025-06-13T11:40:18Z</t>
  </si>
  <si>
    <t>UChNDZkwOHEYwm5uVycADEdQ</t>
  </si>
  <si>
    <t>ANI TECH</t>
  </si>
  <si>
    <t>qU6EpfYB_nM</t>
  </si>
  <si>
    <t>2025-06-16T05:29:51Z</t>
  </si>
  <si>
    <t>UCSBdEbYSaUasWOye_oAD68g</t>
  </si>
  <si>
    <t>HRIDOY TECH 24</t>
  </si>
  <si>
    <t>BajaLYzM59w</t>
  </si>
  <si>
    <t>2023-07-20T18:00:08Z</t>
  </si>
  <si>
    <t>UCJNkXoq1G_veJrMf7lBoqZg</t>
  </si>
  <si>
    <t>TOP CHANGE</t>
  </si>
  <si>
    <t>5GqfmmAQhQw</t>
  </si>
  <si>
    <t>2025-03-04T05:22:35Z</t>
  </si>
  <si>
    <t>UCt22Df5wpyliVvk_Z5bllyA</t>
  </si>
  <si>
    <t>XRoboHub</t>
  </si>
  <si>
    <t>BVQQ5zm2J5E</t>
  </si>
  <si>
    <t>2025-04-20T04:17:12Z</t>
  </si>
  <si>
    <t>UCzRzCoTb6oVfzdQLmj1G6bA</t>
  </si>
  <si>
    <t>Gkns shorts</t>
  </si>
  <si>
    <t>t6-u1_kCFFw</t>
  </si>
  <si>
    <t>2024-08-24T12:26:00Z</t>
  </si>
  <si>
    <t>UC4wjmqUx2k-eJ9msvMqfJUQ</t>
  </si>
  <si>
    <t>GOD UNBOX</t>
  </si>
  <si>
    <t>['shorts', 'unboxing', 'gadgets', 'amazing gadgets', 'new gadgets', 'gadgets shorts', 'unboxing shorts', 'gadgets unboxing']</t>
  </si>
  <si>
    <t>T-mqg0w5O30</t>
  </si>
  <si>
    <t>2024-03-31T18:25:00Z</t>
  </si>
  <si>
    <t>UCPkqxAYERgOelFbkinB3yyQ</t>
  </si>
  <si>
    <t>Factition</t>
  </si>
  <si>
    <t>DkP-fDHg4lI</t>
  </si>
  <si>
    <t>2024-12-22T00:28:32Z</t>
  </si>
  <si>
    <t>UCtGAMwX23814n7XXa9gpBUA</t>
  </si>
  <si>
    <t>LordLamba</t>
  </si>
  <si>
    <t>8QJ9Q-7_2VY</t>
  </si>
  <si>
    <t>2025-04-27T08:10:21Z</t>
  </si>
  <si>
    <t>jTuHyikizdc</t>
  </si>
  <si>
    <t>2025-04-09T20:05:13Z</t>
  </si>
  <si>
    <t>['Future Tech', 'Gadgets Under', 'cool gadgets', 'technology', 'tech under', 'under $25', 'new gadgets', 'gadgets on amazon', 'new gadgets on amazon', 'amazon gadgets', 'latest gadgets', 'cheapest gadgets', 'unique gadgets', 'amazon', 'cool gadgets on amazon india', 'gadget under rs 1000', 'gadgets under 500 rs', 'under 500 rs gadgets', 'new tech gadget', 'best gadgets', 'gadgets 2025', 'best tech gifts 2025', '2025', 'gifts', 'gifts 2025', 'under 50 dollars', 'gifts on amazon', 'tech gifts 2025', 'Google Pixel 9A', 'Pixel 9A']</t>
  </si>
  <si>
    <t>QC7H457gouY</t>
  </si>
  <si>
    <t>2025-06-01T03:29:27Z</t>
  </si>
  <si>
    <t>UCGuLe_kKT-j9wtCw5Ttp5pw</t>
  </si>
  <si>
    <t>X SPADE</t>
  </si>
  <si>
    <t>['Technology âŒ Technologia âœ…', 'Free fire new trick ðŸ˜Ž', 'free fire new place', 'new hidden place in br rank', 'new trending video in youtube', 'like target 1000000000 please complete', 'shortsfeed video']</t>
  </si>
  <si>
    <t>kGHetIzO4CM</t>
  </si>
  <si>
    <t>2025-06-20T11:01:32Z</t>
  </si>
  <si>
    <t>UC6aGUUSw66uqr67cTHT7_6g</t>
  </si>
  <si>
    <t>Maskmantoys</t>
  </si>
  <si>
    <t>Cek-jl8sxUY</t>
  </si>
  <si>
    <t>2025-05-24T14:49:42Z</t>
  </si>
  <si>
    <t>UCsbc-o8AGM07PjW5A4Rg58g</t>
  </si>
  <si>
    <t>Electric Tech</t>
  </si>
  <si>
    <t>nViuTcPs7oE</t>
  </si>
  <si>
    <t>2025-05-26T11:38:29Z</t>
  </si>
  <si>
    <t>UC1mYZHH0EqtmDtZ4c0U_LNg</t>
  </si>
  <si>
    <t>Mx Mobile</t>
  </si>
  <si>
    <t>biAwn7KI2IQ</t>
  </si>
  <si>
    <t>WHAT IS AI ðŸ¤– ?</t>
  </si>
  <si>
    <t>2024-10-23T07:00:02Z</t>
  </si>
  <si>
    <t>UCIKlJ-xmsLSSNRjFidOS4Dw</t>
  </si>
  <si>
    <t>ezExplains</t>
  </si>
  <si>
    <t>SrvtYHM_G00</t>
  </si>
  <si>
    <t>2024-03-18T14:00:20Z</t>
  </si>
  <si>
    <t>['tech master', 'shorts', 'technology', 'facts', 'amazingtipsandtricks', 'arvind kharra', '22000 mah battery phone', '10000 mah battery phone', 'big battery phone', '22000 mah battery', '22000 mah big battery', 'doogee v max 22000 mah battery', 'best battery phone', '21000 mah battery phone', '22000 mAh smartphone', 'Unihertz Tank', 'Unihertz Tank camera test', 'Unihertz Tank review', 'best rugged phone', 'best rugged phone 2022', 'best rugged phones', 'best rugged phones 2022', 'best rugged smartphone 2022']</t>
  </si>
  <si>
    <t>IDXkR8TH3x8</t>
  </si>
  <si>
    <t>2025-06-18T15:27:00Z</t>
  </si>
  <si>
    <t>4fSLrhuqlr4</t>
  </si>
  <si>
    <t>2024-04-03T12:37:51Z</t>
  </si>
  <si>
    <t>UC85MIJMcZNnhxx84BZMlJgg</t>
  </si>
  <si>
    <t>SimpleGhar Telugu</t>
  </si>
  <si>
    <t>uLNnz3T8g34</t>
  </si>
  <si>
    <t>2025-01-07T10:17:21Z</t>
  </si>
  <si>
    <t>UC2Dz_VQ7asHD0NxfgSkb8nw</t>
  </si>
  <si>
    <t xml:space="preserve">it's fact field </t>
  </si>
  <si>
    <t>['China ki drone technology short video', 'China ki technology short video', 'China mein drone se samaan export hota hai', 'China ki drone harvesting short video', 'Drone se fire ko bujhana short video', 'China ka drone short video', 'China india se kitne years aage hai', 'China india se kitna develop hai']</t>
  </si>
  <si>
    <t>tsfSwcl7mV0</t>
  </si>
  <si>
    <t>2025-06-19T16:43:48Z</t>
  </si>
  <si>
    <t>UCQ42svzl9N_9kW2IxCWnJgQ</t>
  </si>
  <si>
    <t>Karmanwala Voice</t>
  </si>
  <si>
    <t>['short videos', 'shorts', 'trick', 'tips', 'technically', 'viral video']</t>
  </si>
  <si>
    <t>njF0I_dwLGk</t>
  </si>
  <si>
    <t>2023-08-18T15:25:45Z</t>
  </si>
  <si>
    <t>UCsa7w3Kjl8CAbHPVoVQ903Q</t>
  </si>
  <si>
    <t>TechBro</t>
  </si>
  <si>
    <t>ZLm-j4LpPPE</t>
  </si>
  <si>
    <t>New technology ðŸ˜±ðŸ’¯</t>
  </si>
  <si>
    <t>2025-06-20T03:42:23Z</t>
  </si>
  <si>
    <t>UCRH-AyRxYxGHkZM0fMS6pbQ</t>
  </si>
  <si>
    <t>Respect Shortaz</t>
  </si>
  <si>
    <t>vX9H1oHIB1s</t>
  </si>
  <si>
    <t>2024-06-18T11:03:08Z</t>
  </si>
  <si>
    <t>UCHBDXQDmqnaqIEPdEapEFVQ</t>
  </si>
  <si>
    <t>New China TV</t>
  </si>
  <si>
    <t>Fj8bhXHnv9A</t>
  </si>
  <si>
    <t>2025-06-14T13:06:29Z</t>
  </si>
  <si>
    <t>UCCVwh-Am8U1glUmo-2GC7KQ</t>
  </si>
  <si>
    <t xml:space="preserve">Brilliant minds </t>
  </si>
  <si>
    <t>['tecnology']</t>
  </si>
  <si>
    <t>p5w0LklR0B4</t>
  </si>
  <si>
    <t>2025-06-18T10:30:38Z</t>
  </si>
  <si>
    <t>UCW2s_zlmBQ0l848Y6wmOiag</t>
  </si>
  <si>
    <t>Techlusive</t>
  </si>
  <si>
    <t>YIpMApW9Q_o</t>
  </si>
  <si>
    <t>2023-08-31T13:30:30Z</t>
  </si>
  <si>
    <t>UCk0fGHsCEzGig-rSzkfCjMw</t>
  </si>
  <si>
    <t>The Engineering Mindset</t>
  </si>
  <si>
    <t>W0qyTGt07XE</t>
  </si>
  <si>
    <t>2024-09-29T07:52:23Z</t>
  </si>
  <si>
    <t>UCS6-5eBZmPcyKA64d7stkGA</t>
  </si>
  <si>
    <t xml:space="preserve">HS Shorts </t>
  </si>
  <si>
    <t>['technology', 'farming', 'millet', 'agriculture', 'viral shorts', 'machine', 'bajra', 'crop', 'china farming', 'Desi jugaad']</t>
  </si>
  <si>
    <t>VE-lb1X92cw</t>
  </si>
  <si>
    <t>2025-03-19T11:01:40Z</t>
  </si>
  <si>
    <t>UCkUDHpSP0xouVm5QNSJy9ew</t>
  </si>
  <si>
    <t>Future Ai Robots</t>
  </si>
  <si>
    <t>Xs-0NOe2ft0</t>
  </si>
  <si>
    <t>2024-09-04T23:30:06Z</t>
  </si>
  <si>
    <t>UCejUC-szNB74PmyTfbnsF7w</t>
  </si>
  <si>
    <t>Making Mastery</t>
  </si>
  <si>
    <t>['evolution of toyota rav4: journey through generati', 'generation of computer', 'generations of computer', 'technology', 'how many generations of computer', 'technology evolution', 'gaming technology evolution', '1st generation of computer', 'evolution of rav4', 'evolution of iphone 2017', 'evolution of iphone 2018', 'third generation of computer', 'generations of computers', 'evolution of computer', 'evolution of pc', 'evolution of redmi note series', 'evolution of iphone 2007 - 2018']</t>
  </si>
  <si>
    <t>mvR_X93S_Yk</t>
  </si>
  <si>
    <t>2025-06-14T12:02:36Z</t>
  </si>
  <si>
    <t>1RO1BzhzN4M</t>
  </si>
  <si>
    <t>2025-05-02T17:23:35Z</t>
  </si>
  <si>
    <t>UCCvHbZc83KCQW0U_NGdNjuQ</t>
  </si>
  <si>
    <t>desi Dilip gaming  FF</t>
  </si>
  <si>
    <t>yf4UxBD5LrI</t>
  </si>
  <si>
    <t>2025-06-14T22:44:27Z</t>
  </si>
  <si>
    <t>UCBdAR7RGd5JuivKZtToGlZg</t>
  </si>
  <si>
    <t>Carlos Reig</t>
  </si>
  <si>
    <t>UFwbBBqWqsU</t>
  </si>
  <si>
    <t>2024-02-27T15:52:55Z</t>
  </si>
  <si>
    <t>jyJfC1C3jJI</t>
  </si>
  <si>
    <t>2023-09-01T11:09:22Z</t>
  </si>
  <si>
    <t>6CgINNm-zyE</t>
  </si>
  <si>
    <t>2025-05-10T00:30:11Z</t>
  </si>
  <si>
    <t>UCq6WGTBoS9TCsmJ2WM1mNaw</t>
  </si>
  <si>
    <t>DDR CREW</t>
  </si>
  <si>
    <t>['suman gupta', 'ignesh kumar', 'ddr crew', 'Kumar Satish New Nagpuri song', 'singer avinash nayak and anita bara', 'nagpuri hd video 2024', 'nagpuri hd video 2025', 'kon colour ki saree pahni ho singer nitesh kachhap', 'thar me ghumabu singer nitesh kachhap and chinta devi', 'meakup wali singer kumar satish', 'bijuriya singer avinash nayak and divya rani', 'ludu budu sag singer kumar satish', 'nagpuri song 2024', 'technologia full video 2025 singer avinash nayak']</t>
  </si>
  <si>
    <t>6mz2p6feGvc</t>
  </si>
  <si>
    <t>2023-12-13T13:30:02Z</t>
  </si>
  <si>
    <t>UCzuZiFB6aO2XSLqd6GS1RdQ</t>
  </si>
  <si>
    <t xml:space="preserve">The Knowledge Factory </t>
  </si>
  <si>
    <t>['India vs Japan technology', 'Japan facts', 'car parking Japan', 'hydraulic car parking', 'train technology', 'Japan technology', 'Indian technology', 'India vs Japan tech competition', 'Japan advancements in Hindi']</t>
  </si>
  <si>
    <t>WUaSvnLpgY0</t>
  </si>
  <si>
    <t>2024-10-08T13:21:04Z</t>
  </si>
  <si>
    <t>UCVktkp1b1NLkdfjdZIBjIoA</t>
  </si>
  <si>
    <t>AdvikJourney</t>
  </si>
  <si>
    <t>['China', 'Wuhan', 'Technology', 'Shorts', 'Ytshorts', 'Viral video', 'Videos', 'China shorts', 'Ytshort', 'Short', 'China technology', 'Viral shorts', 'Insta Reels', 'Funny shorts', 'Indian in china', 'China vlogs', 'China hindi vlogs', 'Student life in china', 'China facts', 'Technology shorts', 'Chinese technology', 'Tech products', 'Funny video', 'China hindi vlog', 'Indian to china', 'Travel vlogs china', 'Lifestyle vlogs', 'Trends', 'Trending shorts', 'China funny video', 'Indian travel vlogger']</t>
  </si>
  <si>
    <t>WxluSDC2ysE</t>
  </si>
  <si>
    <t>2025-05-29T03:55:53Z</t>
  </si>
  <si>
    <t>UCoflJIrme3fQltSEh0EdeLg</t>
  </si>
  <si>
    <t>Speeches kairaliya</t>
  </si>
  <si>
    <t>VuG4BcghOSg</t>
  </si>
  <si>
    <t>2021-12-04T16:18:16Z</t>
  </si>
  <si>
    <t>VTIkbboq3BQ</t>
  </si>
  <si>
    <t>2025-06-06T04:05:16Z</t>
  </si>
  <si>
    <t>UCEV-89cFprOKSNyaz7BhoIg</t>
  </si>
  <si>
    <t>RA SHORTS BD</t>
  </si>
  <si>
    <t>['#Technology', '#ScienceTrick', '#WaterVortex', '#DrainPhysics', '#SatisfyingVideo', '#Shorts', '#PhysicsHack', '#NatureVsTech', '#AmazingScience', '#BottleFlipGoneRight']</t>
  </si>
  <si>
    <t>3hZgY0ha6gU</t>
  </si>
  <si>
    <t>I Tested Secret Technology</t>
  </si>
  <si>
    <t>2025-05-22T23:00:09Z</t>
  </si>
  <si>
    <t>['sambucha', 'sambuca', 'technology', 'tech', 'secret', 'government', 'FBI', 'education']</t>
  </si>
  <si>
    <t>0njeBK53wwc</t>
  </si>
  <si>
    <t>2025-04-27T05:04:00Z</t>
  </si>
  <si>
    <t>UCy9bz9gV_Qo0PD0dSDKEP7A</t>
  </si>
  <si>
    <t>Govind111 YT</t>
  </si>
  <si>
    <t>qVnPEJb7YMc</t>
  </si>
  <si>
    <t>2024-03-24T02:08:18Z</t>
  </si>
  <si>
    <t>6VoGivV6M9Q</t>
  </si>
  <si>
    <t>2025-04-01T12:04:55Z</t>
  </si>
  <si>
    <t>UC7_i0PTN3xVmwmaKBuaNQMg</t>
  </si>
  <si>
    <t>The crazy comedy</t>
  </si>
  <si>
    <t>['shorts', 'shorts feed', 'trending shorts', 'viral videos', 'viral shorts', 'trending video', 'comedy', 'comedy video', 'comedy shorts', 'ajit', 'ajit shorts', 'Ajit video', 'the crazy comedy', 'video', 'social media', 'social marketing', 'network marketing', 'youtube']</t>
  </si>
  <si>
    <t>i5R1Yxh0Kc8</t>
  </si>
  <si>
    <t>2025-06-16T05:45:02Z</t>
  </si>
  <si>
    <t>UCrLeNvwFO5Xcvk6Q7BuuP_A</t>
  </si>
  <si>
    <t xml:space="preserve">Technology </t>
  </si>
  <si>
    <t>f9Doan3zDKA</t>
  </si>
  <si>
    <t>2024-12-28T12:00:53Z</t>
  </si>
  <si>
    <t>UCnqvoLwsaPiLbSAUusADdcw</t>
  </si>
  <si>
    <t>AInfoClip</t>
  </si>
  <si>
    <t>['funny memes', 'memes', 'shorts', 'viral memes', 'best memes', 'trending memes', 'technology memes', 'dank memes', 'funny memes reaction', 'unusual memes', 'viral funny memes video', 'memes video', 'funny comedy memes video', 'funny tech memes', 'viral shorts', 'hilarious memes', 'omg funny memes', 'school memes', 'funny short video', 'viralmeme', 'new funny short video', 'gym shorts', 'memes reaction', 'short', 'memes compilation']</t>
  </si>
  <si>
    <t>YUvf1OILS1I</t>
  </si>
  <si>
    <t>2025-06-10T03:31:02Z</t>
  </si>
  <si>
    <t>['wwdc', 'wwdc 25', 'wwdc 2025', 'ios 26', 'iphone', 'apple', 'mac os', 'ios', 'mac os 26']</t>
  </si>
  <si>
    <t>2025-06-19T13:51:13Z</t>
  </si>
  <si>
    <t>UCJAliJPtOljSberbNEnUF5A</t>
  </si>
  <si>
    <t>QuickTechNow</t>
  </si>
  <si>
    <t>hz6oys4Eem4</t>
  </si>
  <si>
    <t>Apple's AI Crisis: Explained!</t>
  </si>
  <si>
    <t>2025-03-29T02:41:29Z</t>
  </si>
  <si>
    <t>UCBJycsmduvYEL83R_U4JriQ</t>
  </si>
  <si>
    <t>Marques Brownlee</t>
  </si>
  <si>
    <t>['Apple AI', 'Apple Intelligence', 'MKBHD']</t>
  </si>
  <si>
    <t>9JCsox7C7ew</t>
  </si>
  <si>
    <t>2025-01-25T04:40:09Z</t>
  </si>
  <si>
    <t>UCWOWcJqL16b5ZK0bU-mO20A</t>
  </si>
  <si>
    <t>Digital Smart Idea</t>
  </si>
  <si>
    <t>['dc motor project', 'dc motor project easy', 'dc motor project free energy', 'Electric Crossing Gate', 'Dc Motor', 'shorts video', 'dc motor project shorts', 'dc motor project ideas']</t>
  </si>
  <si>
    <t>07OQ1uQ4-do</t>
  </si>
  <si>
    <t>2024-02-07T13:00:00Z</t>
  </si>
  <si>
    <t>['tech master', 'shorts', 'technology', 'apple', 'visionpro', 'expensivegadget', 'new apple product', 'trending gadget', 'dubai', 'unboxing', 'fun tech', 'visionpro2024', 'apple product']</t>
  </si>
  <si>
    <t>doJMDPCyl7A</t>
  </si>
  <si>
    <t>2024-04-13T13:47:23Z</t>
  </si>
  <si>
    <t>UCB2VRihXTrkzL5ifI1BlPVw</t>
  </si>
  <si>
    <t>Rishiexperiment_18</t>
  </si>
  <si>
    <t>ucbgAS-M-A8</t>
  </si>
  <si>
    <t>2025-06-20T22:51:57Z</t>
  </si>
  <si>
    <t>UC-4Jx7yjLemePx2JFN9UbyA</t>
  </si>
  <si>
    <t>IoT Forge</t>
  </si>
  <si>
    <t>6bSXorhy_eQ</t>
  </si>
  <si>
    <t>2022-08-15T01:22:05Z</t>
  </si>
  <si>
    <t>yJSrX1uOjxs</t>
  </si>
  <si>
    <t>2025-06-12T16:36:41Z</t>
  </si>
  <si>
    <t>UCORX3Cl7ByidjEgzSCgv9Yw</t>
  </si>
  <si>
    <t>Anastasi In Tech</t>
  </si>
  <si>
    <t>['graphene', 'new graphene chip', 'light based chip', 'photonic chip', 'processor', 'new computer']</t>
  </si>
  <si>
    <t>qndVx4jOxz8</t>
  </si>
  <si>
    <t>2025-01-28T13:01:12Z</t>
  </si>
  <si>
    <t>UCiMCEBZ4QMZlFcSULgrJ9vg</t>
  </si>
  <si>
    <t xml:space="preserve">it's robots </t>
  </si>
  <si>
    <t>['#robots', '#shorts', '#science']</t>
  </si>
  <si>
    <t>b2_rzbGibpo</t>
  </si>
  <si>
    <t>2024-03-12T14:15:02Z</t>
  </si>
  <si>
    <t>['youtube shorts', 'youtube shorts video', 'best shorts', '#shorts', 'shorts', 'apple iphone #shorts', 'apple #shorts', 'dance short video', 'super cleaner', 'gadgets #short', 'shorts video', 'comparison', 'smartphone short video']</t>
  </si>
  <si>
    <t>hUbKhUBs6XI</t>
  </si>
  <si>
    <t>The mechanical switch is dead.</t>
  </si>
  <si>
    <t>2025-06-14T12:52:12Z</t>
  </si>
  <si>
    <t>UCRYOj4DmyxhBVrdvbsUwmAA</t>
  </si>
  <si>
    <t>optimum</t>
  </si>
  <si>
    <t>['hall effect keyboard', 'best gaming keyboard', 'wooting', 'wooting 60HE', 'rapid trigger keyboard', 'optimum tech', 'optimum keyboard', 'razer vs wooting', 'snap tap', 'best keyboard for valorant']</t>
  </si>
  <si>
    <t>9_wcmArr_u0</t>
  </si>
  <si>
    <t>2025-06-13T15:27:01Z</t>
  </si>
  <si>
    <t>_qSmAtGPmrE</t>
  </si>
  <si>
    <t>2025-06-19T15:27:00Z</t>
  </si>
  <si>
    <t>WTu9d5abQFI</t>
  </si>
  <si>
    <t>2024-06-06T19:04:46Z</t>
  </si>
  <si>
    <t>0zjIQhmPJMA</t>
  </si>
  <si>
    <t>2024-09-23T13:30:02Z</t>
  </si>
  <si>
    <t>['tech master', 'shorts', 'technology', 'facts', 'amazingtipsandtricks', 'arvind kharra', 'gadgets', 'cool gadgets', 'gadgets for students', 'new students gadgets', 'latest students gadgets', 'student gadgets', 'new gadgets', 'gadgets for student', 'student gadgets on amazon', 'best gadgets for students', 'amazon gadgets', 'amazing students gadgets', 'study gadgets', 'must have students gadget', 'awesome student gadgets', 'students gadget innovations', 'gadgets on amazon', 'techmaster shorts']</t>
  </si>
  <si>
    <t>G8v0C7ukblE</t>
  </si>
  <si>
    <t>2025-06-19T07:12:36Z</t>
  </si>
  <si>
    <t>UCajho7UDcgrqh6GK6FjcqTA</t>
  </si>
  <si>
    <t xml:space="preserve">Right n Wrong </t>
  </si>
  <si>
    <t>['smart toilet', 'luxury home interior', 'luxury toilet', 'self cleaning public toilet', 'ai toilet in the world', 'how smart toilet works', 'amazing smart technologies', 'smart home accessories', 'self clean technology']</t>
  </si>
  <si>
    <t>ryGQO8YVVsI</t>
  </si>
  <si>
    <t>2022-12-02T07:15:02Z</t>
  </si>
  <si>
    <t>['tech master', 'shorts', 'technology', 'facts', 'amazingtipsandtricks', 'arvind kharra', 'gadgets shorts', 'coolstuff', 'viral video', 'capsule', 'capsule pen', 'sprite key chain', 'magic knife']</t>
  </si>
  <si>
    <t>1799Rqn71A8</t>
  </si>
  <si>
    <t>2025-06-05T22:08:49Z</t>
  </si>
  <si>
    <t>UCAL3JXZSzSm8AlZyD3nQdBA</t>
  </si>
  <si>
    <t>Primitive Technology</t>
  </si>
  <si>
    <t>['primitive technology', 'primitive', 'technology', 'primitive tech', 'technology primitive', 'tech primitive', 'prim technology', 'prim tech', 'tech prim', 'technology prim', 'building from scratch', 'build from scratch', 'rotor', 'clay pots', 'brick', 'fire', 'wood', 'shelter', 'pulley', 'blower', 'pots', 'rope', 'machine', 'survival', 'hand crank', 'stones', 'hand cranked blower', 'rotation', 'flame', 'hands', 'making fire', 'clay', 'making a fire', 'forging', 'fire starter', 'rural life', 'smelting', 'gas', 'clay pot']</t>
  </si>
  <si>
    <t>ub-Qr2U4DzA</t>
  </si>
  <si>
    <t>2025-05-09T16:01:57Z</t>
  </si>
  <si>
    <t>bWaabrlHjZc</t>
  </si>
  <si>
    <t>2023-11-22T13:30:14Z</t>
  </si>
  <si>
    <t>['tech master', 'shorts', 'technology', 'facts', 'amazingtipsandtricks', 'arvind kharra', 'cool gadgets', 'gadgets on amazon', 'amazon gadgets', 'chor bazaar gadgets', 'chor bazaar gadgets review', 'shopping at real chor bazzar', 'buy cheapest iphones', 'buy cheapest andriod phones', 'chor bazaar items review', 'cool gadgets in cheap price', 'cool cheap electronics on amazon', 'mumbai chor bazar', 'chor bazaar mumbai', 'chor bazar', 'tech', 'tech master shorts', 'india', 'hindi', '500 rs gadgets', '50rs gadgets']</t>
  </si>
  <si>
    <t>jC0ReUmjwsQ</t>
  </si>
  <si>
    <t>2025-05-28T10:40:00Z</t>
  </si>
  <si>
    <t>UCiqmTQTG62wlmmdzAqxTWHQ</t>
  </si>
  <si>
    <t xml:space="preserve">AK 111 music </t>
  </si>
  <si>
    <t>['Cute message notification tone', 'Funny message ringtone', 'cute alert', 'cute alerts', 'cute notification', 'cute ringtone', 'cute tone', 'funny alert sound', 'funny ringtone', 'funny sounds', 'humorous notifications', 'love ringtone', 'message alert', 'message beep', 'message ringtone', 'message tone', 'notification alert', 'notification melody', 'notification sound', 'notification tones', 'playful notification', 'playful tones', 'ringtone', 'ringtones', 'sms alerts', 'sms ringtone', 'sms sound', 'sound effect']</t>
  </si>
  <si>
    <t>fCMFEpLwO6g</t>
  </si>
  <si>
    <t>2023-05-25T01:30:10Z</t>
  </si>
  <si>
    <t>b9wRXd0D44s</t>
  </si>
  <si>
    <t>2025-06-18T04:46:17Z</t>
  </si>
  <si>
    <t>C4sPW9l3c9s</t>
  </si>
  <si>
    <t>2024-04-15T14:33:00Z</t>
  </si>
  <si>
    <t>['tech master', 'shorts', 'technology', 'facts', 'amazingtipsandtricks', 'arvind kharra', 'ipl gadget', 'gadgets', 'ipl winner', 'ipl team', 'gedgets for circket', 'useful gadgets', 'india', 'hindi', 'tech', 'tech master shorts', 'l guard', 'led stumps price', 'cricket', 'ipl', 'viral', 'entertainment', 'funny', 'comedy']</t>
  </si>
  <si>
    <t>wJ1NSQSgVTE</t>
  </si>
  <si>
    <t>iOS 26 is terrible.</t>
  </si>
  <si>
    <t>2025-06-16T18:44:16Z</t>
  </si>
  <si>
    <t>UC8jkbVLPvztz8TuE98OYo8Q</t>
  </si>
  <si>
    <t>fpt.</t>
  </si>
  <si>
    <t>['apple', 'iphone', 'jon prosser', 'front page tech', 'frontpagetech']</t>
  </si>
  <si>
    <t>D_DKWEQDLjk</t>
  </si>
  <si>
    <t>2024-09-14T12:33:41Z</t>
  </si>
  <si>
    <t>UC_e86divMiDWroG3HrCp30w</t>
  </si>
  <si>
    <t>Favourite CAR</t>
  </si>
  <si>
    <t>['shorts', 'ytshorts', 'youtubeshorts', 'shortsfeed', 'China superbike', 'China bike sensors', 'advance bike in china', "Advance sensors in China's bike", 'shorts monetization', 'youtube monetization']</t>
  </si>
  <si>
    <t>YPZnXK_h3Qw</t>
  </si>
  <si>
    <t>Nuclear Power #technology</t>
  </si>
  <si>
    <t>2024-06-23T05:30:17Z</t>
  </si>
  <si>
    <t>UCHUByLzh_XbWd5-R9ZFJNCQ</t>
  </si>
  <si>
    <t>LifeAda</t>
  </si>
  <si>
    <t>['nuclear power', 'nuclear reactor', 'lifeada', '3d', 'animation']</t>
  </si>
  <si>
    <t>Oa0ZHfcalCM</t>
  </si>
  <si>
    <t>2024-08-10T11:00:31Z</t>
  </si>
  <si>
    <t>UCQXHTFnQYFTqN0MqmNh9EIA</t>
  </si>
  <si>
    <t>BBC World Service</t>
  </si>
  <si>
    <t>['BBC', 'BBC World Service', 'Podcasts', 'Radio', 'Podcast', 'World Service Radio', 'World Service', 'Documentaries', 'Investigations', 'Explainers', 'BBC Documentary', 'Docs', 'artificial intelligence', 'ai', 'tech pioneer', 'ai in medicine and healthcare', 'ai in sports', 'ai panel discussion', 'bbc ai news', 'bbc tech news', 'Regina Barzilay', 'David Silver', 'Paolo Pirjanian', 'engineers and scientists', 'bbc world questions', 'machine learning', 'will robots take over the world', 'AI discussion', 'google deep mind', 'AGI', 'narrow ai']</t>
  </si>
  <si>
    <t>3G90Z980lgU</t>
  </si>
  <si>
    <t>2025-06-15T16:55:45Z</t>
  </si>
  <si>
    <t>UCoudl1tXTBXLnXM1dfn4rpQ</t>
  </si>
  <si>
    <t>NikanXP</t>
  </si>
  <si>
    <t>zFT3YuNnF6g</t>
  </si>
  <si>
    <t>2022-08-08T17:29:34Z</t>
  </si>
  <si>
    <t>UC6VroAlEXUAT1OkH61TK_KA</t>
  </si>
  <si>
    <t>Problem Solved</t>
  </si>
  <si>
    <t>4RcThoRG46c</t>
  </si>
  <si>
    <t>2024-10-05T10:52:18Z</t>
  </si>
  <si>
    <t>['celebrity', 'celeb', 'tech', 'iphone', 'products', 'youtuber', 'celebrity products', 'youtuber products', 'influencer', 'rant', 'gadgets']</t>
  </si>
  <si>
    <t>c5eK89o0_Bg</t>
  </si>
  <si>
    <t>2024-03-08T12:30:31Z</t>
  </si>
  <si>
    <t>UCxlJ45KjG4XVcQ_hd8j227A</t>
  </si>
  <si>
    <t>Peekaboo Kidz</t>
  </si>
  <si>
    <t>['neuralink device', 'neuralink implant', 'neuralink', 'elon musk', 'neuralink elon musk', 'What does the neuralink brain chip do', 'what is neuralink brain chip', 'neuralink brain chip', 'brain chip', 'brain chip elon musk', 'brain chip neuralink', 'brain chip wired neuralink', 'brain implant', 'brain implants neuralink', 'elon musk brain chip', 'human brain chip', 'implants brain', 'monkey brain chip', 'neuralink brain chips', 'neuralink brain implants', 'neuralink implants wired', 'binocs show', 'peekaboo kidz', 'brain']</t>
  </si>
  <si>
    <t>GNTdmzT0CJs</t>
  </si>
  <si>
    <t>2024-10-16T13:30:46Z</t>
  </si>
  <si>
    <t>['amazing facts', 'unique techniques', 'best technology used', 'amazing information about technology', 'technology used in ramleela']</t>
  </si>
  <si>
    <t>eqkbs5Z3y-M</t>
  </si>
  <si>
    <t>2019-05-26T10:23:43Z</t>
  </si>
  <si>
    <t>UCfmX9fD7yKjPkgMJoOYqpzA</t>
  </si>
  <si>
    <t>Energy Tech</t>
  </si>
  <si>
    <t>['how to get free internet life time', 'how to get free internet', 'internet free', 'internet', 'data internet free', 'free internet', 'free', 'how to free internet', 'vpn internet', 'vpn internet gratis', 'vpn internet free', 'free vpn internet', 'free internet 2018', 'free internet 2019', 'sim card', 'airtel internet', 'airtel 4g', 'jio', 'jio offer', 'data internet', 'free mb', 'telephone', 'New Technology 2019', 'Free internet 100% Working']</t>
  </si>
  <si>
    <t>WJQfQA5yPY4</t>
  </si>
  <si>
    <t>2024-07-19T13:00:28Z</t>
  </si>
  <si>
    <t>['most expensive cars', 'most expensive car', 'expensive cars', 'most expensive cars in the world', 'top 10 most expensive cars in the world', 'umbrella', 'expensive', 'expensive car', 'most expensive vending machine', 'most expensive', 'the most expensive car in the world', 'most expensive car in the world 2023', 'car expensive', 'tech master', 'shorts', 'youtube shorts', 'summer', 'monsoon', 'hacks', 'master shorts', 'how to', 'shorts video', 'short', 'expensive umbrella', 'summer gadgets', 'tech', 'funny', 'iphone', 'youtube']</t>
  </si>
  <si>
    <t>5lWrCLjIKBA</t>
  </si>
  <si>
    <t>2025-06-14T13:30:05Z</t>
  </si>
  <si>
    <t>UCJLUaNkv9Qck2jmZ-iFHXlA</t>
  </si>
  <si>
    <t>Anashwar Technologies</t>
  </si>
  <si>
    <t>8pH9WyB7VBg</t>
  </si>
  <si>
    <t>2025-06-06T17:00:18Z</t>
  </si>
  <si>
    <t>UCEFXPX6j6z3HHVAGhuFONug</t>
  </si>
  <si>
    <t>Einstein Science</t>
  </si>
  <si>
    <t>['science', 'technology', 'shortvideo', 'trending', 'viral', 'fact', 'trendingshorts', 'youtubeshorts', 'viralshort', 'sciencefacts', 'latest', 'trend']</t>
  </si>
  <si>
    <t>yLPrYrurOx8</t>
  </si>
  <si>
    <t>2024-11-16T05:30:19Z</t>
  </si>
  <si>
    <t>12pGrEG30f8</t>
  </si>
  <si>
    <t>2025-03-27T20:08:18Z</t>
  </si>
  <si>
    <t>UCrltYZ4idW4o8NEqjtK5Xww</t>
  </si>
  <si>
    <t>Beastly Dimensions</t>
  </si>
  <si>
    <t>zcVpPom546M</t>
  </si>
  <si>
    <t>technology #memes #funny</t>
  </si>
  <si>
    <t>2025-05-14T06:46:14Z</t>
  </si>
  <si>
    <t>UCXCrlBq5NZIJ6XoJeQln7Ew</t>
  </si>
  <si>
    <t xml:space="preserve">The BR VLOG </t>
  </si>
  <si>
    <t>FRhfkq6AwG8</t>
  </si>
  <si>
    <t>2025-04-20T00:39:52Z</t>
  </si>
  <si>
    <t>UCRzUF1MIZFGoQbjppzbIShA</t>
  </si>
  <si>
    <t xml:space="preserve">iRFAN Vlogs </t>
  </si>
  <si>
    <t>['Technology âŒTechnologia âœ… #shorts#funny #comedy #funnyvideo #comedy#reels #technology #trending', 'technology', 'technologia', 'trending reels', 'trending video', 'viral video', 'viral', 'short', 'short video', 'status', 'whatsApp status', 'reels', 'comedy', 'funny', 'funny video']</t>
  </si>
  <si>
    <t>aIg5R-wQ74w</t>
  </si>
  <si>
    <t>2025-06-20T15:15:35Z</t>
  </si>
  <si>
    <t>UCGg6TIvI9dxsZteF0414HfA</t>
  </si>
  <si>
    <t>daleTech</t>
  </si>
  <si>
    <t>TWDtj99937I</t>
  </si>
  <si>
    <t>2024-10-18T15:21:46Z</t>
  </si>
  <si>
    <t>['bigme smartphone', 'bigme smartphone review', 'biome smartphone vs iPhone', 'smartphone', 'cool smartphone', 'not a normal smartphone', 'coolest smartphone', 'e-ink smartphone', 'kindle smartphone']</t>
  </si>
  <si>
    <t>skKsdBuMZQU</t>
  </si>
  <si>
    <t>2025-06-17T16:35:09Z</t>
  </si>
  <si>
    <t>CqdWZilRcT0</t>
  </si>
  <si>
    <t>2023-08-17T08:37:00Z</t>
  </si>
  <si>
    <t>['shorts', '#techmaster shorts', 'gadgets', 'yt shorts', 'most popular short', 'short videos', 'viral short', '#firstvlogviral', 'saste gadget', 'tech master', 'viral gadgets', 'cool gadgets', 'best shorts', 'new gadgets on amazon', 'gadgets under 100rs']</t>
  </si>
  <si>
    <t>_dlNUjfSBDk</t>
  </si>
  <si>
    <t>2025-04-05T06:03:46Z</t>
  </si>
  <si>
    <t>UCpqKkuv9OZqYOdgeBSd_jJg</t>
  </si>
  <si>
    <t>ð—™ð—¶ð—»ð—±ð—¶ð—»ð—´ ð— ð—²ð—ºð—² ð—§ð—²ð—ºð—½ð—¹ð—®ð˜ð—²ð˜€</t>
  </si>
  <si>
    <t>kYOxf4vkKGU</t>
  </si>
  <si>
    <t>2025-06-06T15:39:45Z</t>
  </si>
  <si>
    <t>UC6fVGlHVF4ucZyI8AV2qv2g</t>
  </si>
  <si>
    <t>Shiv Mobile agra</t>
  </si>
  <si>
    <t>['12v battery repair', 'restoring old battery', 'battery refurbishment', 'how to repair 12v battery', 'fixing old batteries', 'battery reconditioning', 'battery rejuvenation', 'lead acid battery repair', 'diy battery repair', 'battery maintenance tips', 'extending battery life', 'battery troubleshooting', 'battery voltage test', 'battery capacity restore', 'old battery revival']</t>
  </si>
  <si>
    <t>kaH15O2YdJc</t>
  </si>
  <si>
    <t>#technology #garenafreefire</t>
  </si>
  <si>
    <t>2025-06-11T13:11:45Z</t>
  </si>
  <si>
    <t>UC0eCxVUALXkmj8jimObz0Mw</t>
  </si>
  <si>
    <t>Gamers</t>
  </si>
  <si>
    <t>['#technology #garenafreefire']</t>
  </si>
  <si>
    <t>XBSTOfjc5nY</t>
  </si>
  <si>
    <t>2024-08-19T17:19:11Z</t>
  </si>
  <si>
    <t>UCKaWD4ZM7ixlot6ysBVKP_g</t>
  </si>
  <si>
    <t>Justice Buys</t>
  </si>
  <si>
    <t>dxWb1Vd9aq8</t>
  </si>
  <si>
    <t>2024-07-14T13:00:56Z</t>
  </si>
  <si>
    <t>UC6H07z6zAwbHRl4Lbl0GSsw</t>
  </si>
  <si>
    <t>TechZone</t>
  </si>
  <si>
    <t>['inventions', 'gadgets', 'technology', 'tech', 'techzone gadgets', 'techzone', 'cool tools', 'cool inventions', 'incredible inventions', 'camping inventions', 'construction technologies', 'construction gadgets', 'cool gadgets', 'construction', 'satisfying', 'satisfying video', 'road inventions', 'handyman tips and tricks', 'tools', 'concepts', 'mobile homes', 'car inventions', 'garden inventions', 'tech zone', '20 inventions', 'change the world', 'Pegasus', 'Fotokite Sigma', 'Varjo Teleport', 'SkyDeck', "Movin'On", 'Simsoft', 'Pulsefire', 'Bruker HI90']</t>
  </si>
  <si>
    <t>kqC1HWYzXgA</t>
  </si>
  <si>
    <t>2025-06-11T19:59:26Z</t>
  </si>
  <si>
    <t>UCPMdVVKDEUrbp3nH46sTZmg</t>
  </si>
  <si>
    <t>Rivian</t>
  </si>
  <si>
    <t>['Rivian', 'EAV', 'EV', 'electric adventure vehicle', 'electric adventure vehicles', 'adventure', 'outdoors', 'truck', 'SUV', 'R1T', 'R1S', 'Electric Truck', 'Rivian Truck', 'adventurous forever', 'tank turn']</t>
  </si>
  <si>
    <t>rSTrXfu_vJw</t>
  </si>
  <si>
    <t>2025-05-04T14:27:14Z</t>
  </si>
  <si>
    <t>UC4QZ_LsYcvcq7qOsOhpAX4A</t>
  </si>
  <si>
    <t>ColdFusion</t>
  </si>
  <si>
    <t>['Coldfusion', 'TV', 'Dagogo', 'Altraide', 'Technology', 'Apple', 'Google', 'Samsung', 'Facebook', 'Tesla']</t>
  </si>
  <si>
    <t>d0OyImu-rqg</t>
  </si>
  <si>
    <t>2025-03-30T02:30:32Z</t>
  </si>
  <si>
    <t>UCNzC0JIpxdXXo8zr4OXZong</t>
  </si>
  <si>
    <t>Titan Gaming official</t>
  </si>
  <si>
    <t>['Technology of Free Fire', "The Funniest Shorts You Can't Miss", 'craftland map funny shorts', 'ff', 'ff new update', 'free fire', 'free fire funny memes', 'free fire funny moments', 'free fire funny short video', 'free fire funny shorts', 'free fire funny video', 'free fire gameplay', 'free fire max', 'free fire memes', 'free fire new event', 'free fire new update', 'free fire tips and tricks', 'free fire viral shorts', 'funny moments', 'funny shorts', 'funny shorts in free fire', 'shorts', 'viral shorts']</t>
  </si>
  <si>
    <t>uW7zI_tm0Zc</t>
  </si>
  <si>
    <t>2025-05-13T12:42:45Z</t>
  </si>
  <si>
    <t>UCfibaUjy-EcvziuYkYYHnPg</t>
  </si>
  <si>
    <t>Top up team</t>
  </si>
  <si>
    <t>42o4sDhe0SE</t>
  </si>
  <si>
    <t>2025-04-22T06:25:00Z</t>
  </si>
  <si>
    <t>mFjE7H0DNrY</t>
  </si>
  <si>
    <t>2025-06-14T14:26:48Z</t>
  </si>
  <si>
    <t>UCcpDsL4z6FiZG4dG-pIEHxQ</t>
  </si>
  <si>
    <t>ASPD VLOG</t>
  </si>
  <si>
    <t>gII8WrA5h7c</t>
  </si>
  <si>
    <t>2025-06-20T14:01:11Z</t>
  </si>
  <si>
    <t>UCn7NttsdsYIak33KORE8F-Q</t>
  </si>
  <si>
    <t>à¸žà¸¥à¸²à¸¢à¸šà¸±à¸§à¸šà¸²à¸™ [ELEPHANT THAILAND]</t>
  </si>
  <si>
    <t>AMUjlObFCno</t>
  </si>
  <si>
    <t>2025-06-09T18:35:14Z</t>
  </si>
  <si>
    <t>['CNET', 'Technology', 'tech', 'Tech Devices', 'apple', 'apple news', 'wwdc', 'wwdc 2025', 'wwdc 25', 'iOS 26', 'supercut', 'apple event supercut', 'apple event', 'apple keynote', 'Tim Cook', 'apple announcements', 'Apple event']</t>
  </si>
  <si>
    <t>1E3tv_3D95g</t>
  </si>
  <si>
    <t>2025-06-10T05:55:54Z</t>
  </si>
  <si>
    <t>['WWDC', 'WWDC 2025', 'iOS 15', 'iPadOS', 'iPadOS 25', 'MKBHD', 'WWDC recap', 'WWDC impressions']</t>
  </si>
  <si>
    <t>J0qKOnDJcgA</t>
  </si>
  <si>
    <t>2025-06-18T15:27:04Z</t>
  </si>
  <si>
    <t>UC3dZHM0o8Gb6raWHTpaXAhQ</t>
  </si>
  <si>
    <t>Brucho</t>
  </si>
  <si>
    <t>WDF7WowQ2Bo</t>
  </si>
  <si>
    <t>2025-06-03T05:30:14Z</t>
  </si>
  <si>
    <t>UC7J5Hmjdt4ha1cN6SF597rg</t>
  </si>
  <si>
    <t xml:space="preserve">T-Series Hamar music </t>
  </si>
  <si>
    <t>UXDPKE86RTk</t>
  </si>
  <si>
    <t>2025-05-02T10:52:42Z</t>
  </si>
  <si>
    <t>UCyfmOQPIrHTuv7rGLBmLuQw</t>
  </si>
  <si>
    <t>CRAZY_XYZ_321K</t>
  </si>
  <si>
    <t>['crazy _xyz_321k', 'technology', 'technologia', 'technologie', 'technologies', 'technology original video', 'technologia original video', 'technology funny video', 'technologia funny video', 'funny video', 'funny videos', 'funny shorts', 'viral funny shorts', 'funny comedy video', 'funny video 2025', 'comedy videos', 'new comedy video 2025', 'comedy club', 'youtube search', 'shorts', 'shorts 2025', 'shorts feed', 'viral video', 'viral reels', 'viral memes', 'trending', 'trending shorts', 'trending video', 'tiktok shorts']</t>
  </si>
  <si>
    <t>ltxH_JstZqY</t>
  </si>
  <si>
    <t>2025-05-02T12:30:50Z</t>
  </si>
  <si>
    <t>['scan qr code', 'how to scan qr code on android', 'invention of qr code', 'what is qr code', 'qr code history', 'how do qr codes work technically', 'how barcode works', 'barcode', 'quick response code', 'what is barcode', 'masahiro hara qr code', 'masahiro hara', 'history of qr code', 'digital world technology', 'digital payments', 'upi digital payment', 'inventions that changed the world', 'origin of qr code', 'qr code invention', 'qr code generator', 'dr binocs show', 'peekaboo kidz', 'history of qr codes', 'barcodes']</t>
  </si>
  <si>
    <t>WhIaIe_dIzs</t>
  </si>
  <si>
    <t>2025-06-20T13:35:17Z</t>
  </si>
  <si>
    <t>UCAdv2dc8GqOpTSh8S2UkdQw</t>
  </si>
  <si>
    <t xml:space="preserve">Short Reaction Video </t>
  </si>
  <si>
    <t>CSF5dF9zYtw</t>
  </si>
  <si>
    <t>2025-06-08T13:42:46Z</t>
  </si>
  <si>
    <t>UCQe48l_82xd6kRPdKqfiMZA</t>
  </si>
  <si>
    <t>RService</t>
  </si>
  <si>
    <t>QsCmLLTzXzY</t>
  </si>
  <si>
    <t>2025-06-16T11:23:48Z</t>
  </si>
  <si>
    <t>Nl7aCUsWykg</t>
  </si>
  <si>
    <t>2025-01-27T19:27:11Z</t>
  </si>
  <si>
    <t>pMqciQaZ9wA</t>
  </si>
  <si>
    <t>2025-06-20T04:29:06Z</t>
  </si>
  <si>
    <t>UCOwJ981d4tXiPgvY04AGwkQ</t>
  </si>
  <si>
    <t>Ashu_Dishu</t>
  </si>
  <si>
    <t>tvsk4hzhcvg</t>
  </si>
  <si>
    <t>2025-06-19T03:30:40Z</t>
  </si>
  <si>
    <t>twFO7qaGMxU</t>
  </si>
  <si>
    <t>2025-06-06T21:03:27Z</t>
  </si>
  <si>
    <t>UCrM7B7SL_g1edFOnmj-SDKg</t>
  </si>
  <si>
    <t>Bloomberg Technology</t>
  </si>
  <si>
    <t>['Anna Rathbun', 'Caroline Hyde', "Cecilia D'Anastasio", 'Ed Ludlow', 'Kailey Leinz', 'Matt Oguz', 'Max Chafkin', 'Michael Truell', 'Nancy Tengler', 'Nintendo Co. Ltd.', 'Tesla Motors Inc.', 'loren grush']</t>
  </si>
  <si>
    <t>1MYFiWu-404</t>
  </si>
  <si>
    <t>Technology âŒ Technologia âœ…</t>
  </si>
  <si>
    <t>2025-06-07T18:54:30Z</t>
  </si>
  <si>
    <t>UCS3Wkf4E8qFdFPX1coxNyAw</t>
  </si>
  <si>
    <t>NoobMan</t>
  </si>
  <si>
    <t>FN7QIDTG2-A</t>
  </si>
  <si>
    <t>2025-06-19T17:16:19Z</t>
  </si>
  <si>
    <t>UCv-7XfJ44mshX_fWNp9-fOA</t>
  </si>
  <si>
    <t>Road Rollers</t>
  </si>
  <si>
    <t>-R7hzowf2lM</t>
  </si>
  <si>
    <t>2025-06-20T16:33:00Z</t>
  </si>
  <si>
    <t>UC1jadvunaVQZLRQfvkl7W9g</t>
  </si>
  <si>
    <t>HADEZERA TECH</t>
  </si>
  <si>
    <t>a34ZpoKP7hg</t>
  </si>
  <si>
    <t>2024-12-05T20:56:32Z</t>
  </si>
  <si>
    <t>['top 10 emerging technologies of 2025 (according to science)', 'top 10 emerging technologies of 2025', 'emerging technologies of 2025', 'future technology trends', '2025 tech predictions', 'upcoming technologies 2025', 'scientific advancements 2025', 'top tech innovations of 2025', 'whatâ€™s next in technology', 'future technology breakthroughs', '2025 technology trends', 'cutting-edge technologies of 2025', 'technological advancements in 2025', 'future innovation predictions', 'ai uncovered']</t>
  </si>
  <si>
    <t>sEErbR6J2sk</t>
  </si>
  <si>
    <t>2025-05-26T04:20:32Z</t>
  </si>
  <si>
    <t>UCVf1xp-6b4iabCQembMf-dg</t>
  </si>
  <si>
    <t>Babu 7CH</t>
  </si>
  <si>
    <t>V1Hbm7EGIcY</t>
  </si>
  <si>
    <t>2024-03-05T05:12:48Z</t>
  </si>
  <si>
    <t>UCh2sbH_mPy4HzE8SWWj5gjg</t>
  </si>
  <si>
    <t>Job Oriented Training</t>
  </si>
  <si>
    <t>['Job Oriented Training', 'Web Designing Training in Lucknow', 'Best Java Training Institute in Lucknow', 'Best PHP Training in Lucknow', 'CSS3', 'BOOTSTRAP 4', 'BOOTSTRAP 5', 'JavaScript', 'JS', 'Jquery', 'PHP', 'CI', 'CodeIgniter', 'Laravel', 'MySQL', 'Wordpress', 'Angluar Js', 'React Js', 'Node Js', 'Front End Web Development', 'UI/UX Design', 'Android Development', 'Display Advertising', 'E-mail Marketing', 'Search Engine Optimization', 'Search Media Optimization', 'SEO', 'SMO', 'PPC', 'Pay Per Click', 'Social Media', 'BCA', 'B.Tech', 'M.Tech', 'IT', 'CS', 'B.Voc']</t>
  </si>
  <si>
    <t>VDzhIPsX8oA</t>
  </si>
  <si>
    <t>Viral Memes of 2024 | Part 2</t>
  </si>
  <si>
    <t>2024-12-18T15:30:14Z</t>
  </si>
  <si>
    <t>UCeNwWy7uf8FySbJpxom9qkQ</t>
  </si>
  <si>
    <t>Boom Baam Fact</t>
  </si>
  <si>
    <t>RWSLYmImtrA</t>
  </si>
  <si>
    <t>2025-06-03T23:44:26Z</t>
  </si>
  <si>
    <t>UCpv0zCVcnipfOfJIhAkE4Mw</t>
  </si>
  <si>
    <t>motivation With  MY</t>
  </si>
  <si>
    <t>4uS32KGlFko</t>
  </si>
  <si>
    <t>2025-06-20T06:58:15Z</t>
  </si>
  <si>
    <t>UCYMM9tFC6oYDqJfpILGayYA</t>
  </si>
  <si>
    <t>Amurik Khoyetsyan</t>
  </si>
  <si>
    <t>ap_dEYfbUNY</t>
  </si>
  <si>
    <t>2025-05-25T09:00:08Z</t>
  </si>
  <si>
    <t>AvfYpj3Dr9Y</t>
  </si>
  <si>
    <t>2025-06-20T05:30:15Z</t>
  </si>
  <si>
    <t>LC1PCXnirrQ</t>
  </si>
  <si>
    <t>2025-06-14T14:54:05Z</t>
  </si>
  <si>
    <t>UC1tVU8H153ZFO9eRsxdJlhA</t>
  </si>
  <si>
    <t>Technology Gyan</t>
  </si>
  <si>
    <t>['Nothing phone 3', 'poco f7', 'POCO F7', 'iqoo z10 lite', 'tech news', 'Tech', 'Technology', 'Technology Gyan']</t>
  </si>
  <si>
    <t>GMGlWCagymo</t>
  </si>
  <si>
    <t>2025-06-06T08:02:40Z</t>
  </si>
  <si>
    <t>['Broken Flex Repair #mobilerepair #technology', 'how to repair broken flex', 'broken flex repairing', 'broken flex', 'damage flex', 'cutted flex repair', 'turn flex repair', 'broken ribon belt repair', 'lcd flex', 'display flex', 'lcd flex repair', 'broken lcd flex repair', 'broken display flex repair', 'flex repair', 'mobile repair', 'mobile repairing', 'mobile repairing course', 'electronic', 'soldering', 'desoldering', 'soldering tutorial', 'micro soldering', 'micro jumper', 'solder mask', 'uv mask', 'uv curing mask']</t>
  </si>
  <si>
    <t>ouOayOIXguQ</t>
  </si>
  <si>
    <t>2025-06-19T11:56:48Z</t>
  </si>
  <si>
    <t>LffOMAm_YUg</t>
  </si>
  <si>
    <t>2025-06-20T09:12:31Z</t>
  </si>
  <si>
    <t>UCOZl8NG3JDV09xo-lASN6zw</t>
  </si>
  <si>
    <t>CanadianJaat</t>
  </si>
  <si>
    <t>NlZUGIQqpJ4</t>
  </si>
  <si>
    <t>I Tested 100 Years of Tech!</t>
  </si>
  <si>
    <t>2025-05-17T15:30:21Z</t>
  </si>
  <si>
    <t>UCXMVaxrax7RNDPdfRrXXgtQ</t>
  </si>
  <si>
    <t>Hafu Go</t>
  </si>
  <si>
    <t>['shorts', 'youtube shorts', 'hafu', 'hafu go', 'experiments', 'experiment', 'science experiment', 'hafu go shorts', 'level 1 to 100', 'mr beast', 'diy', 'mrbeast', 'vector', '_vector_', '100 years of tech', '100 years', 'i tested', 'tested', 'banned', 'banned products']</t>
  </si>
  <si>
    <t>jtZNjn4wIsA</t>
  </si>
  <si>
    <t>2025-06-16T03:39:05Z</t>
  </si>
  <si>
    <t>UCy1F61QvUUQXAXi2Voa_fUw</t>
  </si>
  <si>
    <t>NTT INDYCAR SERIES</t>
  </si>
  <si>
    <t>['Indy', 'indycar', 'indy car', 'indycar news', 'indycar series', 'open wheel racing', 'motorsports', 'ntt indycar series', 'autosports', 'auto racing', 'indycar updates', 'IndyCar Series news', 'indycar highlights', 'motor racing', 'sports', 'sport', 'action', 'indycar videos', 'racing', '2025 indycar', '2025 indycar series', 'indycar on fox', 'fox sports indycar', 'indy 500', 'indianapolis 500', 'indycar 2025 highlights', 'indycar st louis', 'indycar gateway', 'indycar crash', 'kyle kirkwood', 'indycar 2025 gateway', 'indycar full race']</t>
  </si>
  <si>
    <t>xZQpf6qcwUs</t>
  </si>
  <si>
    <t>2025-06-16T12:31:11Z</t>
  </si>
  <si>
    <t>UCEPL07qzVsOcHd3sMUws65g</t>
  </si>
  <si>
    <t>Trakin Tech</t>
  </si>
  <si>
    <t>['realme Narzo 80 Lite 5G', 'Lava Storm Lite', 'Lava Play', 'Samsung Galaxy M36', 'Tecno Pova 7 5G', 'POCO F7 leak', 'Dimensity 9500 Geekbench', 'iPhone 17 Pro Geekbench', 'Funtouch OS update', 'Nothing Phone 3 India', 'Galaxy S25 One UI 8', 'WhatsApp Telegram Ban Russia', 'AI Siri iOS 26.4', 'tech news India', 'new phone launches 2025', 'smartphone leaks June 2025', 'TrakinTech news', 'tech news', 'trakin tech news', 'trakin news', 'iphone 17 series', 'nothing phone 3', 'Nord CE 5', 'Nord 5', 'bullets wireless 3']</t>
  </si>
  <si>
    <t>cZypFRdPS9M</t>
  </si>
  <si>
    <t>2025-04-01T12:33:01Z</t>
  </si>
  <si>
    <t>['cheapest', 'tech', 'gadgets', 'cheap', 'cheap tech', 'cheap gadgets', 'tech gifts', 'I bought']</t>
  </si>
  <si>
    <t>iCkJOLYlw7U</t>
  </si>
  <si>
    <t>2025-06-20T10:01:30Z</t>
  </si>
  <si>
    <t>Tb1jvfOCcb8</t>
  </si>
  <si>
    <t>2025-06-20T04:30:26Z</t>
  </si>
  <si>
    <t>UCRViTbkidX2YMQuo3anHAhA</t>
  </si>
  <si>
    <t xml:space="preserve">Happy Tractor </t>
  </si>
  <si>
    <t>rf3UyUiHM_c</t>
  </si>
  <si>
    <t>2025-06-09T13:43:12Z</t>
  </si>
  <si>
    <t>UCspyRYwKoAXVspnIyEV_a5w</t>
  </si>
  <si>
    <t>AMA_cricketer</t>
  </si>
  <si>
    <t>['shorts', 'cricket', 'tecnology', 'memes', 'technologia']</t>
  </si>
  <si>
    <t>pCCJeZQoUwI</t>
  </si>
  <si>
    <t>2025-06-18T10:57:41Z</t>
  </si>
  <si>
    <t>UCu2ElvU6KgMS6jMUsEma1Sg</t>
  </si>
  <si>
    <t>App Tamil</t>
  </si>
  <si>
    <t>0sSfAF65bsI</t>
  </si>
  <si>
    <t>2025-06-16T02:21:30Z</t>
  </si>
  <si>
    <t>UC5JWy-pwJL4QsM2OrnRv7jA</t>
  </si>
  <si>
    <t>Ayaj_free_fire</t>
  </si>
  <si>
    <t>fKjTk756ddM</t>
  </si>
  <si>
    <t>2025-06-15T11:59:11Z</t>
  </si>
  <si>
    <t>UCRDFPlaigrXGcgrEqutDKuQ</t>
  </si>
  <si>
    <t>Mystery Circuit</t>
  </si>
  <si>
    <t>JTT67FSc8j8</t>
  </si>
  <si>
    <t>2025-06-14T20:01:50Z</t>
  </si>
  <si>
    <t>UCdBK94H6oZT2Q7l0-b0xmMg</t>
  </si>
  <si>
    <t>ShortCircuit</t>
  </si>
  <si>
    <t>['shortcircuit', 'SC', 'unboxing', 'first impression', 'tech', 'gadget', 'home', 'fun', 'buy', 'Motorola', 'RAZR 2025', 'RAZR Ultra', 'Foldable Phones', 'Flip Phone', 'Motorola Razr', 'Smartphone Review', 'Android Phones', 'Tech Review', 'ShortCircuit', 'Linus Tech Tips', 'LMG', 'Motorola Comparison']</t>
  </si>
  <si>
    <t>lqYg0hLGCAg</t>
  </si>
  <si>
    <t>2025-03-17T14:30:33Z</t>
  </si>
  <si>
    <t>UC6TEngWEu42_bJ6rYzlosNA</t>
  </si>
  <si>
    <t xml:space="preserve">AstroCore </t>
  </si>
  <si>
    <t>78cX0yLJPMw</t>
  </si>
  <si>
    <t>2025-02-22T13:24:28Z</t>
  </si>
  <si>
    <t>E2xmpFULoTY</t>
  </si>
  <si>
    <t>2025-06-20T10:13:33Z</t>
  </si>
  <si>
    <t>UCbwA8vh9fdS8_X37FaFIk2w</t>
  </si>
  <si>
    <t>Technik Za Grosz</t>
  </si>
  <si>
    <t>Zc7uaA_3dII</t>
  </si>
  <si>
    <t>2025-06-18T00:08:17Z</t>
  </si>
  <si>
    <t>UCr9a47pzGZNAUY5srcczTAQ</t>
  </si>
  <si>
    <t>Cris MartÃ­nez</t>
  </si>
  <si>
    <t>WM7c_kPG4us</t>
  </si>
  <si>
    <t>2025-05-27T07:02:23Z</t>
  </si>
  <si>
    <t>UCILOFtyUUceEnd5yEenavOw</t>
  </si>
  <si>
    <t>Moonxtech</t>
  </si>
  <si>
    <t>Ts_r-pE56So</t>
  </si>
  <si>
    <t>2025-06-19T04:30:30Z</t>
  </si>
  <si>
    <t>Sx-hzdC0XGI</t>
  </si>
  <si>
    <t>2025-06-20T09:00:59Z</t>
  </si>
  <si>
    <t>UC6gfR-c57XtR8Ytm7vv1GUg</t>
  </si>
  <si>
    <t>Rohossomoy</t>
  </si>
  <si>
    <t>['road', 'shorts', 'technology', 'rohossomoy', 'road technology', 'drainage system', 'road tech']</t>
  </si>
  <si>
    <t>s9XS13zefN0</t>
  </si>
  <si>
    <t>2025-06-20T06:31:32Z</t>
  </si>
  <si>
    <t>['vivo y400 pro', 'vivo Y400 Pro', 'vivo Y400 Pro unboxing', 'vivo y400 pro camera test', 'vivo y400 pro review', 'vivo y400 pro price', 'vivo y400 pro bgmi test', 'vivo y400 pro test']</t>
  </si>
  <si>
    <t>jX6AswjtxfU</t>
  </si>
  <si>
    <t>2025-06-11T04:30:35Z</t>
  </si>
  <si>
    <t>UCb-xXZ7ltTvrh9C6DgB9H-Q</t>
  </si>
  <si>
    <t>Prasadtechintelugu</t>
  </si>
  <si>
    <t>['prasadtechintelugu', 'prasad', 'techtelugu', 'technews', 'Prasad tech in telugu', 'iOS 26 features', 'iOS 26 hands-on', 'iOS 26 review', 'iOS 26 update', 'iOS 26 supported device', 'iOS 26 new lock screen features', 'Whatâ€™s new in iOS 26 for iPhone', 'iOS 26 vs iOS 25 comparison', 'Hidden features in iOS 26', 'iOS 26 performance on iPhone 15']</t>
  </si>
  <si>
    <t>d3daRYrEa8M</t>
  </si>
  <si>
    <t>2025-06-19T18:00:39Z</t>
  </si>
  <si>
    <t>UCtNqDwpTHxhT4b0VIZ680Tw</t>
  </si>
  <si>
    <t>Lord Gizmo</t>
  </si>
  <si>
    <t>['Lord Gizmo', 'construction technology', 'futuristic construction', 'advanced construction methods', 'construction innovations', 'smart construction tools', 'future of construction', 'automated construction', 'robotics in construction', 'construction site technology', 'high tech building', 'sustainable construction', 'prefab technology', 'building automation', 'smart infrastructure', 'construction equipment 2025', 'next-gen building techniques', 'tech in construction']</t>
  </si>
  <si>
    <t>iyb38dzetRk</t>
  </si>
  <si>
    <t>2020-11-07T10:34:26Z</t>
  </si>
  <si>
    <t>UCN3-BVMnr44LIUheSuppw1A</t>
  </si>
  <si>
    <t>Quick Support</t>
  </si>
  <si>
    <t>['What is Artificial Intelligence With Full Information?', 'What is Artificial Intelligence in Hindi?', 'Artificial Intelligence Kya Hain?', 'What is artificial intelligence with examples? What is artificial intelligence in computer?', 'Artificial intelligence Animation Video', 'Benefits of artificial intelligence', 'Artificial intelligence future', 'Who started AI?', 'Where is Artificial Intelligence used?', 'What is the disadvantage of Artificial Intelligence?', 'Types of artificial intelligence']</t>
  </si>
  <si>
    <t>1UloeYdlFII</t>
  </si>
  <si>
    <t>Japan Ki Technology |#shortvideo #japan</t>
  </si>
  <si>
    <t>2023-10-07T00:30:02Z</t>
  </si>
  <si>
    <t>UCYGG8zOddS-r1sRbgseabhQ</t>
  </si>
  <si>
    <t>INTJAR KHAN 0009</t>
  </si>
  <si>
    <t>['Japan ki Technology', 'Japan', 'YouTube shorts video', 'shorts', 'intjar khan 0009']</t>
  </si>
  <si>
    <t>fV2ZzHx0UI0</t>
  </si>
  <si>
    <t>2025-06-20T06:07:44Z</t>
  </si>
  <si>
    <t>UCOsIy06fqolrwK72HTgyTkQ</t>
  </si>
  <si>
    <t>Nahid Hasan Vlogs</t>
  </si>
  <si>
    <t>['funny', 'comedy', 'shorts', 'new funny video', 'best funny', 'bangla funny', 'bd funny', 'hasir video']</t>
  </si>
  <si>
    <t>9VvV1FUQ06Y</t>
  </si>
  <si>
    <t>4 Satisfying Gadgets  #gadgets #shorts</t>
  </si>
  <si>
    <t>2024-07-08T15:48:07Z</t>
  </si>
  <si>
    <t>bQGRW2mXnmQ</t>
  </si>
  <si>
    <t>2025-06-19T10:40:45Z</t>
  </si>
  <si>
    <t>UCYmubRgKh0mk4TYQnonwTGQ</t>
  </si>
  <si>
    <t>MATA MOBILE BHATPAR RANI</t>
  </si>
  <si>
    <t>YT4jWl-2Ojs</t>
  </si>
  <si>
    <t>2025-04-28T20:11:16Z</t>
  </si>
  <si>
    <t>['shortcircuit', 'SC', 'unboxing', 'first impression', 'tech', 'gadget', 'home', 'fun', 'buy', 'Samsung Galaxy A35', 'A36 review', 'Galaxy A35 hands-on', 'Galaxy A36 hands-on', 'Galaxy A36 first impressions', 'Samsung budget phone review', 'Samsung midrange phone', 'Galaxy A series review', 'Linus Tech Tips', 'ShortCircuit', 'Linus Sebastian', 'smartphone review', 'cheap phone review', 'Galaxy A36 vs flagship', 'Galaxy A36 gaming', 'Galaxy A36 camera test', 'Galaxy A36 battery life', 'Galaxy A36 vs Pixel 9a', 'Android phone 2024']</t>
  </si>
  <si>
    <t>7w8jmw96ryA</t>
  </si>
  <si>
    <t>1 month without US tech giants</t>
  </si>
  <si>
    <t>2025-05-04T11:16:39Z</t>
  </si>
  <si>
    <t>UCtZO3K2p8mqFwiKWb9k7fXA</t>
  </si>
  <si>
    <t>TechAltar</t>
  </si>
  <si>
    <t>['techaltar', 'the story behind', 'the friday checkout', 'friday checkout', 'laptop', 'fairphone', 'fairphone 5', 'eos', 'e/os', 'european alternatives', 'european software', 'open source', 'american tech', 'boycott', 'tech giants', 'google', 'microsoft', 'nextcloud', 'next cloud', 'murena', 'proton', 'proton mail', 'proton drive', 'tariffs', 'trade war', 'trump', 'EU', 'european union', 'europe', 'german', 'dutch', 'french', 'US', 'USA', 'american']</t>
  </si>
  <si>
    <t>yldrjxQvYjk</t>
  </si>
  <si>
    <t>2025-05-28T18:25:00Z</t>
  </si>
  <si>
    <t>UCz8QaiQxApLq8sLNcszYyJw</t>
  </si>
  <si>
    <t>Firstpost</t>
  </si>
  <si>
    <t>['firstpost', 'vantage', 'palki sharma', 'vantage palki sharma', 'first post', 'firstpost palki sharma', 'vantage on firstpost', 'jobs in tech', 'tech jobs', 'jobs in technology', 'google jobs', 'job vacancy in microsoft', 'job vacancy in google', 'technology jobs', 'tech jobs 2025', 'technology jobs 2025', 'technology jobs in 2025', '2025 technology jobs', 'jobs in technology video', 'jobs in technologyvideos', 'jobs in technology 2025 video', 'tech jobs portal', 'tech jobs naukri', 'tech jobs linkedin']</t>
  </si>
  <si>
    <t>m0ViZDQuOrg</t>
  </si>
  <si>
    <t>2025-06-18T16:50:24Z</t>
  </si>
  <si>
    <t>i7lh7MM3P-o</t>
  </si>
  <si>
    <t>2025-06-19T16:38:38Z</t>
  </si>
  <si>
    <t>['bike shorts', 'viral bike', 'ATM bike', 'viral ATM', 'machine', 'ATM', 'experiment ATM', 'bike experiment', 'ATM technology', 'ATM bike shorts', 'viral short', 'feed', 'shorts', 'new bike', 'new hack', 'YouTube shorts', 'shorts feed']</t>
  </si>
  <si>
    <t>1eegd28NOck</t>
  </si>
  <si>
    <t>2025-06-20T05:06:17Z</t>
  </si>
  <si>
    <t>UCKd9CHxXx0GPCQSlGYfVTuA</t>
  </si>
  <si>
    <t>Huge Tractors videos ðŸšœ</t>
  </si>
  <si>
    <t>LWz469u2oeo</t>
  </si>
  <si>
    <t>2025-05-21T01:00:06Z</t>
  </si>
  <si>
    <t>UCTuaDfooCOEXbW4X-dbDmkw</t>
  </si>
  <si>
    <t>BOBY SINGH OFFICIAL</t>
  </si>
  <si>
    <t>['tenge tenge', 'tenge tenge kid', 'rango tenge tenge', 'tenge tenge uganda', 'tenge tenge kid dance', 'tenge tenge dance', 'tenge tenge original', 'tenge tenge original video', 'tengetenge', 'BADO BADI', 'PURTY STAR ENTERTAINMENT', 'NEW SANTALI VIDEO SONG', 'NEW SANTALI VIDEO', 'CHIN TAPAK', 'CHINTAPAKDUMDUM', 'CHINTAPAKDAMDAM', 'CHIN TAPAK DAM DAM', 'DAM DAM', 'LAKA LAKA', 'LAKA LAKA BOBY SINGH', 'AMBO KAIBU KI', 'BOBY SINGH', 'KHADAL KHADAL', 'TECHNOLOGIA', 'TECHNOLOGIA BOBY SINGH', 'BOBY SINGH TECHNOLOGIA']</t>
  </si>
  <si>
    <t>cGBUZB8eOLI</t>
  </si>
  <si>
    <t>2025-06-18T04:38:49Z</t>
  </si>
  <si>
    <t>UCpM3JS2OolDneqp04flQP1g</t>
  </si>
  <si>
    <t xml:space="preserve">Women Tractor </t>
  </si>
  <si>
    <t>DE9IchvpOPk</t>
  </si>
  <si>
    <t>2009-04-18T21:06:33Z</t>
  </si>
  <si>
    <t>UChCDNXr_7WGYGcVsk6JuboQ</t>
  </si>
  <si>
    <t>Radial by The Orchard</t>
  </si>
  <si>
    <t>['50 Cent (Musical Artist)', 'Alternative', 'Ayo Technology', 'Ayo Technology (Composition)', 'Belgium', 'Coming Of Age (Musical Album)', 'Homerun', 'Jonathan Vandenbroeck', 'Justin Timberlake (Musical Artist)', 'Milow', 'Milow songs', 'Official Music Video', 'Orchard Music', 'Radial', 'Records', 'Rock', 'The Orchard', 'official video']</t>
  </si>
  <si>
    <t>I8oMcMlItpU</t>
  </si>
  <si>
    <t>2020-08-23T08:30:13Z</t>
  </si>
  <si>
    <t>UCr-4TcDYvJis3_Pgzyvwvag</t>
  </si>
  <si>
    <t>Sunep Lemtur</t>
  </si>
  <si>
    <t>P_iSmFeizDE</t>
  </si>
  <si>
    <t>2024-11-25T12:47:38Z</t>
  </si>
  <si>
    <t>UCmJbw8OlRhzAXPjfVHXGndg</t>
  </si>
  <si>
    <t>The Techtv</t>
  </si>
  <si>
    <t>649PCPzqnBo</t>
  </si>
  <si>
    <t>2025-06-08T07:05:16Z</t>
  </si>
  <si>
    <t>UCvWWf-LYjaujE50iYai8WgQ</t>
  </si>
  <si>
    <t>Paul's Hardware</t>
  </si>
  <si>
    <t>['computer', 'PC', 'PC gaming', 'personal computer', 'computer hardware', 'paulshardware', 'AMD', 'RX 9060 XT', '8GB', '16GB', 'RX 9060 XT launch', 'backlash', 'radeon', 'gpu', 'RTX 5060', 'RTX 5060 Ti', '5060 ti', '5060 ti 8gb', 'NVIDIA', 'Gaming GPUs', 'AMD Radeon', 'nvidia', 'intel', 'tech news', 'weekly tech news', 'graphics cards', 'gaming pc', 'sunday tech news', 'RTX 50 series', 'RX 9070 XT', 'gpu news', 'launch date', 'rtx 50 series', 'gpu availability', 'RTX 5060 launch', 'Windows 11']</t>
  </si>
  <si>
    <t>9JwMlW6BVhU</t>
  </si>
  <si>
    <t>2025-05-27T11:30:17Z</t>
  </si>
  <si>
    <t>UC62kJaLNMTv9DTbgFGUZYdQ</t>
  </si>
  <si>
    <t>Sasuri vs Bouma</t>
  </si>
  <si>
    <t>['bangla gaan', 'bangla natok', 'cartoon', 'chicken', 'comedy', 'comedy shorts', 'comedy video', 'dance', 'entertainment', 'funny moments', 'medical', 'meme', 'memes', 'music', 'new funny video', 'ranna banna', 'recipe', 'shorts', 'song', 'tiktok', 'trending', 'à¦Ÿà§à¦°à§‡à¦¨à§à¦¡à¦¿à¦‚ à¦•à¦®à§‡à¦¡à¦¿', 'à¦Ÿà§à¦°à§‡à¦¨à§à¦¡à¦¿à¦‚ à¦­à¦¿à¦¡à¦¿à¦“']</t>
  </si>
  <si>
    <t>Y_rVgbZamdM</t>
  </si>
  <si>
    <t>2025-06-18T04:30:17Z</t>
  </si>
  <si>
    <t>wQUD1-H1J1s</t>
  </si>
  <si>
    <t>2025-04-27T10:56:13Z</t>
  </si>
  <si>
    <t>UCpR-WSYHt_xsWNc3A5KJEdA</t>
  </si>
  <si>
    <t>Nagpuri Rhythm House</t>
  </si>
  <si>
    <t>['MUH KO CHIPA LIYA', '#AVINASH NAYAK NEW NAGPURI SONG', '# AVINASH NAYAK', '#LATEST NAGPURI SONG', '#K K NEW SONG', '#K K FUNNY SONG', 'KK SONG 2025', 'new nagpuri song', 'new nagpuri video 2025', 'nagpuri video 2024', 'avinash nayak nagpuri song', 'mhu ko chamka liya nagpuri video', 'mhu ko chmka liya trending song', 'viral nagpuri song muh ko chamka liya', 'avinash nayak', 'nrh music', 'nrhmusicnagpuri', 'bidi ko fuk diya', 'bidi ko fuk diya nagpuri song', 'bidi ko fuk diya avinash nayak nagpuri song']</t>
  </si>
  <si>
    <t>WkJ9LbOFoU0</t>
  </si>
  <si>
    <t>2025-06-20T04:30:25Z</t>
  </si>
  <si>
    <t>SK6snd5Mwc4</t>
  </si>
  <si>
    <t>2025-06-09T13:07:44Z</t>
  </si>
  <si>
    <t>UC4_puqArPl3rWk4qg5sRQHQ</t>
  </si>
  <si>
    <t>Space and Technology</t>
  </si>
  <si>
    <t>5RDSkR8_AQ0</t>
  </si>
  <si>
    <t>2009-06-17T05:30:22Z</t>
  </si>
  <si>
    <t>UC0sL86jDLgs2fGRD-XBnPQA</t>
  </si>
  <si>
    <t>50CentVEVO</t>
  </si>
  <si>
    <t>['50 CENT', '50 CENT AYO TECHNOLOGY', 'AYO TECHNOLOGY', 'AYO TECHNOLOGY 50 CENT', 'AYO TECHNOLOGY official music video', 'AYO TECHNOLOGY remastered video', '50 CENT remastered', '50 CENT remastered videos', '#remastered', 'hd music videos', 'remastered music videos', 'Curtis Jackson', 'In Da Club', 'JUSTIN TIMBERLAKE', '50 CENT JUSTIN TIMBERLAKE']</t>
  </si>
  <si>
    <t>kqXfvqIzpgs</t>
  </si>
  <si>
    <t>2025-01-30T00:00:28Z</t>
  </si>
  <si>
    <t>UCZeq5B4ur7uk9fUBvYkHlOA</t>
  </si>
  <si>
    <t>Doc of the Day</t>
  </si>
  <si>
    <t>['doc of the day', 'documentary', 'current affairs', 'history', 'science', 'education', 'inspiration', 'culture', 'world events', 'diverse perspectives', 'daily dose', 'informative', 'thought-provoking']</t>
  </si>
  <si>
    <t>ab8MlBw_GBE</t>
  </si>
  <si>
    <t>2025-04-15T14:30:01Z</t>
  </si>
  <si>
    <t>['fan with no moving parts', 'laptop', 'cooling', 'smartphone cooling', 'future of cooling tech', 'technology', 'tech', 'future technology', 'science', 'science explained', 'science facts', 'Laptop Cooler', 'fanless', 'best laptop', 'quiet', 'silent', 'silent fan', 'PC fan', 'quietest fan', 'best fan', 'best PC fan', 'best laptop cooler', 'vigyan mitra', 'vigyan mitra new video']</t>
  </si>
  <si>
    <t>u-5jkjd-dUA</t>
  </si>
  <si>
    <t>2025-06-20T08:18:10Z</t>
  </si>
  <si>
    <t>UC5C3bwo-CdJBvEqp5rieUYg</t>
  </si>
  <si>
    <t>Theresa Learns</t>
  </si>
  <si>
    <t>xybSilthYgs</t>
  </si>
  <si>
    <t>2025-06-13T20:04:04Z</t>
  </si>
  <si>
    <t>UCO_wisVMKeWvbKZOGgYMeBA</t>
  </si>
  <si>
    <t>Andre Lug</t>
  </si>
  <si>
    <t>Zrss8I4mvu4</t>
  </si>
  <si>
    <t>2025-05-18T04:41:12Z</t>
  </si>
  <si>
    <t>UCepBxbSrGZkgjgGJuY04c-Q</t>
  </si>
  <si>
    <t>Professor Of How</t>
  </si>
  <si>
    <t>['How Pakistan Stole Nuclear B*mb Technology? | Professor Of How']</t>
  </si>
  <si>
    <t>5nKLu2CSxx8</t>
  </si>
  <si>
    <t>2025-05-30T16:18:04Z</t>
  </si>
  <si>
    <t>['S25 Edge', 'iPhone Air', 'iPhone 17 Air', 'MKBHD', 'S25 Edge battery', 'S25 Edge vs', 'Samsung Edge', 'ultra thin phone', 'silicon carbon']</t>
  </si>
  <si>
    <t>7MTuSV8PUjE</t>
  </si>
  <si>
    <t>2025-06-19T13:15:20Z</t>
  </si>
  <si>
    <t>6SqZBbLsuII</t>
  </si>
  <si>
    <t>2025-06-19T12:30:17Z</t>
  </si>
  <si>
    <t>UC5SQGzkWyQSW_fe-URgq7xw</t>
  </si>
  <si>
    <t>Unisport</t>
  </si>
  <si>
    <t>['football', 'skills', 'unisport', 'boots', 'soccer', 'cleats', 'review', 'learn', 'how to', 'tutorial']</t>
  </si>
  <si>
    <t>2rN0XTW8dU8</t>
  </si>
  <si>
    <t>2024-10-16T14:30:01Z</t>
  </si>
  <si>
    <t>UCsvqVGtbbyHaMoevxPAq9Fg</t>
  </si>
  <si>
    <t>Simplilearn</t>
  </si>
  <si>
    <t>['top 10 technologies to learn in 2025', 'trending technologies in 2025', 'high paying tech skills', 'new technology for 2025', 'technology 2025', 'top technologies', 'top technologies in the world', 'top technologies to learn for future', 'future technologies', 'blockchain', 'ar', 'vr', 'IOT', 'generative AI', 'machine learning', 'cybersecurity', 'quantum computing', 'artificial intelligence', 'ai', 'top technologies for software engineer', 'top emerging technologies 2024', 'top tech trends']</t>
  </si>
  <si>
    <t>fit99d1qsbI</t>
  </si>
  <si>
    <t>2025-06-20T09:01:09Z</t>
  </si>
  <si>
    <t>UCxKMnAX1EcGz2kNczTT8YYQ</t>
  </si>
  <si>
    <t>GSM TUBER</t>
  </si>
  <si>
    <t>C2flXXXK2eY</t>
  </si>
  <si>
    <t>2025-05-17T17:58:02Z</t>
  </si>
  <si>
    <t>UCfOzcugDQBnnsCkJJS0MndQ</t>
  </si>
  <si>
    <t xml:space="preserve">sk electronic spark </t>
  </si>
  <si>
    <t>uczl_P959t0</t>
  </si>
  <si>
    <t>2025-06-06T02:50:11Z</t>
  </si>
  <si>
    <t>UCx4shTmKt1kflWK7NeTjNww</t>
  </si>
  <si>
    <t>Tech Shoukin</t>
  </si>
  <si>
    <t>YLKQUy2A72U</t>
  </si>
  <si>
    <t>2025-06-14T01:33:01Z</t>
  </si>
  <si>
    <t>UCTLZdmZKMUp_bKFLy4SSRvA</t>
  </si>
  <si>
    <t>JAZZ Y GIII</t>
  </si>
  <si>
    <t>yCs10fK5dxA</t>
  </si>
  <si>
    <t>2021-09-29T09:20:20Z</t>
  </si>
  <si>
    <t>UCA85AiBRlxmY4ckhZqZ1hFg</t>
  </si>
  <si>
    <t>MC creativity</t>
  </si>
  <si>
    <t>['Mobile photography', 'special effects', 'creativity', 'photos', 'mobile special effects photography', 'special effects photography', 'taking pictures', 'special effects photos', 'illusion', 'Future technology', 'robots', 'computer special effects', 'science and technology', 'cars', 'video special effects', 'Woodcarving', 'carpenter', 'wooden product', 'Traditional craft', 'Good people', 'good deeds', 'old people', 'helping the poor', 'Fashion', 'Change makeup']</t>
  </si>
  <si>
    <t>0YbBe8KW9ss</t>
  </si>
  <si>
    <t>2025-06-14T07:15:00Z</t>
  </si>
  <si>
    <t>UC8VSC5vv_SUeydoBo9ISucw</t>
  </si>
  <si>
    <t>Nick O'Leary</t>
  </si>
  <si>
    <t>['Apple', 'Apple CarPlay', 'iOS', 'iOS 26', 'Apple iOS 26', 'Apple CarPlay iOS 26', 'iOS 26 Apple CarPlay', 'Apple CarPlay 2025', 'Apple CarPlay 2026', 'CarPlay', 'CarPlay 2025', 'CarPlay 2026', 'iOS 2026', 'iOS 26 CarPlay', 'Apple CarPlay iOS 26 Guide', 'New Apple CarPlay', 'New CarPlay 2026']</t>
  </si>
  <si>
    <t>wLLty2GoAuU</t>
  </si>
  <si>
    <t>2025-03-19T22:22:40Z</t>
  </si>
  <si>
    <t>['TSMC', 'genius', 'new technology', 'semiconductors', 'TSMC stock', 'ASML']</t>
  </si>
  <si>
    <t>vB2pUARNpyc</t>
  </si>
  <si>
    <t>2025-04-29T20:51:26Z</t>
  </si>
  <si>
    <t>UC8SRwGeznFNvKKsxw5Rkl5g</t>
  </si>
  <si>
    <t xml:space="preserve">VIMAL TECHNICAL </t>
  </si>
  <si>
    <t>FcbP--wmgO4</t>
  </si>
  <si>
    <t>2024-06-17T12:00:21Z</t>
  </si>
  <si>
    <t>['technology', 'future tech', 'future technology', 'future technologies', 'future of technology', 'future technology devices', 'future inventions', 'new technology', 'inventions', 'Gyroscopic Transport', 'Renault Float', 'Flying train', 'MG Maze Concept Car', 'SkyWay Technology Advantages', 'Airspace Cabin Vision 2035+', 'EHang 216', 'Virgin Hyperloop', 'Bellwether eVTOL', 'AVANT Solo Electric Sport Car', 'Plana eVTOL Aircraft', 'Kelekona aircraft', 'Star Raker', "NASA's CAPSTONE", 'Nasa HAVOC']</t>
  </si>
  <si>
    <t>wlVsBN6qn5Y</t>
  </si>
  <si>
    <t>2024-09-06T05:00:38Z</t>
  </si>
  <si>
    <t>UCKNnp_9uXIWVLfyw5_5Jo8Q</t>
  </si>
  <si>
    <t xml:space="preserve">KSHYAP JI TECHNICAL </t>
  </si>
  <si>
    <t>['tecno spark go 1', 'tecno spark go 1 unboxing', 'tecno spark go 1 review', 'best smartphone under 7000', 'best smartphone under 10000', 'best gaming smartphone under 7000', 'best gaming phone under 10k', 'tech news', 'kshyap ji TACHNICAL']</t>
  </si>
  <si>
    <t>orJcARIxYT4</t>
  </si>
  <si>
    <t>2025-01-11T17:15:50Z</t>
  </si>
  <si>
    <t>UCwOBG77Tm8cE24FPxHb_abw</t>
  </si>
  <si>
    <t>Smart Home Solver</t>
  </si>
  <si>
    <t>['ces 2025', 'ces', 'best of ces', 'ces smart home tech', 'ces 2025 smart home', 'ces robot vacuums', 'ces ai', 'ces 2025 highlights', 'ces 2025 samsung', 'ces 2025 robots', 'CES 2025 cars', 'CES tech', 'new tech', 'new technology', 'smart home solver', 'smart home', 'home automation']</t>
  </si>
  <si>
    <t>Q_03FWDBZG0</t>
  </si>
  <si>
    <t>2025-03-06T21:32:12Z</t>
  </si>
  <si>
    <t>['primitive technology', 'primitive', 'technology', 'primitive tech', 'technology primitive', 'tech primitive', 'prim technology', 'prim tech', 'tech prim', 'technology prim', 'building from scratch', 'build from scratch', 'hand crank', 'diy', 'fire', 'amazon', 'manual', 'building', 'charcoal', 'brick', 'bamboo', 'concrete']</t>
  </si>
  <si>
    <t>X7SJxF_JsNA</t>
  </si>
  <si>
    <t>2024-11-11T12:15:01Z</t>
  </si>
  <si>
    <t>UCSNIT8Z40XgB4RKk9Vhf1eA</t>
  </si>
  <si>
    <t>All process of world</t>
  </si>
  <si>
    <t>['í•œêµ­ê³µìž¥', 'ì œì¡°ê³¼ì •', 'knowhow', 'skill', 'plant', 'works', 'planting']</t>
  </si>
  <si>
    <t>hpwoGjpYygI</t>
  </si>
  <si>
    <t>2025-01-29T20:47:22Z</t>
  </si>
  <si>
    <t>8QZmnW9CobA</t>
  </si>
  <si>
    <t>2024-05-21T17:30:00Z</t>
  </si>
  <si>
    <t>UCcq8pko7KqkgYeXMM_SGFNA</t>
  </si>
  <si>
    <t>TechJoint</t>
  </si>
  <si>
    <t>['techjoint', 'tech joint', 'Inventions', 'gadgets', 'technology', 'tech', 'gear', 'cool tools', 'review', 'list', 'top 10', 'amazing inventions', 'cool gadgets', 'Coolest Amazon Gadgets and Inventions', 'Amazon Gadgets', 'Gadgets and Inventions', 'mechanical keyboard', 'fun gadgets', 'professional drone', 'smart home control', 'portable projector', 'interactive shooting practice', 'guitar learning tool', 'music learning gadget', 'music synchronization lamp', 'dual cameras glasses']</t>
  </si>
  <si>
    <t>S3lrx-jVsng</t>
  </si>
  <si>
    <t>2025-05-25T01:30:30Z</t>
  </si>
  <si>
    <t>UCFOT_LtNGgoqUSTDgJ1T6ag</t>
  </si>
  <si>
    <t>Sasta Gyan</t>
  </si>
  <si>
    <t>['#motoedge60stylus #iphone16promax #iphone16 #short #shorts #funny #funnyvideo #tech #technology']</t>
  </si>
  <si>
    <t>Ay9RL5YQViA</t>
  </si>
  <si>
    <t>2024-05-30T10:22:03Z</t>
  </si>
  <si>
    <t>['fails', 'awkward', 'tech', 'rant', 'scam', 'fake', 'fail', 'gadgets', 'phone', 'technology', 'iphone', 'apple']</t>
  </si>
  <si>
    <t>tEI9t9lcRJo</t>
  </si>
  <si>
    <t>2024-04-30T13:09:12Z</t>
  </si>
  <si>
    <t>OX7stGEMm7Y</t>
  </si>
  <si>
    <t>2025-06-15T11:00:40Z</t>
  </si>
  <si>
    <t>UCzlXf-yUIaOpOjEjPrOO9TA</t>
  </si>
  <si>
    <t>The Tech Chap</t>
  </si>
  <si>
    <t>['nintendo switch', 'steam deck', 'nintendo switch oled', 'nintendo switch 2', 'nintendo switch 2 review', 'nintendo switch 2 mario kart world', 'steam deck review', 'steam deck oled', 'steam deck 2', 'steam deck oled review', 'steam deck vs rog ally', 'xbox ally x', 'xbox gaming', 'ps5', 'console gaming', 'handheld', 'best handheld console 2025', 'switch 2 vs steam deck', 'switch vs switch 2', 'steam deck lcd vs oled', 'gaming', 'nintendo switch games', 'steam deck games', 'steamOS', 'switch games']</t>
  </si>
  <si>
    <t>csZuFHfaVoA</t>
  </si>
  <si>
    <t>2025-06-02T14:01:03Z</t>
  </si>
  <si>
    <t>UCFYx_ojr3E2ooztXHlJUk7g</t>
  </si>
  <si>
    <t xml:space="preserve">Jeet Rana GS </t>
  </si>
  <si>
    <t>['science and technology', 'rrb ntpc science', 'rrb ntpc 2025', 'rrb ntpc science and technology', 'ntpc paper analysis', 'ntpc marathan class', 'ntpc science class', 'rrb ntpc gk gs', 'rrb ntpc science and tech', 'rrb ntpc gk gs classes', 'rrb ntpc gk gs syllabus', 'rrb ntpc gk gs previous year question', 'rrb ntpc', 'rrb ntpc gk gs marathon class', 'rrb ntpc science classes', 'rrb ntpc science practice set', 'rrb ntpc science pyq', 'ntpc gk gs practice set', 'gk gs', 'ntpc gk gs questions']</t>
  </si>
  <si>
    <t>5o78816tZDo</t>
  </si>
  <si>
    <t>2025-06-16T11:22:07Z</t>
  </si>
  <si>
    <t>UCYIdKenTPQ_h1zxceAy1RlA</t>
  </si>
  <si>
    <t>Working tech</t>
  </si>
  <si>
    <t>['13 June Enjine falure TechnologyðŸ˜± #automobile #shorte #technology #shorte #ytshorts #mechanic']</t>
  </si>
  <si>
    <t>ZYKWVNWCZUI</t>
  </si>
  <si>
    <t>2025-05-20T09:01:36Z</t>
  </si>
  <si>
    <t>UCJxkRpNvJATf8yESLFYDjrw</t>
  </si>
  <si>
    <t xml:space="preserve">Kala Parda </t>
  </si>
  <si>
    <t>['Jai Shree Ram', 'Technologia Original Video', 'Vedansh', 'Kala parda', 'Technologia', 'Funny', 'Shorts']</t>
  </si>
  <si>
    <t>kUm0_3fg2gI</t>
  </si>
  <si>
    <t>2025-05-31T08:00:59Z</t>
  </si>
  <si>
    <t>UC710HJmp-YgNbE5BnFBRoeg</t>
  </si>
  <si>
    <t>GCN Tech</t>
  </si>
  <si>
    <t>["Giro d'Italia", 'Pro Bike Tech', 'Cycling Tech', 'Bike Check', 'GCN Italia', 'Giro 2025', 'Movistar Canyon', 'Astana XDS Helmets', 'Campagnolo 13 Speed', 'De Rosa Pininfarina', 'Bahrain Victorious', 'Vision Metron', 'Lidl-Trek', 'Red Bull Bora Hansgrohe', 'Specialized Tyres', 'Pinarello Dogma F', 'UAE Team Emirates', 'Colnago V1rs', 'Cervelo TT', 'BMC TT', 'Giant TT', 'Scott Plasma', 'Look Blade', 'Road Cycling', 'bike tech', 'cycling tech', 'cycling', 'tech', 'road', 'bike', 'road bike', 'bicycle', 'à®”', '5807', 'Ó—', 'Ñ«', 'sca15', 'gc21s', 'áž·', 'ê¤¬', 'c1', 'Õ‚', 'á•8', 'ð–¬«']</t>
  </si>
  <si>
    <t>jGztGfRujSE</t>
  </si>
  <si>
    <t>2025-06-09T18:52:36Z</t>
  </si>
  <si>
    <t>UCE_M8A5yxnLfW0KghEeajjw</t>
  </si>
  <si>
    <t>Apple</t>
  </si>
  <si>
    <t>['wwdc25', 'appleevent', 'liquidglass', 'applekeynote', 'applespecialevent', 'keynote', '2025', 'MacOS', 'iPadOS', 'iOS', 'visionpro', 'watchOS', 'tvOS']</t>
  </si>
  <si>
    <t>vyMCNtw23uQ</t>
  </si>
  <si>
    <t>2025-05-04T10:01:21Z</t>
  </si>
  <si>
    <t>UCn9l4gU5mkmmlC2eiVu0LHw</t>
  </si>
  <si>
    <t>Grizzy &amp; les Lemmings</t>
  </si>
  <si>
    <t>['AI', 'Bear', 'Cartoon', 'CartoonforKids', 'Cute', 'Grizzy', 'Kids', 'Lemmings', 'Slapstick', 'electricity', 'noise', 'phones', 'reset', 'robot', 'teddy']</t>
  </si>
  <si>
    <t>jssEK9oy-j8</t>
  </si>
  <si>
    <t>2025-05-25T13:27:43Z</t>
  </si>
  <si>
    <t>UC2w35lK_m2xtQs4duoaFvHg</t>
  </si>
  <si>
    <t>INANIYA EDUCATION</t>
  </si>
  <si>
    <t>rYrE-oli5_E</t>
  </si>
  <si>
    <t>2025-04-09T16:26:25Z</t>
  </si>
  <si>
    <t>UCyWy0uK-L2gcFp_ADZ2YogQ</t>
  </si>
  <si>
    <t>Mich Rimmer</t>
  </si>
  <si>
    <t>['Nubbin', 'Black mirror', 'Nubbin device', 'Unboxing', 'New technology', 'Black mirror season 7']</t>
  </si>
  <si>
    <t>xNXKWAL0-zM</t>
  </si>
  <si>
    <t>2025-05-11T13:41:11Z</t>
  </si>
  <si>
    <t>UCZff6I2okeH71I5jsE0LirQ</t>
  </si>
  <si>
    <t>AFR Technology</t>
  </si>
  <si>
    <t>['AFR Technology', 'ai dangerous for human', 'ai', 'future of ai', 'dangers of ai', 'dangerous side of ai', 'machine learning', 'ai privacy', 'google ai studio tutorial bangla', 'chatgpt tutorial', 'ai content creation', 'chatgpt explained', 'what is chatgpt']</t>
  </si>
  <si>
    <t>OPJWnoOhpTI</t>
  </si>
  <si>
    <t>2025-06-20T03:49:38Z</t>
  </si>
  <si>
    <t>UCzu9818voaNQGhyDitA4waw</t>
  </si>
  <si>
    <t xml:space="preserve">NIRAJ TIWARI VLOG </t>
  </si>
  <si>
    <t>bqvp1UpCdRw</t>
  </si>
  <si>
    <t>2025-05-10T11:05:42Z</t>
  </si>
  <si>
    <t>UCIGh6YjDGPTlNI4gZg3e32w</t>
  </si>
  <si>
    <t xml:space="preserve">Brown Computers ðŸ’» </t>
  </si>
  <si>
    <t>dhW4XFGQB4o</t>
  </si>
  <si>
    <t>2022-06-30T21:15:14Z</t>
  </si>
  <si>
    <t>['primitive technology', 'youtube primitive technology', 'primitive technology youtube', 'primitive technology knife', 'knife primitive technology', 'iron knife', 'knife iron', 'primitive technology iron', 'iron primitive technology', 'iron knife made from bacteria', 'how to make a knife', 'knife sharpening', 'knives', 'smelted iron', 'iron bacteria', 'iron tool', 'primitive tech', 'primitive', 'technology', 'primitive technology tool', 'multiblade blower', 'iron ore', 'primative technology', 'tool made of iron', 'iron tools']</t>
  </si>
  <si>
    <t>08JoSCHV9VY</t>
  </si>
  <si>
    <t>2025-02-14T00:47:23Z</t>
  </si>
  <si>
    <t>_ZrjMqMsakU</t>
  </si>
  <si>
    <t>2025-06-19T12:30:50Z</t>
  </si>
  <si>
    <t>UCYfdt1akjdAMYNCT89R5Rww</t>
  </si>
  <si>
    <t>Car reaction</t>
  </si>
  <si>
    <t>['Enjine falure TechnologyðŸ˜± #automobile #shorte #technology #shorte #ytshorts #mechanic #engine']</t>
  </si>
  <si>
    <t>acdM9a-zg5I</t>
  </si>
  <si>
    <t>MY NEW TECH CHANNEL</t>
  </si>
  <si>
    <t>2024-04-27T11:39:10Z</t>
  </si>
  <si>
    <t>UCs6EmLAT4lTWwCSJRgbbchQ</t>
  </si>
  <si>
    <t>TechShot</t>
  </si>
  <si>
    <t>['tech channel', 'new', 'unboxing', 'experiment', 'funny', 'new studio', 'gaming', 'ujjwal', 'techno gamerz']</t>
  </si>
  <si>
    <t>f-gkGYd9vAs</t>
  </si>
  <si>
    <t>3 Cool GadgetsðŸ”¥</t>
  </si>
  <si>
    <t>2023-11-29T13:15:06Z</t>
  </si>
  <si>
    <t>['tech master', 'shorts', 'technology', 'facts', 'amazingtipsandtricks', 'arvind kharra', 'best tech gadgets 2023', 'amazon tech gadgets', 'gadgets june 2023', 'tech', 'technology connections', 'technology world', 'futuristic', 'gadgets', 'cool gadgets', 'new gadgets', 'amazon gadgets', 'trending', 'viral', 'india', 'hindi', 'gadgets cool', '3 cool gadgets']</t>
  </si>
  <si>
    <t>yxEupzz8mSY</t>
  </si>
  <si>
    <t>2025-05-01T21:33:02Z</t>
  </si>
  <si>
    <t>['primitive technology', 'primitive', 'technology', 'primitive tech', 'technology primitive', 'tech primitive', 'prim technology', 'prim tech', 'tech prim', 'technology prim', 'building from scratch', 'build from scratch', 'claypipe', 'experiment', 'fire', 'survival', 'building', 'fire making', 'building a hut', 'bushcraft', 'charcoal', 'roofing', 'hut', 'smelting', 'wood', 'gas']</t>
  </si>
  <si>
    <t>kx_srXZec2w</t>
  </si>
  <si>
    <t>2025-06-20T03:30:47Z</t>
  </si>
  <si>
    <t>qF1Fklf-rJw</t>
  </si>
  <si>
    <t>2025-05-10T15:37:11Z</t>
  </si>
  <si>
    <t>UCdoDYkupTElV62K7ttA_E4w</t>
  </si>
  <si>
    <t>TechBar</t>
  </si>
  <si>
    <t>['podcast', 'tech', 'tech podcast', 'best phone', 'best phone under 20000', 'best phone under 1 lakh', 'best phone under 40000', 'price', 'price in india', 'OnePlus', 'Xiaomi', 'Samsung', 'apple', 'realme', 'Google', 'vivo', 'techbar', 'tech bar', 'india', 'hindi', 'sanchit shokeen']</t>
  </si>
  <si>
    <t>vybLi25Q8Fw</t>
  </si>
  <si>
    <t>2025-01-14T05:25:00Z</t>
  </si>
  <si>
    <t>UC8-Th83bH_thdKZDJCrn88g</t>
  </si>
  <si>
    <t>The Tonight Show Starring Jimmy Fallon</t>
  </si>
  <si>
    <t>['tonight show', 'jimmy fallon', 'Linus Sebastian', 'tech videos', '20 years', 'electronic', 'show', 'CES', 'Bad Bunny', 'cutting-edge', 'technological inventions', 'Linus Tech Tips', 'tech', 'youtube', 'youtuber', 'tech tips youtuber', 'NBC', 'NBC TV', 'Television', 'Funny', 'Talk Show', 'comedic', 'humor', 'snl', 'tonight', 'jokes', 'funny video', 'interview', 'variety', 'comedy sketches', 'talent', 'celebrities', 'video', 'clip', 'highlight', 'reviews', 'Pete', 'LA CANCION', 'Callaita', 'No Me Conoce', 'QUE PRETENDES', 'Infeliz', 'Ignorantes', 'Soltera', 'I Like It', 'MIA', 'Latin Trap']</t>
  </si>
  <si>
    <t>1wwiaGkMQjM</t>
  </si>
  <si>
    <t>2025-05-02T14:27:29Z</t>
  </si>
  <si>
    <t>UC8RW9MMYBZHxRuYbCJDb78g</t>
  </si>
  <si>
    <t>Shorts Mode</t>
  </si>
  <si>
    <t>['Shorts', 'Mode', 'Shorts mode', 'Shorts mode new video', 'Viral', 'Trend', 'Youtube shorts', 'Ytshorts', 'Shortsindia', 'Newshorts', 'India shorts', 'Shorts india', 'Tech Trends', 'robotic animals', 'future of zoos', 'animal rights', 'animal robotics', 'spy animals', 'ethical technology', 'zoo alternatives', 'google digital animals', 'ai animals', 'replacing real animals', 'humane zoos', 'tech vs nature', 'robotic wildlife', 'discovery spy creatures', 'digital DNA animals', 'animals gadgets', 'gadgets', 'new gadgets', 'animal tech', 'tech', 'new']</t>
  </si>
  <si>
    <t>jcc_8kyBXrA</t>
  </si>
  <si>
    <t>2023-01-18T21:00:11Z</t>
  </si>
  <si>
    <t>UCt-Zwf8TON73Wtz21R8DgAg</t>
  </si>
  <si>
    <t>Nano Records</t>
  </si>
  <si>
    <t>['Psy trance', 'Psytrance', 'Progressive Trance', 'Progressive Psy', 'tracentral', 'Psychedelic Trance', 'Trance Music', 'Goa Trance', 'Trance Goa', 'Best trance', 'psytrance 2020', 'psy trance 2020', 'Psychedelic', 'Nano Records', 'Nano', 'Technology Live Set', 'Technology Set', 'Technology Universo Paralello 2022 / 2023', 'Technology mix', 'Technology set', 'psytrance set', 'psytrance mix', 'Universo Paralello 2022 / 2023', 'Universo']</t>
  </si>
  <si>
    <t>yaY2tOvxG9I</t>
  </si>
  <si>
    <t>2025-05-04T14:01:18Z</t>
  </si>
  <si>
    <t>UCAlbpRY7uWKQIvzlBtqP6EQ</t>
  </si>
  <si>
    <t>Dyo Facts</t>
  </si>
  <si>
    <t>yxTIv4YzTfg</t>
  </si>
  <si>
    <t>2025-06-16T05:55:07Z</t>
  </si>
  <si>
    <t>UCIPYhRftFtFBnTHeMcCWPJQ</t>
  </si>
  <si>
    <t xml:space="preserve">Daman Shots
</t>
  </si>
  <si>
    <t>CjSIHL7jmbM</t>
  </si>
  <si>
    <t>2025-06-13T23:30:11Z</t>
  </si>
  <si>
    <t>520Gv9y17fc</t>
  </si>
  <si>
    <t>2025-01-14T18:32:04Z</t>
  </si>
  <si>
    <t>UCPvRdfUooqCf0zPOYvbBzVA</t>
  </si>
  <si>
    <t>mryeester</t>
  </si>
  <si>
    <t>['pc', 'pc tips', 'pc building', 'mryeester']</t>
  </si>
  <si>
    <t>CtPeROP9eEc</t>
  </si>
  <si>
    <t>2025-06-20T00:45:01Z</t>
  </si>
  <si>
    <t>IZICZAZOEXM</t>
  </si>
  <si>
    <t>2025-06-02T16:26:39Z</t>
  </si>
  <si>
    <t>UCuEngqG-RQ_9gR_O44leAQg</t>
  </si>
  <si>
    <t>Creative Tech &amp; DIY</t>
  </si>
  <si>
    <t>['raspberry pi', 'arduino', 'raspberry pi vs arduino', 'maker projects', 'DIY electronics', 'tech history', 'programming', 'robotics', 'single board computer', 'microcontroller', 'tech education', 'maker movement', 'electronics projects', 'coding', 'tech story']</t>
  </si>
  <si>
    <t>KPnGKAEEgTU</t>
  </si>
  <si>
    <t>2025-06-01T12:07:56Z</t>
  </si>
  <si>
    <t>['desk setup', 'minimal setup', 'optimum', 'best gaming setup', 'clean setup', 'clean desk setup', 'desk setup tour', 'optimum tech', 'wooting', '4K monitor', 'single monitor setup']</t>
  </si>
  <si>
    <t>KwTDM1nuDYg</t>
  </si>
  <si>
    <t>2025-05-22T15:15:04Z</t>
  </si>
  <si>
    <t>UCCDS_HHq00aCH5KVT0XIhFA</t>
  </si>
  <si>
    <t>Mech Fanatic</t>
  </si>
  <si>
    <t>['Popularscience', 'mechanical', 'technology', 'science', 'machine', 'mechanic', 'shorts', '#viralvideo', 'unique', 'interesting', 'interestingfacts', 'tech', 'sciencefacts']</t>
  </si>
  <si>
    <t>zltBg1bUJjI</t>
  </si>
  <si>
    <t>2025-04-03T11:39:58Z</t>
  </si>
  <si>
    <t>UCcBnLtwE-d_FTVE-n0z_9RQ</t>
  </si>
  <si>
    <t>F4 Faiz</t>
  </si>
  <si>
    <t>['"à¤­à¤µà¤¿à¤·à¥à¤¯ à¤•à¥€ à¤Ÿà¥‡à¤•à¥à¤¨à¥‹à¤²à¥‰à¤œà¥€ Future technology', 'Technology of future Ai', 'Ghibli Artificial intelligence Ghibli Shorts Ai', 'Ai Future technology topology', 'Shorts Technology Topology Future sikandar movie full Salman khan']</t>
  </si>
  <si>
    <t>If0AhMPqx1g</t>
  </si>
  <si>
    <t>2025-04-28T07:07:24Z</t>
  </si>
  <si>
    <t>UCUI9vm69ZbAqRK3q3vKLWCQ</t>
  </si>
  <si>
    <t>Mint</t>
  </si>
  <si>
    <t>['Mint', 'Mint News', 'Live Mint', 'Business News', 'News', 'Today News']</t>
  </si>
  <si>
    <t>iEpJwprxDdk</t>
  </si>
  <si>
    <t>Bloomberg Business News Live</t>
  </si>
  <si>
    <t>2024-10-18T14:53:08Z</t>
  </si>
  <si>
    <t>UCIALMKvObZNtJ6AmdCLP7Lg</t>
  </si>
  <si>
    <t>Bloomberg Television</t>
  </si>
  <si>
    <t>['finance', 'news', 'Bloomberg', 'business', 'economy', 'us']</t>
  </si>
  <si>
    <t>TZnW14QcnW0</t>
  </si>
  <si>
    <t>2025-05-09T11:15:07Z</t>
  </si>
  <si>
    <t>UC-PQ65WptuguzIm2hygClcA</t>
  </si>
  <si>
    <t>CineTech by Goutam</t>
  </si>
  <si>
    <t>['Best camera phone', 'DSLR camera phone', 'Vivo x200 ultra', 'Vivo x200 ultra camera test', 'Vivo x200 ultra price', 'Vivo x200 ultra review', 'Vivo x200 ultra unboxing', 'Vivo x200 ultra vs x200 pro', 'Vivo x200 ultra zoom test', 'X200 ultra vs xiaomi 15 ultra', 'camera comparison', 'flagship vivo', 'mobile review', 'new smartphone', 'shorts', 'tech gadgets', 'tech news', 'vivo', 'vivo camera test', 'vivo photography', 'vivo smartphone', 'vivo specs', 'vivo tech', 'vivo x200', 'vivo x200 pro', 'vivo x200 review']</t>
  </si>
  <si>
    <t>cvjA-jXk94o</t>
  </si>
  <si>
    <t>2025-04-14T17:00:51Z</t>
  </si>
  <si>
    <t>['malaysia', 'low yat', 'linus', 'ltt', 'linustechtips', 'hdmi cable', 'travel linus', 'trave vlog linsu', 'linux malaysia', 'travel malaysia', 'tech mall asia', 'asian tech mall']</t>
  </si>
  <si>
    <t>V5Cv-VMfwRQ</t>
  </si>
  <si>
    <t>2025-05-21T05:03:32Z</t>
  </si>
  <si>
    <t>UCXUJJNoP1QupwsYIWFXmsZg</t>
  </si>
  <si>
    <t>Tech Burner</t>
  </si>
  <si>
    <t>['android 16', 'android 16 update', 'android 16 beta', 'android 16 features', 'android 16 review', 'android', 'google android 16', 'android 16 changes', 'android 16 new features', 'android 16 vs android 15', 'android 16 dp1', 'android 16 developer preview', 'whats new android 16', 'android 16 release date', 'android 16 beta download', 'android 16 ui', 'android 16 new', 'android 16 beta 4', 'pixel android 16', 'android 16 beta 3', 'android 16 theme', 'android 16 beta 4.1', 'instalar android 16', 'Tech burner']</t>
  </si>
  <si>
    <t>KBIXQ-jG9wQ</t>
  </si>
  <si>
    <t>2025-04-09T13:00:27Z</t>
  </si>
  <si>
    <t>UC6J5mYhVIIvmuPE96g0JhDw</t>
  </si>
  <si>
    <t>99Techspot</t>
  </si>
  <si>
    <t>['99techspot', 'top 10', 'futuristic', 'review', 'science and technology', 'new technology', 'future technology', '15 Technologies That Will Change The World', '2030 technology that will change the world', '2030 technology predictions', 'Space', 'creativity', 'future city', 'machine learning', 'the world in 2050 future technology', 'generative ai', 'humanoid robot', '2050 future world', 'artificial intelligence', 'Flying train', 'Dive-XL', 'Int-Ball2', 'Kawasaki Corleo Walks']</t>
  </si>
  <si>
    <t>HX1LK1WU-Jw</t>
  </si>
  <si>
    <t>2025-01-09T08:08:55Z</t>
  </si>
  <si>
    <t>UCtdowDqHNtzfJvN7Vw33dHw</t>
  </si>
  <si>
    <t>The Laughing Lion</t>
  </si>
  <si>
    <t>['CES las vegas', 'las vegas convention', 'CES tours', 'CES2025', 'best of ces 2025', 'tour of ces 2025', 'ces 2025 booth highlights', 'ces show 2025', 'ces las vegas 2025', 'ces 2025 highlights', 'CES robotics', 'CES robots', 'CES 2025 robots', 'futuretech', 'technews', 'ces show recap', 'ces now', '2025ces', 'cestech', 'cesvegas', 'vegasces', 'cesvegas2025', 'vegasces2025']</t>
  </si>
  <si>
    <t>6D4rsqxqSIc</t>
  </si>
  <si>
    <t>2024-12-22T17:57:45Z</t>
  </si>
  <si>
    <t>UCvCYE-3TrY1GAe2l8K08N-w</t>
  </si>
  <si>
    <t>Digital Engine</t>
  </si>
  <si>
    <t>['OpenAI o3', 'AI', 'OpenAI', 'robots']</t>
  </si>
  <si>
    <t>aPeop6os33w</t>
  </si>
  <si>
    <t>2025-06-08T14:00:01Z</t>
  </si>
  <si>
    <t>UCXMznyE1ibZoCXEVJxrWgTw</t>
  </si>
  <si>
    <t>Tech with Benefits</t>
  </si>
  <si>
    <t>['smartphones', 'tech tips', 'tech with benefits', 'features', 'samsung', 'samsung galaxy', 'samsung mobile', 'how to', 'smartphone camera', 'upgrade', 'comparison', 'review', 'tech review', 'software update', 'update', 'compare', 'software', 'galaxy', 'samsung apps', 'galaxy unpacked', 'hands on', 'unpacked', 'oneui', 'secret', 'hidden features', 'good lock', 'tech youtube', 'tips and tricks', 'samsung features', 'one ui', 'galaxy ai', 'long term review', 'one ui 7', 's25 ultra', 'galaxy s25']</t>
  </si>
  <si>
    <t>fBFwFyZbewo</t>
  </si>
  <si>
    <t>2025-02-27T16:44:55Z</t>
  </si>
  <si>
    <t>UCmeUuOcw8szgptZwo7MuuqA</t>
  </si>
  <si>
    <t>Techful Gadgets</t>
  </si>
  <si>
    <t>['top 10 new humanoid robots of 2025 (updated)', 'top 10 humanoid robots of 2025', 'humanoid robots 2025', 'top humanoid robots 2025', 'best humanoid robots 2025', 'robots that look like humans', 'new humanoid robots 2025', 'updated humanoid robots 2025', 'ai humanoid robots 2025', 'latest humanoid robots 2025', 'humanoid robot trends 2025', 'robot advancements 2025', 'robots with ai 2025', 'personal assistant robots', 'healthcare humanoid robots', 'future of humanoid robots']</t>
  </si>
  <si>
    <t>rH3dHn3ILl8</t>
  </si>
  <si>
    <t>2025-03-15T16:02:48Z</t>
  </si>
  <si>
    <t>UCxYiaxX6eNyVQdBAL1mF7dg</t>
  </si>
  <si>
    <t>Nazar's Memes</t>
  </si>
  <si>
    <t>['teknologia arab meme', 'technologia arab meme', 'teknologia arab meme compilation', 'technologia arab meme compilation', 'teknologia meme', 'technologia meme', 'technology arab meme compilation', 'technologia meme arab', 'teknologia meme arab', 'technologia arab meme original', 'teknologia arab meme original', 'teknologia meme original', 'technologia meme original', 'teknologia meme original video', 'technologia meme original video', 'memes', 'meme compilation', 'technologia original video', 'technologia original']</t>
  </si>
  <si>
    <t>3pZkKYhS0ek</t>
  </si>
  <si>
    <t>2025-06-15T13:30:05Z</t>
  </si>
  <si>
    <t>UC0hT5c-mJxs9hHQSin5wG-w</t>
  </si>
  <si>
    <t xml:space="preserve"> Tech Gp Govind</t>
  </si>
  <si>
    <t>['Black Box Ki Khasiyat #tech #trending_shorts #technology #breaking_news #short_viral #youtube_short', 'black box', 'gujarat airoplane durghatna video']</t>
  </si>
  <si>
    <t>iJYMzHVu58Y</t>
  </si>
  <si>
    <t>2025-05-08T12:30:51Z</t>
  </si>
  <si>
    <t>UCV9OVzE_k2tDKVgu5DYOx5w</t>
  </si>
  <si>
    <t>Utkarsh</t>
  </si>
  <si>
    <t>2W5W0W6HD_4</t>
  </si>
  <si>
    <t>2025-06-04T12:42:23Z</t>
  </si>
  <si>
    <t>UCx8_WwDn6CCZ4RvoMcksuRg</t>
  </si>
  <si>
    <t>GD TECH, Vlogs, Fun and Masti</t>
  </si>
  <si>
    <t>9-Jmv2Kpm6w</t>
  </si>
  <si>
    <t>2025-05-13T11:49:22Z</t>
  </si>
  <si>
    <t>UCjsrNWFjxkPxXpeF_woTDmQ</t>
  </si>
  <si>
    <t>Brajniketan TechTalks</t>
  </si>
  <si>
    <t>['#elonmusk', '#youtubeshortsfeed', '#shortsfeeds', '#nvidia', '#intel', '#jio', '#shorts', '#microsoft', '#iphone', '#Reliance', '#windows', '#Trump', '#Stargate', '#Youtube']</t>
  </si>
  <si>
    <t>h9Z4oGN89MU</t>
  </si>
  <si>
    <t>2024-10-19T13:27:23Z</t>
  </si>
  <si>
    <t>UCdp4_l1vPmpN-gDbUwhaRUQ</t>
  </si>
  <si>
    <t>Branch Education</t>
  </si>
  <si>
    <t>['graphics card', 'graphics processing unit', 'graphics pipeline', 'video games', 'GPU', 'cpu vs gpu', 'CUDA Core', '3090', '3090 vs 4090', 'Best Graphics Card', 'How do Graphics Cards Work?', '3090ti', '3080ti', '3080', '3070', '5090', '5080', '5090 titan', 'Nvidia', 'NVIDIA', 'Latest Graphics Cards', '5090 Release', '5090 GPU', '5080 Graphics Card', 'GPU Architecture', 'Tensor Cores', 'Bitcoin mining', 'GPU Mining', 'Neural Network', 'GPUs', 'Graphics Cards', 'How do GPUs Work?', 'GPU vs CPU explained', 'GPU vs CPU Architecture', 'Branch Education']</t>
  </si>
  <si>
    <t>ISU97qNFwq0</t>
  </si>
  <si>
    <t>2025-02-06T21:34:18Z</t>
  </si>
  <si>
    <t>['primitive technology', 'primitive', 'technology', 'primitive tech', 'technology primitive', 'tech primitive', 'prim technology', 'prim tech', 'tech prim', 'technology prim', 'building from scratch', 'build from scratch', 'building', 'rural life', 'fireplace', 'monsoon', 'flywheel', 'sticks', 'stones', 'huts', 'builder', 'primitive building', 'primitive survival life']</t>
  </si>
  <si>
    <t>ASuYr52t5N4</t>
  </si>
  <si>
    <t>2025-04-29T18:40:16Z</t>
  </si>
  <si>
    <t>UCcd9jhJHg-JWuEz861i2saQ</t>
  </si>
  <si>
    <t>Sector 55</t>
  </si>
  <si>
    <t>['lava feature phone 2025 with D2M Technology launching soon', 'lava feature phone 2025', 'top best lava keypad phone', 'top lava keypad phone', 'lava new feature phone', 'lava new feature phone 2025', 'lava keypad phone 2025', 'lava keypad mobile', 'best lava keypad phone', 'lava', 'lava d2m feature phone', 'lava d2m keypad mobile', 'D2M', 'd2m', 'lava new d2m phone', 'feature phone with live tv', 'tv wala keypad mobile', 'lava india', 'lava international', 'sector55']</t>
  </si>
  <si>
    <t>FmKe7MyPNx8</t>
  </si>
  <si>
    <t>2025-01-14T15:04:54Z</t>
  </si>
  <si>
    <t>UC00ifCvU8YOOzbL3RdiSTDw</t>
  </si>
  <si>
    <t>GetsetflySCIENCE by Gaurav Thakur</t>
  </si>
  <si>
    <t>['google', 'willow', 'google quantum ai', 'chip', 'microchip', 'technology', 'gadgets', 'quantum computer', 'ai', 'india', 'blockchain', 'supercomputer', 'microsoft', 'quantum mechanics', 'amazon', 'google ai', 'ancient computer', '1st computer', 'charles babbage', 'evolution of computers', 'google quantum chip', 'computer science', 'new technology 2025', 'science', 'space', 'aliens', 'fastest computer in the world', 'ibm', 'fastest processor in the world', 'humanoids', 'physics', 'astrophysics', 'how a computer works', 'tech', 'cryptocurrency']</t>
  </si>
  <si>
    <t>3GIzZwQw4nc</t>
  </si>
  <si>
    <t>2024-10-08T12:16:50Z</t>
  </si>
  <si>
    <t>UCjtUS7-SZTi6pXjUbzGHQCg</t>
  </si>
  <si>
    <t>Undecided with Matt Ferrell</t>
  </si>
  <si>
    <t>['best solar panels', 'cadmium telluride', 'cadmium telluride solar cell', 'energy', 'perovskite solar cell', 'perovskite solar panels', 'renewable energy', 'science', 'silicon solar cell', 'silicon solar panel', 'solar', 'solar energy', 'solar panel project', 'solar panels', 'solar power', 'undecided', 'undecided with matt ferrell', 'PureVis 2', 'water bottle', 'best water bottle', 'designer water bottle', 'water filter', 'water purification', 'LARQ']</t>
  </si>
  <si>
    <t>cfOD9XJtiPo</t>
  </si>
  <si>
    <t>2025-06-05T07:05:37Z</t>
  </si>
  <si>
    <t>['oneplus 13s', 'oneplus 13', 'oneplus 13s review', 'oneplus', 'oneplus 13s unboxing', 'oneplus 13s specs', 'oneplus 13r', 'oneplus 13s price', 'oneplus 13 review', 'oneplus 13t', 'oneplus 13s features', 'oneplus 13s launch date', 'oneplus 13s camera test', 'oneplus 13s price in india', 'oneplus 13s vs', 'oneplus 13r review', 'oneplus 13s india', 'oneplus 13 camera', 'oneplus 13 vs oneplus 13s', 'oneplus 13s vs oneplus 13', 'oneplus 13 pro', 'oneplus 13s vs oneplus 13r', 'oneplus 13r vs oneplus 13s', 'techburner']</t>
  </si>
  <si>
    <t>5VWBLivhTRc</t>
  </si>
  <si>
    <t>2024-04-23T12:00:04Z</t>
  </si>
  <si>
    <t>['concept', 'amazing inventions you must see', '99techspot', 'top 10', 'futuristic', 'review', 'Nanotechnology', 'MyEye Pro', '3D House Printer', 'Nanoscribe', '6G vision for 2030', 'CyberDog 2', 'Microsoft HoloLens 2', 'Satellite 5G', 'DJI Avata 2', 'Starship', 'AMBIDEX robot', 'Electric Atlas Robot', '20 Emerging Technologies That Will Change Our World', 'quantum computer', 'emerging technologies', '2050', 'humanoid robot', 'SpaceX', 'top 5', 'Mars', 'robots', 'virtual reality', '2050 future world', 'crispr', 'space tourism', 'generative ai']</t>
  </si>
  <si>
    <t>1Vs1_1vlABM</t>
  </si>
  <si>
    <t>2025-01-10T17:30:00Z</t>
  </si>
  <si>
    <t>UCYute_pau0Os_n-pi3CcFhw</t>
  </si>
  <si>
    <t>Trisha Hershberger</t>
  </si>
  <si>
    <t>['trisha hershberger', 'technology', 'tech', 'ces 2025 highlights', 'interesting engineering', 'ces 2025', 'ces robots', 'ces 2025 robots', 'weird tech', 'ces 2025 preview', 'ces 2025 unveiled', 'ces 2025 las vegas', 'weird tech products', 'tech trends 2025', 'tech trends', 'ai robots', 'food tech', 'beauty tech', 'gunnar glasses', 'tcl ces 2025', 'ces 2025 announcements', 'ces 2025 vlog', '2025 tech', 'ces hot tech', 'ces tech show', 'ces technology', 'best of ces 2025', 'gaming tech', 'home tech', 'ces best tech']</t>
  </si>
  <si>
    <t>ip9Yy1dz5ew</t>
  </si>
  <si>
    <t>2022-05-26T17:01:10Z</t>
  </si>
  <si>
    <t>['intel', 'extreme', 'tech', 'pc', 'gaming', 'build', 'guide', 'brandon', 'lee', 'upgrade', 'photo', 'editing', 'workstation']</t>
  </si>
  <si>
    <t>hjDPKRXv-LU</t>
  </si>
  <si>
    <t>2024-08-08T13:50:25Z</t>
  </si>
  <si>
    <t>UCENLJimUiMr6Lo0shZ1Vq_A</t>
  </si>
  <si>
    <t>The Knowledge</t>
  </si>
  <si>
    <t>['future technology', 'future world', 'world in 2100', 'futuristic', 'sci-fi', 'science fiction', 'future predictions', 'future life', 'future of humanity', 'future of earth', 'future tech', 'artificial intelligence', 'robotics', 'virtual reality', 'augmented reality', 'space exploration', 'sustainable energy', 'smart cities', 'bioengineering', 'nanotechnology', 'future society', 'climate change', 'overpopulation', 'social issues in 2100', 'future jobs', 'education in 2100', 'healthcare in 2100', 'transportation in 2100']</t>
  </si>
  <si>
    <t>2024-08-24T09:28:40Z</t>
  </si>
  <si>
    <t>UCnaXMR7Tu3bj8cJ1ZzgcCTQ</t>
  </si>
  <si>
    <t>LordN Gaming</t>
  </si>
  <si>
    <t>['Hardest skyblock', 'Skyblock timelapse', 'The nothing skyblock', 'Can you beat skyblock with nothing', 'LordJon25', 'Lordn gaming', 'lordn 100 days', 'skyblock with nothing', 'nothing skyblock', 'we survived 300 days in skyblock without tree in minecraft hardcore', 'Lordn 100 days skyblock', 'Minecraft skyblock without tree', 'we survived 100 days in skyblock minecraft', 'We survived 100 days in minecraft skyblock with nothing', 'Skyblock with nothing minecraft', 'Minecraft oneblock 100 days', 'Oneblock 100']</t>
  </si>
  <si>
    <t>nkDJM3Z8bmk</t>
  </si>
  <si>
    <t>2025-05-28T16:12:58Z</t>
  </si>
  <si>
    <t>RR0bLaOGEKc</t>
  </si>
  <si>
    <t>#bajaj #freedom #motorcycle #cng #and #petrol</t>
  </si>
  <si>
    <t>2025-05-01T11:28:36Z</t>
  </si>
  <si>
    <t>UC8XyjHCZxoNa0h8xvgKw36Q</t>
  </si>
  <si>
    <t>W.A.</t>
  </si>
  <si>
    <t>['Bajaj', 'Freedom', 'CNG', 'Petrol', 'Motorcycle']</t>
  </si>
  <si>
    <t>dKckaE9S5yo</t>
  </si>
  <si>
    <t>2025-06-07T14:31:35Z</t>
  </si>
  <si>
    <t>['Alcatel phone', 'alcatel v3 ultra unboxing', 'alcatel v3 ultra camera', 'alcatel v3 ultra bgmi tes', 'alcatel v3 ultra price', 'alcatel v3 ultra']</t>
  </si>
  <si>
    <t>aTdDvrf79TA</t>
  </si>
  <si>
    <t>2025-06-11T06:30:00Z</t>
  </si>
  <si>
    <t>['vivo t4 ultra', 'vivo t4 ultra review', 'vivo t4 ultra price in india', 'vivo t4 ultra unboxing', 'vivo t4 ultra 5g', 'vivo t4 ultra specification', 'vivo t4 ultra specs', 't4 ultra vivo', 'vivo t4 ultra buy or not', 'vivo t4 ultra comparison', 'vivo t4 ultra price', 'vivo t4 ultra camera test', 'vivo t4 ultra 5g unboxing', 'vivo t4 ultra vs', 'vivo t4 ultra first look', 'vivo t4 ultra vs vivo v50', 'vivo v50 vs vivo t4 ultra', 'vivo t4 ultra trakintech', 'best vivo under 35000', 't4 ultra', 'vivo v50 pro']</t>
  </si>
  <si>
    <t>UlIU5LRMY6w</t>
  </si>
  <si>
    <t>2025-06-04T10:30:31Z</t>
  </si>
  <si>
    <t>UCD0ixD6V_esLsn1B66tkNnw</t>
  </si>
  <si>
    <t>Everything_techie</t>
  </si>
  <si>
    <t>['Instagram tricks', 'Instagram tips', 'Instagram hacks', 'Instagram settings', 'Instagram features', 'Android tricks', 'Android hacks', 'Iphone tricks', 'Iphone hacks', 'Ios hacks']</t>
  </si>
  <si>
    <t>FhyAQZsws6s</t>
  </si>
  <si>
    <t>2025-06-02T14:28:33Z</t>
  </si>
  <si>
    <t>UCo0mAi0FlYnlwhGf7BvIuVg</t>
  </si>
  <si>
    <t>sarik mobile parts shop</t>
  </si>
  <si>
    <t>PTjz11lURxE</t>
  </si>
  <si>
    <t>2025-05-02T14:00:39Z</t>
  </si>
  <si>
    <t>UCCfpI5ggGDPkD0F0Qfsbdpw</t>
  </si>
  <si>
    <t>Trending Machine</t>
  </si>
  <si>
    <t>['trending machine', 'amazing inventions', 'amazing inventions that are on another level', 'crazy vehicles', 'inventions', 'technology', 'another level', 'amazing inventions you should see', 'machines', 'satisfying video', 'the most satisfying videos', 'amazing tools', 'road inventions', 'next level tools', 'next level', 'tips and hacks', 'gadgets', 'compilation', 'inventions that changed the world', 'new level', 'inventors', 'satisfying', 'awesome tools', 'new inventions', 'most amazing inventions you need to see']</t>
  </si>
  <si>
    <t>hRHQgU5obiQ</t>
  </si>
  <si>
    <t>2025-03-18T12:30:43Z</t>
  </si>
  <si>
    <t>['best tech', 'gadgets', 'unboxing', 'amazing', 'useful', 'experiment', 'review', 'new', 'innovative', 'shark tank', 'shark tank india', 'future tech', 'cool', 'smart', 'smart living', 'smart gadgets', 'tech review', 'startup india', 'wearable tech', 'gaming', 'AI', 'made in india', 'digital india', 'ujjwal', 'technogamerz']</t>
  </si>
  <si>
    <t>pCqKf1r79m8</t>
  </si>
  <si>
    <t>2025-05-28T11:21:41Z</t>
  </si>
  <si>
    <t>UCXJ3BsorN7sn1JnrudJJj8Q</t>
  </si>
  <si>
    <t>knowledgible facts</t>
  </si>
  <si>
    <t>H0vfYzwh3kM</t>
  </si>
  <si>
    <t>2025-05-04T13:23:16Z</t>
  </si>
  <si>
    <t>UCx5e1u7BX0aKwEj3sdYXdXg</t>
  </si>
  <si>
    <t>Gadgets 360</t>
  </si>
  <si>
    <t>['how to know if your phone is hacked', 'phone spy', 'phone spying', 'android phone', 'phone tracking', 'phone monitoring', '#lostphone', 'how to tell if your iphone is hacked', '#phonesecurity', 'iphone', 'iphone 15', 'iphone 12', 'iphone 13', 'iphone fix', 'how to use find my iphone', 'iphone tips', 'how to study', 'iphone 15 pro', 'iphone hacks', 'what to do if i lose my iphone', 'how to check if your iphone has been hacked', 'iphone repair', 'how to spend money correctly', '#findmyiphone']</t>
  </si>
  <si>
    <t>4aZDNO7c8Z8</t>
  </si>
  <si>
    <t>2022-04-07T13:27:33Z</t>
  </si>
  <si>
    <t>UCUMZ7gohGI9HcU9VNsr2FJQ</t>
  </si>
  <si>
    <t>Bloomberg Originals</t>
  </si>
  <si>
    <t>['News', 'bloomberg', 'quicktake', 'business', 'bloomberg quicktake', 'quicktake originals', 'bloomberg\nquicktake by bloomberg', 'documentary', 'mini documentary', 'mini doc', 'doc', 'us news', 'world news', 'finance', 'science', 'africa+', 'tech startups', 'investment', 'US', 'China', 'flutterwave', 'sendy', 'ihub', 'mopesa']</t>
  </si>
  <si>
    <t>B6jl1E0qMf4</t>
  </si>
  <si>
    <t>2025-04-19T13:00:31Z</t>
  </si>
  <si>
    <t>UCu8luTDe_Xxd2ahAXsCWX5g</t>
  </si>
  <si>
    <t>PRO ROBOTS</t>
  </si>
  <si>
    <t>['technology', 'expo 2025', 'robotics', 'autonomous vehicles', 'artificial intelligence', 'digital technology', 'robots', 'high tech', 'technology development', 'robot future', 'robots2025', 'robot control', 'robots with ai', 'modern technology', 'new robot models', 'robotics development', 'tech', 'ayo technology', 'cool gadgets', 'future', 'future technology', 'humanoid robots', 'boston dynamics', 'unitree', 'future of life', 'future transportation concept', 'aI for predicting crimes', 'figure robots at bmw factories', 'expo 2025 osaka']</t>
  </si>
  <si>
    <t>NKY9L0mjW7Y</t>
  </si>
  <si>
    <t>2025-05-20T00:11:28Z</t>
  </si>
  <si>
    <t>UCgJCa5JyZUFkw2evyuvLbJA</t>
  </si>
  <si>
    <t>Sami Luo Tech</t>
  </si>
  <si>
    <t>['Huawei MateBook Fold first look', 'foldable display quality', 'flexible OLED crease', 'hinge durability', 'luxury laptop', 'business laptop', 'creator screen', 'Huawei foldable', '18-inch OLED PC', 'multitasking', 'mobile workstation', 'premium price.', 'foldable notebook test', 'Huawei Ultimate Design', '18-inch foldable screen', 'HarmonyOS laptop', 'multitasking gestures', 'premium tech.']</t>
  </si>
  <si>
    <t>pN17MOfhZJk</t>
  </si>
  <si>
    <t>2025-01-29T00:06:39Z</t>
  </si>
  <si>
    <t>UC5l7RouTQ60oUjLjt1Nh-UQ</t>
  </si>
  <si>
    <t>AI Revolution</t>
  </si>
  <si>
    <t>['AI News', 'AI Updates', 'AI Revolution', 'AI', 'deepseek', 'janus pro', 'ai model', 'dall-e 3', 'gpt-4', 'openai', 'multimodal ai', 'image generation', 'ai benchmarks', 'generative ai', 'tech innovation', 'ai competition', 'ai disruption', 'nvidia', 'ai efficiency', 'ai breakthroughs', 'ai technology', 'unified transformer', 'open-source ai', 'ai revolution', 'deep learning', 'artificial intelligence', 'ai advancements', 'ai research', 'ai market', 'ai cost efficiency', 'deepseek janus pro', 'generative models', 'future of ai']</t>
  </si>
  <si>
    <t>vaMlqmi7X88</t>
  </si>
  <si>
    <t>2024-12-29T13:06:21Z</t>
  </si>
  <si>
    <t>UC1dOYS4SC0FMFYHQxAPkfhg</t>
  </si>
  <si>
    <t>FactEX</t>
  </si>
  <si>
    <t>['discovery', 'unexplained', 'mysterious', 'top 10', 'top 15', 'space', 'universe', 'science', 'techology', 'mystery', 'facts', 'interesting', 'discovery channel', 'discovery plus', 'scientists discovery', 'aliens', 'ufo', 'terrifying discoveries', 'top', 'they discovered', 'invention', 'future', 'galaxy', 'james webb', 'elon musk', 'business', 'entertainment', 'ultimate discovery', 'china has launched new generation transport shocking the us', 'sky maglev train', 'land maglev train', 'shane two-wheeler', 't-flight', 'floating suv -yang wang u-eight', 'nio et-nine']</t>
  </si>
  <si>
    <t>w7H8bzvLN2o</t>
  </si>
  <si>
    <t>2025-05-30T16:01:08Z</t>
  </si>
  <si>
    <t>UC91D3Ux_SGfUHoL4VybVgvA</t>
  </si>
  <si>
    <t>DiscoverChinaAuto</t>
  </si>
  <si>
    <t>['BYD YangWang U8', 'BYD', 'china ev', 'Tank 300', 'GWM', 'HUAWEI AITO M7', 'AITO M7', 'HUAWEI', 'Tank 400', 'Li L9', 'Li', 'L9', 'IM Motor', 'IM Motor LS6', 'LS6', 'Human Horizons', 'HiPhi Z', 'HiPhi', 'AITO M9', 'Li Auto', 'Mega', 'XPENG', 'XPENG X9', 'Tank 700 Hi4-T', 'Tank 700', 'YangWang', 'Xiaomi', 'Geely', 'Xiaomi SU7', 'electric car', 'electric vehicle', 'china car']</t>
  </si>
  <si>
    <t>waDuvnJXC2o</t>
  </si>
  <si>
    <t>2025-06-02T14:01:24Z</t>
  </si>
  <si>
    <t>UCptwuAv0XQHo1OQUSaO6NHw</t>
  </si>
  <si>
    <t>Max Tech</t>
  </si>
  <si>
    <t>['iPhone leaks', 'iphone', 'iPhone 17 leaks', 'iPhone 17 lineup leaks', 'iPhone 17 leaked', 'iPhone 17 leak updates', 'iPhone 17 major leaks', 'iPhone 17 new leaks', 'iPhone 17 new leak updates', 'iPhone 17 major updates', 'iPhone 17 series leaks', 'iPhone 17 top 10 leaks', 'iPhone 17 top upgrades', 'iPhone 17 top 10 upgrades', 'iPhone 17 major features', 'iPhone 17 new major features', 'iPhone 17 new updates', 'iPhone 17 pro', 'iPhone 17 pro leaks', 'iPhone 17 ultra', 'iPhone 17 air', 'iPhone 17 air leaks']</t>
  </si>
  <si>
    <t>qELnhFx-APc</t>
  </si>
  <si>
    <t>2025-05-14T02:16:36Z</t>
  </si>
  <si>
    <t>C1NR1pVPbvA</t>
  </si>
  <si>
    <t>2025-02-10T09:00:11Z</t>
  </si>
  <si>
    <t>UCFlbLCKOhjvhmJnsyYMl-jA</t>
  </si>
  <si>
    <t>The Gearbox</t>
  </si>
  <si>
    <t>['agriculture technology', 'heavy machinery', 'heavy equipment', 'biggest heavy equipment machines', 'biggest heavy machinery machines', 'harvest', 'modern agriculture technology', 'thegearbox', 'the gearbox', 'grape farm', 'japanese grapes', 'japanese farmers harvest expensive grapes', 'grape transportation', 'grape harvest', 'grape harvesting machine']</t>
  </si>
  <si>
    <t>faJYEduLpLo</t>
  </si>
  <si>
    <t>2023-02-10T11:00:35Z</t>
  </si>
  <si>
    <t>UCV3sPnh7wwVyZ1qnoudgVZA</t>
  </si>
  <si>
    <t>Kmeng Prey</t>
  </si>
  <si>
    <t>['Primitive Technology - Meet Fish In The Lake Cacth And Cooking', 'Primitive', 'Technology', 'Cooking', 'Primitive Technology', 'Eating delicious', 'Kmeng Prey', 'Meet Fish In The Lake Cacth And Cooking', 'cooking', 'primitive technology', 'primitive', 'technology', 'kmeng prey', 'traditional cooking', 'mukbang', 'food']</t>
  </si>
  <si>
    <t>mbzh5qfP0Js</t>
  </si>
  <si>
    <t>2024-02-18T17:00:36Z</t>
  </si>
  <si>
    <t>UC4Tklxku1yPcRIH0VVCKoeA</t>
  </si>
  <si>
    <t>Quantum Tech HD</t>
  </si>
  <si>
    <t>qF8-uaQJuBQ</t>
  </si>
  <si>
    <t>2025-06-09T12:55:43Z</t>
  </si>
  <si>
    <t>UCAsUHtfz0Fqe9ZtBgmL1XYQ</t>
  </si>
  <si>
    <t>NEW DISCOVERY  TV</t>
  </si>
  <si>
    <t>['best amazon finds', 'amazon gadgets', 'cool gadgets on amazon', 'gadgets on amazon', 'new gadgets on amazon', 'gadgets', '12 coolest gadgets on amazon', 'cool gadgets', 'amazon', '12 coolest gadgets on amazon and online', 'smart gadgets', 'amazon finds', 'cool tech gadgets on amazon', 'amazon gadgets 2025', '12 amazing kitchen gadgets on amazon that will change your life', 'coolest gadgets', 'best gadgets on amazon', 'home gadgets on amazon', 'viral gadgets on amazon', 'latest gadgets', '13 coolest gadgets on amazon']</t>
  </si>
  <si>
    <t>QM9j_qQZDnY</t>
  </si>
  <si>
    <t>2025-04-03T21:32:27Z</t>
  </si>
  <si>
    <t>['primitive technology', 'primitive', 'technology', 'primitive tech', 'technology primitive', 'tech primitive', 'prim technology', 'prim tech', 'tech prim', 'technology prim', 'building from scratch', 'build from scratch', 'fire', 'smelting', 'iron man', 'tools', 'rust', 'rust irl', 'fire making', 'survival tools', 'creating iron']</t>
  </si>
  <si>
    <t>101eNM998nU</t>
  </si>
  <si>
    <t>2019-05-30T12:32:54Z</t>
  </si>
  <si>
    <t>UCCspJ6mFfCwOV4qFjZWi2wg</t>
  </si>
  <si>
    <t>Xiaomi</t>
  </si>
  <si>
    <t>['Mi9', 'xiaomi', 'xiaomi miui', 'xiami mi9', 'miui mi9', 'miui10', 'xiaomi redmi', 'redmi']</t>
  </si>
  <si>
    <t>Wj3EN4CBkyo</t>
  </si>
  <si>
    <t>100â‚¹ VS 50000â‚¹ POWERBANK</t>
  </si>
  <si>
    <t>2024-05-18T04:30:10Z</t>
  </si>
  <si>
    <t>['power bank', 'best tech', 'gadgets', 'unboxing', 'amazing', 'useful', 'gifts', 'toys', 'surprise', 'funny', 'experiment', 'ujjwal', 'techno gamerz']</t>
  </si>
  <si>
    <t>MpK6NpObr60</t>
  </si>
  <si>
    <t>2025-05-23T04:59:17Z</t>
  </si>
  <si>
    <t>UCrvE2SFjutwpy9W3i8Po6LQ</t>
  </si>
  <si>
    <t xml:space="preserve">Tech Smash Hindi </t>
  </si>
  <si>
    <t>qBtCS4HpU_4</t>
  </si>
  <si>
    <t>2025-03-07T14:00:53Z</t>
  </si>
  <si>
    <t>UCKFjNynYRgDfnSIXzELPqTA</t>
  </si>
  <si>
    <t>Free Documentary - Engineering</t>
  </si>
  <si>
    <t>['free documentary', 'free documentary engineering', 'engineering', 'engineering documentary', 'tech', 'tech documentary', 'constructions', 'constructions documentary', 'technology documentary']</t>
  </si>
  <si>
    <t>wo-LhXuh6bw</t>
  </si>
  <si>
    <t>2025-06-02T17:19:01Z</t>
  </si>
  <si>
    <t>UCN9oidsuQgdNzkVjH7SOAYA</t>
  </si>
  <si>
    <t>the well</t>
  </si>
  <si>
    <t>ek8TVkDHOPs</t>
  </si>
  <si>
    <t>2025-06-19T14:45:58Z</t>
  </si>
  <si>
    <t>['prasadtechintelugu', 'prasad', 'techtelugu', 'technews', 'Prasad tech in telugu', 'vivo t4 ultra review', 'vivo t4 ultra unboxing', 'vivo t4 ultra camera test', 'vivo t4 ultra telugu', 'vivo t4 ultra performance', 'vivo t4 ultra vs rvivo t3 ultra', 'vivo t4 ultra pubg test', 'dimensity 9300 plus phone', 'best phone under 40000', 'telugu tech reviews', 'best camera phone telugu']</t>
  </si>
  <si>
    <t>f0WY5RU2Uwk</t>
  </si>
  <si>
    <t>2025-05-20T15:54:53Z</t>
  </si>
  <si>
    <t>UC3Pk2HL3rN8j1uGXYLL_VfQ</t>
  </si>
  <si>
    <t xml:space="preserve">Pwt Tech </t>
  </si>
  <si>
    <t>['mobile se failti bimari', 'mobile aapki jaan bhi le sakta hai', 'aapka phone aapki jaan bhi le sakta hai', 'mobile manushya ke liye Khatarnak hai']</t>
  </si>
  <si>
    <t>pFgPiR8Mi78</t>
  </si>
  <si>
    <t>2025-05-18T14:35:17Z</t>
  </si>
  <si>
    <t>['best budget tech', 'best budget tech 2025', 'best cheap tech', 'best cheap tech gadgets', 'budget technology', 'budget tech gifts', 'budget technology gifts for him', 'best gifts for him 2025', 'best tech gifts for him 2025', 'best tech under 25', 'best tech under 100', 'best tech under 50', 'dope tech', 'tech', 'technology', 'affordable tech', 'affordable tech gifts', 'cmf nothing phone 2 pro', 'karl conrad', 'affordable tech gadgets', 'budget tech gadgets']</t>
  </si>
  <si>
    <t>EEmWUq5eLJY</t>
  </si>
  <si>
    <t>2024-10-16T18:07:06Z</t>
  </si>
  <si>
    <t>['huawei triple folding phone', 'triple folding phone', 'folding smartphone', 'triple folding smartphone', 'folding phone', 'tcl triple foldable phone', 'xiaomi folding phone', 'huawei triple foldable phone', 'huawei mate xt - first look (triple folding phone)', 'smartphone', 'best foldable smartphone', 'huawei folding phone', 'huawei first triple folding phone - finally official!!', 'xiaomi triple folding phone', 'huaweis triple folding phone', 'triple folding display phone', 'foldable smartphone', 'tech burner']</t>
  </si>
  <si>
    <t>QHEkv-vkb2o</t>
  </si>
  <si>
    <t>2025-04-28T01:37:06Z</t>
  </si>
  <si>
    <t>UC1vOukTmEH646JRvYyxpQnw</t>
  </si>
  <si>
    <t>Shilpa Xalxo Official</t>
  </si>
  <si>
    <t>vORdelj7h_0</t>
  </si>
  <si>
    <t>2024-11-08T05:00:01Z</t>
  </si>
  <si>
    <t>UCuVPpxrm2VAgpH3Ktln4HXg</t>
  </si>
  <si>
    <t>YouTube Movies</t>
  </si>
  <si>
    <t>SbMbHtPATlk</t>
  </si>
  <si>
    <t>2022-05-02T14:33:49Z</t>
  </si>
  <si>
    <t>UC9XWJ3iy4FO6_hQbgGFPcfg</t>
  </si>
  <si>
    <t>Mau Lozano Tech</t>
  </si>
  <si>
    <t>TvKvlB5qPOg</t>
  </si>
  <si>
    <t>2025-04-21T10:48:18Z</t>
  </si>
  <si>
    <t>['canton fair', 'canton fair 2025', 'guangzhou china', 'Canton fair', 'Canton fair 2025', 'China', 'China ev cars', 'China factory', 'Inside china', 'Guangzhou', 'Travel', 'Foreigners in China', 'Travel in China', 'China travel', 'China technology', 'canton fair tips', 'canton fair first time', 'trump', 'trump tariffs', 'tariffs', 'tariffs trump', 'tariffs not working', 'china is winning', 'china has won', 'china trade battle', 'trade war', 'china trade war', 'ev cars', 'robots', 'china robots', 'chinese robots']</t>
  </si>
  <si>
    <t>k5s1cMNTmGs</t>
  </si>
  <si>
    <t>2021-07-19T20:48:32Z</t>
  </si>
  <si>
    <t>UCHnyfMqiRRG1u-2MsSQLbXA</t>
  </si>
  <si>
    <t>Veritasium</t>
  </si>
  <si>
    <t>['veritasium', 'science', 'physics']</t>
  </si>
  <si>
    <t>gaKMywnji-A</t>
  </si>
  <si>
    <t>2021-04-21T00:49:58Z</t>
  </si>
  <si>
    <t>UCeeFfhMcJa1kjtfZAGskOCA</t>
  </si>
  <si>
    <t>TechLinked</t>
  </si>
  <si>
    <t>['Linus', 'LinusTechTips', 'tech news', 'Riley Murdock', 'tech', 'news', 'Apple', 'spring loaded', 'April 20', 'Apple event', 'M1', 'iMac', 'iPad Pro', 'M1 iMac', 'M1 iPad Pro', 'Apple TV 4K', 'purple iPhone', 'Airtags', 'Apple Card Family', 'Apple podcasts subscription']</t>
  </si>
  <si>
    <t>i_aRhNcHryA</t>
  </si>
  <si>
    <t>2025-06-03T13:42:02Z</t>
  </si>
  <si>
    <t>UCKy1dAqELo0zrOtPkf0eTMw</t>
  </si>
  <si>
    <t>IGN</t>
  </si>
  <si>
    <t>['the witcher 4', 'the witcher 4 unreal engine', 'the witcher 4 ue 5.6', 'unreal engine 5.6', 'unreal engine 5.6 tech demo', 'upcoming video games', 'new video games 2025', 'upcoming video games 2025', 'summer of gaming', 'summerofgaming', 'ign summer of gaming 2025', 'ign summer of gaming', 'sog 2025', 'sog', 'witcher 4 trailer']</t>
  </si>
  <si>
    <t>UGWqB6Ui58w</t>
  </si>
  <si>
    <t>2025-05-07T11:36:27Z</t>
  </si>
  <si>
    <t>['vivo x200 pro', 'vivo x200 pro review', 'vivo x200 pro camera test', 'vivo x200 pro camera', 'vivo x200 pro unboxing', 'vivo x200 pro price', 'vivo x200 pro camera review', 'vivo x200', 'vivo x200 pro vs', 'vivo x200 pro first look', 'vivo x200 pro vs x100 ultra', 'vivo x200 pro video test', 'vivo x200 pro 5g', 'vivo x200 pro specs', 'vivo x200 pro malaysia', 'vivo', 'vivo x200 pro gaming test', 'vivo x200 pro vs oppo find x8 pro', 'vivo x200 pro zoom test', 'vivo x200 pro features', 'vivo x200 pro trakintech']</t>
  </si>
  <si>
    <t>TPllyxrf2YU</t>
  </si>
  <si>
    <t>2025-06-02T10:05:00Z</t>
  </si>
  <si>
    <t>UCsLPffCVWCGcx3NQimCH6eA</t>
  </si>
  <si>
    <t>@jbmechanics</t>
  </si>
  <si>
    <t>xRtHEHfkCck</t>
  </si>
  <si>
    <t>2022-12-21T18:54:42Z</t>
  </si>
  <si>
    <t>UCMDQxm7cUx3yXkfeHa5zJIQ</t>
  </si>
  <si>
    <t>YouTube Viewers</t>
  </si>
  <si>
    <t>['tips', 'tricks', 'help', 'tutorial', 'youtube', 'youtubehelp', 'support', 'how to']</t>
  </si>
  <si>
    <t>wSIvUyrp6_E</t>
  </si>
  <si>
    <t>2025-04-11T06:45:17Z</t>
  </si>
  <si>
    <t>['TrakinTech', 'iqoo z10 unboxing', 'iqoo z10 5g unboxing', 'iqoo z10 price in india', 'iqoo z10 launch date in india', 'iqoo z10 hindi', 'iqoo z10 5g price in india', 'iqoo z10x unboxing', 'iqoo z10x 5g unboxing', 'unboxing', 'iqoo z 10 unboxing', 'z10 iqoo unboxing', 'iqoo z10 5g mobile unboxing and review', 'vivo t4x unboxing', 'iQOO Z10 hindi unboxing', 'iqoo z10 trakintech', 'iqoo z10x trakintech', 'iqoo z10 series', 'iqoo', 'iqoo z10x vs', 'iqoo z10 vs', 'best gaming phone under 20000', 'best battery phone', 'iqoo vs']</t>
  </si>
  <si>
    <t>OsOR8G_mdwU</t>
  </si>
  <si>
    <t>2025-06-09T22:54:15Z</t>
  </si>
  <si>
    <t>UCBKhdILeDie8iLkap216g7g</t>
  </si>
  <si>
    <t>In Depth Tech Reviews</t>
  </si>
  <si>
    <t>['iOS 26', 'iOS 26 update', 'Liquid Glass UI', 'iOS 26 features', 'iOS 26 redesign', 'iOS 26 UI', 'iOS 26 new design', 'iPhone UI 2025', 'Apple Liquid Glass', 'iOS 26 control center', 'iOS 26 wallpaper', 'iOS 26 animations', 'Apple iOS update', 'iPhone 16 UI', 'iOS 26 beta', 'iOS 26 review', 'iOS 26 changes', 'iOS 26 look', 'iOS 26 walkthrough']</t>
  </si>
  <si>
    <t>wBx7I2OU0mE</t>
  </si>
  <si>
    <t>2025-04-24T14:03:04Z</t>
  </si>
  <si>
    <t>UCJpKrZ8rOKZp0uISVBfKBvQ</t>
  </si>
  <si>
    <t xml:space="preserve">Pathshala by Nova </t>
  </si>
  <si>
    <t>['Scaler School of Technology', 'SST college review', 'scaler btech alternative', 'scaler school admission', 'scaler college fees', 'scaler school degree', 'scaler school placements', 'is scaler worth it', 'scaler dual degree', 'scaler school curriculum', 'scaler school campus', 'scaler innovation lab', 'scaler internship support', 'scaler scholarship', 'NSET entrance exam', 'scaler vs traditional engineering', 'scaler hostel life', 'scaler student life', 'pathshala by nova', 'jee 2025', 'jee 2025 aspirants']</t>
  </si>
  <si>
    <t>3dJ-ijjXtjI</t>
  </si>
  <si>
    <t>2025-06-10T12:56:53Z</t>
  </si>
  <si>
    <t>['iOS 26', 'Apple iOS 26', 'iOS 26 First look', 'WWDC', 'iOS26', 'iOS 26 features']</t>
  </si>
  <si>
    <t>vhzsq82MgIc</t>
  </si>
  <si>
    <t>2025-05-13T06:31:55Z</t>
  </si>
  <si>
    <t>['Motorola razr 60 ULTRA', 'Razr 60 ultra', 'motorola razr 60 ultra unboxing', 'motorola razr 60 ultra unboxing &amp; quick review']</t>
  </si>
  <si>
    <t>gsvxHJWnP_s</t>
  </si>
  <si>
    <t>2020-11-16T16:44:06Z</t>
  </si>
  <si>
    <t>UCatL-c6pmnjzEOHSyjn-sHA</t>
  </si>
  <si>
    <t>Khan GS Research Centre</t>
  </si>
  <si>
    <t>['khan sir patna', 'khan gs research centre', 'khan sir official', 'khan sir', 'khan gs', 'khan sir live', 'Hyperloop', 'Technology', 'Hyperloop technology', 'Hyperloop technology in hindi', 'Hyperloop technology explained']</t>
  </si>
  <si>
    <t>9HVDExvB-6Y</t>
  </si>
  <si>
    <t>2025-06-06T07:32:23Z</t>
  </si>
  <si>
    <t>UCY6go1q1BnZZABHESo7NPGA</t>
  </si>
  <si>
    <t>RS2 MARKET</t>
  </si>
  <si>
    <t>haoPXk5ZyDw</t>
  </si>
  <si>
    <t>#technology #car #tech #china</t>
  </si>
  <si>
    <t>2025-06-10T05:45:33Z</t>
  </si>
  <si>
    <t>UCichf_oSrURF5aGlS52B8VQ</t>
  </si>
  <si>
    <t>Dylan Cooper</t>
  </si>
  <si>
    <t>lTFS23UT1nI</t>
  </si>
  <si>
    <t>2025-05-28T15:36:24Z</t>
  </si>
  <si>
    <t>UCNJHSm_JXgumEsTOCW3gqVQ</t>
  </si>
  <si>
    <t>BC Centre</t>
  </si>
  <si>
    <t>['SEC 1 Information Technology Important Question', 'Semester 1 sec paper information questions answer', 'sec information technology', 'semester 1 information technology', 'information Technology semester 1 sec', 's c information technology most important thing', 'sec most important question', 'vbu sem 1 sec information technology', 'information Technology long question answer']</t>
  </si>
  <si>
    <t>dGdBM8Cjpko</t>
  </si>
  <si>
    <t>2025-04-26T10:31:11Z</t>
  </si>
  <si>
    <t>UCPrfNyL7yN-15Q6Eu7UYkOA</t>
  </si>
  <si>
    <t>TechTrends</t>
  </si>
  <si>
    <t>['Technologies That Will Change The World', 'future technologies', '2030 technology that will change the world', 'change our world', 'emerging technologies', 'new technologies that will change the world', 'technologies', '15 technologies that will change the world', 'tech trends', '15 emerging technologies that will change the world', 'new techologies', 'change the world', 'best technologies', '15 Technologies That Will Change The World', 'inventions', 'incredible inventions', 'incredible Technologies', 'Futuristic', '15']</t>
  </si>
  <si>
    <t>O6UTxHn5RmA</t>
  </si>
  <si>
    <t>2025-05-25T13:43:15Z</t>
  </si>
  <si>
    <t>UCRY0JgrPoErOIc8AMecPvlg</t>
  </si>
  <si>
    <t>YUVA COMPUTER ACADEMY</t>
  </si>
  <si>
    <t>['it trends and technologies all important questions', 'it trends and technologies important questions', 'it trends and technologies', 'pgdca 2nd sem it trends and technologies important questions', 'pgdca 2nd sem important questions', 'it trends exam important questions 2025', 'pgdca classes', 'DCA classes', 'unit 1to unit 5 all important questions', 'it trends important questions 2025', 'it trends ke important questions', 'it trends and technologies ke important questions']</t>
  </si>
  <si>
    <t>Lqnf6c9B58I</t>
  </si>
  <si>
    <t>2022-01-31T08:57:01Z</t>
  </si>
  <si>
    <t>UCgl4mMudw205_I9_jQvG5eA</t>
  </si>
  <si>
    <t>Nabeel Nawab</t>
  </si>
  <si>
    <t>['How to force restart iPhone 13', 'How to force restart iPhone 12', 'How to force restart iPhone 11', 'How to force restart iPhone xs', 'How to force restart iPhone xr', 'How to force restart iPhone se2', 'How to force restart iPhone se', 'How to force restart iPhone 8', 'How to force restart iPhone 6s', 'How to force restart iPhone 7', 'Nabeel nawab', 'Shorts']</t>
  </si>
  <si>
    <t>MPvEP03HkMM</t>
  </si>
  <si>
    <t>2021-11-28T11:06:49Z</t>
  </si>
  <si>
    <t>UCIJr9qiD_TtLgEcLxiRQTUA</t>
  </si>
  <si>
    <t>Learn Basics</t>
  </si>
  <si>
    <t>['vishvaa', 'How to Add a Page Border in Microsoft Word?', 'short', 'microsoft word', 'how to add border in word', 'how to add page border in word', 'how to make border in word', 'add border in word', 'how to create border in word', 'add border to word document', 'how to add frame in word', 'how to add border in ms word', 'how to add border to word document', 'add page border in word', 'how to make border in ms word', 'how to make page border in word', 'ms word', 'border', 'border in word']</t>
  </si>
  <si>
    <t>QkY2uHMNVFE</t>
  </si>
  <si>
    <t>2024-11-11T22:02:54Z</t>
  </si>
  <si>
    <t>6KUd0csOsXY</t>
  </si>
  <si>
    <t>2025-03-25T14:39:27Z</t>
  </si>
  <si>
    <t>['New Phone', 'New Upcoming Phone', 'April', 'Phone', 'Smartphone', 'Technology Gyan', 'Manoj saru', 'Upcoming phone', 'best phone', 'Mobile']</t>
  </si>
  <si>
    <t>xBpN_Mm-YLc</t>
  </si>
  <si>
    <t>2025-04-18T11:45:21Z</t>
  </si>
  <si>
    <t>['samsung galaxy m56', 'samsung galaxy m56 price', 'samsung galaxy m56 5g', 'samsung galaxy m56 unboxing', 'samsung galaxy m56 review', 'samsung galaxy m56 news', 'samsung galaxy m56 first look', 'samsung galaxy m56 features', 'samsung galaxy m56 rumours', 'samsung m56', "samsung galaxy m56 hand's on", 'samsung galaxy m56 5g unboxing', 'samsung galaxy a56 5g', 'samsung galaxy a56', 'galaxy m56', 'samsung galaxy', 'samsung galaxy m56 specs', 'galaxy m56 trakintech', 'best samsung phone under 25k', 'galaxy m56 hindi']</t>
  </si>
  <si>
    <t>GMcoYBwg5n8</t>
  </si>
  <si>
    <t>2025-04-15T01:30:11Z</t>
  </si>
  <si>
    <t>UCoGrMJ4YMsh4XKMPIpLTfbw</t>
  </si>
  <si>
    <t>Bernardo Tutoriales</t>
  </si>
  <si>
    <t>sfe8Clx2h5Q</t>
  </si>
  <si>
    <t>2024-12-23T06:30:06Z</t>
  </si>
  <si>
    <t>['TrakinTech', 'Trakin Tech', "india's biggest tech roundtable", 'roundtable', 'tech roundtable', 'tech', 'tech creators roundtable', 'trakintech roundtable', 'tech talk', 'tamil tech', 'roundtable 2023', 'creators roundtable', 'youtubers roundtable', 'tech burner', 'tech &amp; learning', 'tech bar', 'top tech youtubers', 'best tech youtubers of india', 'trakin tech', 'tech giants', 'arun prabhudesai trakin tech', 'technical guruji', 'beebom', 'trakin roundtable', 'Anarc watch', 'Best smartphone of 2024', 'Top brand on 2024']</t>
  </si>
  <si>
    <t>xAGJ8dmlDVA</t>
  </si>
  <si>
    <t>2023-11-29T22:46:30Z</t>
  </si>
  <si>
    <t>UCKIGtTTjmldfj52hiz96abg</t>
  </si>
  <si>
    <t>a3q3GXybiUA</t>
  </si>
  <si>
    <t>2025-05-28T16:18:11Z</t>
  </si>
  <si>
    <t>UC4ISroJnBJiXdaEND3SY3iA</t>
  </si>
  <si>
    <t>RK Centre</t>
  </si>
  <si>
    <t>['sec 1 information Technology important questions', 'sec 1 information Technology important question answer', 'vbu semester 1 information Technology important questions', 'information Technology important question answer', 'sec information Technology important objective questions', 'information Technology previous year question paper', 'information Technology important question long video', 'computer ka Arth paribhasha karya visheshtaen aur anupryog']</t>
  </si>
  <si>
    <t>9eIHEX_h2Uc</t>
  </si>
  <si>
    <t>2025-04-19T13:00:12Z</t>
  </si>
  <si>
    <t>UC7rJGcPPTjJZJG31t4oz3uw</t>
  </si>
  <si>
    <t>Steve's RoboLab</t>
  </si>
  <si>
    <t>SUAfDj7iU6A</t>
  </si>
  <si>
    <t>2021-07-04T12:24:00Z</t>
  </si>
  <si>
    <t>UChCRomyek8kP86j0quT5jFg</t>
  </si>
  <si>
    <t>HACKER JP</t>
  </si>
  <si>
    <t>['JP Experiment', '220v generator motor', 'mini generator 220v using dc motor', 'generator kaise banate hain', 'generator kaise banaye', '220v generator kaise banaen', 'generator kaise banate hain motor se', 'how to make 220v generator at home', 'mini generator 220v kaise banaye', 'Samer Experiment', 'dc motor generator 220v', 'how to make generator with magnet', 'à¤®à¥‹à¤Ÿà¤°', 'à¤¡à¥€à¤¸à¥€ à¤®à¥‹à¤Ÿà¤° à¤•à¥ˆà¤¸à¥‡ à¤¬à¤¨à¤¾à¤à¤‚', 'hacker jp']</t>
  </si>
  <si>
    <t>kLf6c8BerhE</t>
  </si>
  <si>
    <t>2025-04-01T18:28:31Z</t>
  </si>
  <si>
    <t>['gta 6', 'gta 6 trailer', 'gta 6 news', 'gta 6 leaks', 'gta 6 leak', 'gta vi', 'gta 6 gameplay', 'gta 6 release date', 'gta 6 reveal', 'gta 6 map', 'gta', 'gta 6 online', 'gta 6 official trailer', 'gta 6 teaser', 'gta 6 release', 'grand theft auto 6', 'gta 6 info', 'gta 5', 'gta 6 rumors', 'gta vi trailer', 'gta 6 details', 'gta 6 beta', 'gta 6 announcement', 'rockstar games gta 6', 'gta 6 teaser trailer', 'gta 6 leaked gameplay', 'gta 6 trailer official', 'gta 6 leaked', 'gta v', 'trailer gta 6', 'gta 6 new intel']</t>
  </si>
  <si>
    <t>jWiV4bWsDl4</t>
  </si>
  <si>
    <t>2022-05-03T22:23:10Z</t>
  </si>
  <si>
    <t>UCPx9eXszFK8rkivV7tXZpHA</t>
  </si>
  <si>
    <t xml:space="preserve"> PONGAMOSLO A PRUEBA CORTOS</t>
  </si>
  <si>
    <t>['walabot', 'ver tubos en las paredes', 'ver metales en paredes', 'rayos x', 'construccion aparato', 'construccion', 'gadget', 'pongamoslo a prueba', 'shorts', 'cortos', 'jimmy']</t>
  </si>
  <si>
    <t>pGtMbnxaXs8</t>
  </si>
  <si>
    <t>2025-06-20T05:15:19Z</t>
  </si>
  <si>
    <t>UCetvIcfQ5MfL1B_3oebxbAA</t>
  </si>
  <si>
    <t>Nice Channel</t>
  </si>
  <si>
    <t>2DaOJ1a0AYg</t>
  </si>
  <si>
    <t>2025-06-19T13:39:44Z</t>
  </si>
  <si>
    <t>UCsVgd6S420V16aJmVcNNSYQ</t>
  </si>
  <si>
    <t xml:space="preserve">Killer tech </t>
  </si>
  <si>
    <t>aO5HE6Q0jaM</t>
  </si>
  <si>
    <t>2025-06-20T02:00:02Z</t>
  </si>
  <si>
    <t>UCO6cVKP66LTeHkoA6lD8CYA</t>
  </si>
  <si>
    <t>Programming Nerd</t>
  </si>
  <si>
    <t>Ukb8U5Ku4gA</t>
  </si>
  <si>
    <t>2025-06-19T15:16:47Z</t>
  </si>
  <si>
    <t>UCi9qNcs4B_Ow1BEfCBKKaoQ</t>
  </si>
  <si>
    <t>Funny Truck</t>
  </si>
  <si>
    <t>duration_seconds</t>
  </si>
  <si>
    <t>engagement_rate</t>
  </si>
  <si>
    <t>video_type</t>
  </si>
  <si>
    <t>Days_Since_Published</t>
  </si>
  <si>
    <t>category_name</t>
  </si>
  <si>
    <t>Film &amp; Animation</t>
  </si>
  <si>
    <t>Autos &amp; Vehicles</t>
  </si>
  <si>
    <t>Music</t>
  </si>
  <si>
    <t>Pets &amp; Animals</t>
  </si>
  <si>
    <t>Sports</t>
  </si>
  <si>
    <t>Travel &amp; Events</t>
  </si>
  <si>
    <t>Gaming</t>
  </si>
  <si>
    <t>People &amp; Blogs</t>
  </si>
  <si>
    <t>Comedy</t>
  </si>
  <si>
    <t>Entertainment</t>
  </si>
  <si>
    <t>News &amp; Politics</t>
  </si>
  <si>
    <t>Howto &amp; Style</t>
  </si>
  <si>
    <t>Education</t>
  </si>
  <si>
    <t>Science &amp; Technology</t>
  </si>
  <si>
    <t>Nonprofits &amp; Activism</t>
  </si>
  <si>
    <t>Row Labels</t>
  </si>
  <si>
    <t>Long</t>
  </si>
  <si>
    <t>Short</t>
  </si>
  <si>
    <t>Grand Total</t>
  </si>
  <si>
    <t>Sum of view_count</t>
  </si>
  <si>
    <t>Sum of like_count</t>
  </si>
  <si>
    <t>Sum of comment_count</t>
  </si>
  <si>
    <t>Count of video_id</t>
  </si>
  <si>
    <t>Title</t>
  </si>
  <si>
    <t>AI &amp; future of workforce: Andr...</t>
  </si>
  <si>
    <t>5 ILLEGAL gadgets that will ge...</t>
  </si>
  <si>
    <t>APPLE Glass Revolutionizes AR ...</t>
  </si>
  <si>
    <t>Appleâ€™s THINNEST ever device...</t>
  </si>
  <si>
    <t>Chinese Technology is LEADING ...</t>
  </si>
  <si>
    <t>Worlds smallest 4K headset ðŸ˜...</t>
  </si>
  <si>
    <t>The Future of Technology (2025...</t>
  </si>
  <si>
    <t>ThinkPad or ThinkBad? Has Leno...</t>
  </si>
  <si>
    <t>The latest Chinese technology ...</t>
  </si>
  <si>
    <t>USB in USB #charger #technolog...</t>
  </si>
  <si>
    <t>Coolest New Technologies of 20...</t>
  </si>
  <si>
    <t>Is this the future of technolo...</t>
  </si>
  <si>
    <t>I Tested Every YouTuber Tech P...</t>
  </si>
  <si>
    <t>Algorithms are breaking how we...</t>
  </si>
  <si>
    <t>5 Most Extreme Tech Pranks! ðŸ...</t>
  </si>
  <si>
    <t>Cleaning a Lenovo Legion lapto...</t>
  </si>
  <si>
    <t>5 Most BRUTAL Tech Pranks Ever...</t>
  </si>
  <si>
    <t>Top 3 Smartphone gadgets under...</t>
  </si>
  <si>
    <t>The "standard" car charger is ...</t>
  </si>
  <si>
    <t>50 Cent - Ayo Technology (feat...</t>
  </si>
  <si>
    <t>New invention #scienceproject ...</t>
  </si>
  <si>
    <t>The amazing, but unsettling fu...</t>
  </si>
  <si>
    <t>Is this an iPhone KILLERðŸ˜³#t...</t>
  </si>
  <si>
    <t>4 SPY gadgets to keep you Unde...</t>
  </si>
  <si>
    <t>IOT Home Automation #arduino #...</t>
  </si>
  <si>
    <t>ðŸ˜®MKBHD REVEALS HIS DREAM PH...</t>
  </si>
  <si>
    <t>Worldâ€™s smallest computer #u...</t>
  </si>
  <si>
    <t>Revolutionary carseat technolo...</t>
  </si>
  <si>
    <t>5 Crazy Amazon tech finds you ...</t>
  </si>
  <si>
    <t>My Perfect Value Everyday Tech...</t>
  </si>
  <si>
    <t>ðŸ”¥Top Best Useful Car Gadget...</t>
  </si>
  <si>
    <t>Replacing my 3080 with a 4090 ...</t>
  </si>
  <si>
    <t>IOT Smart Parking, esp8266, Ar...</t>
  </si>
  <si>
    <t>Overheating Alienware #gaming ...</t>
  </si>
  <si>
    <t>I spent $10,000 on the crazies...</t>
  </si>
  <si>
    <t>How Fast Is the World's Fastes...</t>
  </si>
  <si>
    <t>The Most Futuristic Tech Of 20...</t>
  </si>
  <si>
    <t>DON'T EAT THE BATTERY #electro...</t>
  </si>
  <si>
    <t>I Tried Meta's New Prototype A...</t>
  </si>
  <si>
    <t>Microphone in your Earbud is A...</t>
  </si>
  <si>
    <t>ðŸ”¥Top Best Useful Gadgets In...</t>
  </si>
  <si>
    <t>What is Artificial Intelligenc...</t>
  </si>
  <si>
    <t>New Toilet Technology! ðŸ¤£ðŸ˜...</t>
  </si>
  <si>
    <t>Chinaâ€™s New Tech Shocks the ...</t>
  </si>
  <si>
    <t>A bus that can even go into wa...</t>
  </si>
  <si>
    <t>Brute Forcing An iPhone 5â€¦ #...</t>
  </si>
  <si>
    <t>Portal Technology ðŸ¤”#magnet ...</t>
  </si>
  <si>
    <t>I bought the STRONGEST Tech Ev...</t>
  </si>
  <si>
    <t>NVIDIA unveils its most afford...</t>
  </si>
  <si>
    <t>ðŸ§  Zuckerberg: DON'T just st...</t>
  </si>
  <si>
    <t>30 year old IBM ThinkPad puts ...</t>
  </si>
  <si>
    <t>This Technology Eliminates Con...</t>
  </si>
  <si>
    <t>Playing With Technology ðŸ˜± #...</t>
  </si>
  <si>
    <t>ChinaðŸ‡¨ðŸ‡³ is 50 years ahea...</t>
  </si>
  <si>
    <t>Exploring the latest tech at C...</t>
  </si>
  <si>
    <t>How Technology Changed the Kit...</t>
  </si>
  <si>
    <t>Technology has gone too far #c...</t>
  </si>
  <si>
    <t>Humanoid robot warns of AI dan...</t>
  </si>
  <si>
    <t>viral ATM bike  security featu...</t>
  </si>
  <si>
    <t>Technology Technologia  (origi...</t>
  </si>
  <si>
    <t>My Previous Science Experiment...</t>
  </si>
  <si>
    <t>The Birth of Computing: The Wo...</t>
  </si>
  <si>
    <t>China, USA, and EU â€“ A Techn...</t>
  </si>
  <si>
    <t>New Science Project #shorts #s...</t>
  </si>
  <si>
    <t>First Electric Highway Is Craz...</t>
  </si>
  <si>
    <t>The Last Best Technology That ...</t>
  </si>
  <si>
    <t>ðŸ˜± Top 3 Best Gadgets For St...</t>
  </si>
  <si>
    <t>Top 3 best amazing cool gadget...</t>
  </si>
  <si>
    <t>Chinese company utilizing AI t...</t>
  </si>
  <si>
    <t>Technologia ðŸ˜²ðŸ’» #shorts #...</t>
  </si>
  <si>
    <t>20 Future Technologies That Wi...</t>
  </si>
  <si>
    <t>ATM coin bike technology short...</t>
  </si>
  <si>
    <t>I spent $10,000 on Kickstarter...</t>
  </si>
  <si>
    <t>Technology âŒ Technologia âœ…...</t>
  </si>
  <si>
    <t>Gaming technology is getting i...</t>
  </si>
  <si>
    <t>Essay on Technology #shorts #y...</t>
  </si>
  <si>
    <t>The Worlds Smartest Glasses | ...</t>
  </si>
  <si>
    <t>automation solution for machin...</t>
  </si>
  <si>
    <t>Unboxing the Samsung S24 FE ðŸ...</t>
  </si>
  <si>
    <t>I bought the World's RAREST Te...</t>
  </si>
  <si>
    <t>Stunning Futuristic Tech #tech...</t>
  </si>
  <si>
    <t>Closed captions on DVDs are ge...</t>
  </si>
  <si>
    <t>They fixed the reason my phone...</t>
  </si>
  <si>
    <t>Unique Technology of Japan ðŸ˜...</t>
  </si>
  <si>
    <t>ATM bike viral technology #vir...</t>
  </si>
  <si>
    <t>Hi-Tech Beggar in China ðŸ‡¨ðŸ...</t>
  </si>
  <si>
    <t>Most Expensive Smartphone Case...</t>
  </si>
  <si>
    <t>Huawei Matebook Fold Ultimate ...</t>
  </si>
  <si>
    <t>#science #roads road technolog...</t>
  </si>
  <si>
    <t>trend of reel-ðŸ¤£ðŸ‘ˆðŸ˜²  te...</t>
  </si>
  <si>
    <t>navy seal robot get technology...</t>
  </si>
  <si>
    <t>How Neuralink chip work in fir...</t>
  </si>
  <si>
    <t>Others unique technologya vs l...</t>
  </si>
  <si>
    <t>Advanced High Speed Railway In...</t>
  </si>
  <si>
    <t>Advanced Robotic World Of Chin...</t>
  </si>
  <si>
    <t>iPhone 14 Deluzi~#Apple mobile...</t>
  </si>
  <si>
    <t>ChatGPT &amp; Generative AI Explai...</t>
  </si>
  <si>
    <t>ATM bike new feature shorts #f...</t>
  </si>
  <si>
    <t>This Gadget can ZOOM Upto 200X...</t>
  </si>
  <si>
    <t>I'm the best technology moment...</t>
  </si>
  <si>
    <t>Past and Present | Technology ...</t>
  </si>
  <si>
    <t>3 Super Unique Gadgets! #short...</t>
  </si>
  <si>
    <t>28 Inventions of the Future th...</t>
  </si>
  <si>
    <t>Ultrasonic Humidifier Mist Mak...</t>
  </si>
  <si>
    <t>This Robot Will Replace the Po...</t>
  </si>
  <si>
    <t>Ic Reballing Tricks #mobilerep...</t>
  </si>
  <si>
    <t>Apple Microchip CPU Under Micr...</t>
  </si>
  <si>
    <t>Technology âŒ  Technologia âœ...</t>
  </si>
  <si>
    <t>Technology comedy videoðŸ˜… #s...</t>
  </si>
  <si>
    <t>ONE UI 7 FINALLY #samsung #tec...</t>
  </si>
  <si>
    <t>China Has Advanced Technology ...</t>
  </si>
  <si>
    <t>Fake Floor on Chinese Building...</t>
  </si>
  <si>
    <t>This Japanese Technology is Am...</t>
  </si>
  <si>
    <t>TECHNOLOGYâŒ TECHNOLOGIAâœ… #...</t>
  </si>
  <si>
    <t>TECHNOLOGY ORÄ°GÄ°NAL #technol...</t>
  </si>
  <si>
    <t>IMPOSSIBLE ðŸ· ðŸ¥·  #freefir...</t>
  </si>
  <si>
    <t>ATM bike new viral technology ...</t>
  </si>
  <si>
    <t>I bought the CHEAPEST Tech in ...</t>
  </si>
  <si>
    <t>Amazing Technology Of Japanese...</t>
  </si>
  <si>
    <t>Is it cool to HATE technology ...</t>
  </si>
  <si>
    <t>Broken Flex Repair #mobilerepa...</t>
  </si>
  <si>
    <t>iShowSpeed Impressed By Chinaâ...</t>
  </si>
  <si>
    <t>Technologyia ðŸ˜‚ðŸ˜‚ðŸ˜‚ || N...</t>
  </si>
  <si>
    <t>Military Technology ðŸ”¥ #shor...</t>
  </si>
  <si>
    <t>Technology âŒ Technologia..âœ...</t>
  </si>
  <si>
    <t>Friendship Samsung Digital Tec...</t>
  </si>
  <si>
    <t>Top 20 New Technology Trends T...</t>
  </si>
  <si>
    <t>Japanese next level technology...</t>
  </si>
  <si>
    <t>Amazing Experiment with Arduin...</t>
  </si>
  <si>
    <t>This is future technology 2d a...</t>
  </si>
  <si>
    <t>iPHONE 13 VS A36 #samsung #tec...</t>
  </si>
  <si>
    <t>This is NOT a smartphoneðŸ¤”#t...</t>
  </si>
  <si>
    <t>El producto chino MÃS DECEPCI...</t>
  </si>
  <si>
    <t>20 Emerging Technologies That ...</t>
  </si>
  <si>
    <t>iOS 26 Features: Appleâ€™s Liq...</t>
  </si>
  <si>
    <t>Japan next level technology ðŸ...</t>
  </si>
  <si>
    <t>Samsung Galaxy S25 Edge HANDS ...</t>
  </si>
  <si>
    <t>ðŸ”¥Top Best Useful student Ga...</t>
  </si>
  <si>
    <t>New invention ðŸ‡®ðŸ‡³ #techno...</t>
  </si>
  <si>
    <t>**CHINA IS LIVING IN THE FUTUR...</t>
  </si>
  <si>
    <t>viral bike new technology #sho...</t>
  </si>
  <si>
    <t>à¤¯à¥‡ à¤¹à¥ˆ Duniya à¤•à¤¾ à¤...</t>
  </si>
  <si>
    <t>wait for endâ€¦â€¦ðŸ˜‚#funny #...</t>
  </si>
  <si>
    <t>iShowSpeed Shocked By This Tec...</t>
  </si>
  <si>
    <t>The lamb tail docking surgical...</t>
  </si>
  <si>
    <t>à¤­à¤¾à¤°à¤¤ Vs à¤…à¤®à¥‡à¤°à¤...</t>
  </si>
  <si>
    <t>IT vs. Computer Science Degree...</t>
  </si>
  <si>
    <t>Free motion setup in progress ...</t>
  </si>
  <si>
    <t>Alarm Lock for Home #home #tec...</t>
  </si>
  <si>
    <t>Flywheel Free Energy?! #techno...</t>
  </si>
  <si>
    <t>viral new technology money bik...</t>
  </si>
  <si>
    <t>22 New Gadgets And Inventions ...</t>
  </si>
  <si>
    <t>Crooked m2 slot on HP laptop m...</t>
  </si>
  <si>
    <t>Unbelievable technology of CHI...</t>
  </si>
  <si>
    <t>10 lines essay on Technology i...</t>
  </si>
  <si>
    <t>viral ATM bike new feature sho...</t>
  </si>
  <si>
    <t>Worldâ€™s smallest 4K headset ...</t>
  </si>
  <si>
    <t>#UGREEN500W Desktop Charger is...</t>
  </si>
  <si>
    <t>Others Technology Vs The Last ...</t>
  </si>
  <si>
    <t>China Has Launched New Generat...</t>
  </si>
  <si>
    <t>The Craziest City You Have Eve...</t>
  </si>
  <si>
    <t>#memes #funny #technology #com...</t>
  </si>
  <si>
    <t>Rocket Launcher | M4 Tech | #s...</t>
  </si>
  <si>
    <t>China farming technology | pla...</t>
  </si>
  <si>
    <t>15 AMAZING INVENTIONS THAT WIL...</t>
  </si>
  <si>
    <t>I bought the most POINTLESS Te...</t>
  </si>
  <si>
    <t>Magical Gadget ft Tech Master ...</t>
  </si>
  <si>
    <t>Cleaning a Lenovo Yoga (tetanu...</t>
  </si>
  <si>
    <t>The craziest technology ðŸ’€ #...</t>
  </si>
  <si>
    <t>Building Your Own Tech Brand f...</t>
  </si>
  <si>
    <t>Switch to Super Power ðŸ˜±ðŸ¤¯...</t>
  </si>
  <si>
    <t>jio f320b charging ic bypass j...</t>
  </si>
  <si>
    <t>Puse a prueba la resistencia d...</t>
  </si>
  <si>
    <t>china smart roads and technolo...</t>
  </si>
  <si>
    <t>Would you buy the Trump Phone?...</t>
  </si>
  <si>
    <t>Fingerprint detector system wi...</t>
  </si>
  <si>
    <t>VÃ­deo Original Technologhia  ...</t>
  </si>
  <si>
    <t>Mind-Blowing ðŸ˜± Nano Technol...</t>
  </si>
  <si>
    <t>Why do programmers have Rubber...</t>
  </si>
  <si>
    <t>Pitaka Airtag Protective Case,...</t>
  </si>
  <si>
    <t>#science  #technology #machine...</t>
  </si>
  <si>
    <t>Such a cool piece of tech!! â...</t>
  </si>
  <si>
    <t>This Drone has WINGS! #technol...</t>
  </si>
  <si>
    <t>Ancient Lighting Technology? #...</t>
  </si>
  <si>
    <t>Smart Invention With Shoes Â° ...</t>
  </si>
  <si>
    <t>When Technology Becomes Art #M...</t>
  </si>
  <si>
    <t>Broken Tracks Repair #mobilere...</t>
  </si>
  <si>
    <t>Mini HD Wifi Security Camera -...</t>
  </si>
  <si>
    <t>Elon Musk Tesla Robot Girlfrie...</t>
  </si>
  <si>
    <t>Technology à¤•à¤¾ Gen-Z ðŸ¤¯ðŸ...</t>
  </si>
  <si>
    <t>4 Cleaning Gadgets under â‚¹10...</t>
  </si>
  <si>
    <t>2 à¤–à¤¤à¤°à¤¨à¤¾à¤• ðŸ“³ Phon...</t>
  </si>
  <si>
    <t>OnePlus 13s Unboxing - Best Co...</t>
  </si>
  <si>
    <t>Detachable Aeroplane technolog...</t>
  </si>
  <si>
    <t>Unitree's G1 Humanoid Robots a...</t>
  </si>
  <si>
    <t>CES 2025: 15 Best Tech Youâ€™l...</t>
  </si>
  <si>
    <t>Top - 3 Amazing Gadgets For Ho...</t>
  </si>
  <si>
    <t>Rs.1,50,000 Vs Rs.10,000 Phone...</t>
  </si>
  <si>
    <t>Science and technology ðŸ—¿ sc...</t>
  </si>
  <si>
    <t>Inspire Award Winning New Scie...</t>
  </si>
  <si>
    <t>Pre-Egyptian Technology Left B...</t>
  </si>
  <si>
    <t>This Technology Can Save Plane...</t>
  </si>
  <si>
    <t>50 Cent - Ayo Technology (Lyri...</t>
  </si>
  <si>
    <t>What is artificial intelligenc...</t>
  </si>
  <si>
    <t>Generates electricity in both ...</t>
  </si>
  <si>
    <t>Cleaning a Laptop that's GROSS...</t>
  </si>
  <si>
    <t>New SSD Missing! #tech #gaming...</t>
  </si>
  <si>
    <t>ðŸ˜‚ðŸ˜‚ðŸ˜‚vivo zoom ðŸ˜‚ðŸ˜‚...</t>
  </si>
  <si>
    <t>Tiny Gadget is Always Listenin...</t>
  </si>
  <si>
    <t>High voltage converts low volt...</t>
  </si>
  <si>
    <t>Future Technology | 60 Minutes...</t>
  </si>
  <si>
    <t>Samsung Vs iPhone à¤•à¥Œà¤¨à¤¸...</t>
  </si>
  <si>
    <t>high security lock #tech #anit...</t>
  </si>
  <si>
    <t>latest technology #technology ...</t>
  </si>
  <si>
    <t>Universal Pull Plate #Agricult...</t>
  </si>
  <si>
    <t>ðŸ”¥ðŸ¤– #RobotPower Unitree G...</t>
  </si>
  <si>
    <t>technology technology #comedy ...</t>
  </si>
  <si>
    <t>Dangerous gadgets like teacher...</t>
  </si>
  <si>
    <t>Physics illusionsðŸ¤¯ðŸ”¥/#fac...</t>
  </si>
  <si>
    <t>I think I will buy this Elon m...</t>
  </si>
  <si>
    <t>High voltage speaker reaction ...</t>
  </si>
  <si>
    <t>23 Cool Gadgets And Inventions...</t>
  </si>
  <si>
    <t>Drone giveaway ðŸ˜±ðŸ”¥#shortv...</t>
  </si>
  <si>
    <t>#technology #engineering #amaz...</t>
  </si>
  <si>
    <t>PRICE 600 ORDER NOW ðŸ‘†ðŸ‘†ðŸ...</t>
  </si>
  <si>
    <t>22000 mAh battery à¤µà¤¾à¤²à¤¾...</t>
  </si>
  <si>
    <t>jio f220b audio ic bypass jump...</t>
  </si>
  <si>
    <t>âš¡ï¸USB Fingerprint Reader -...</t>
  </si>
  <si>
    <t>China ki drone technology shor...</t>
  </si>
  <si>
    <t>Trick and Tools ðŸ”¥ðŸ’¯ #karm...</t>
  </si>
  <si>
    <t>Real Life WORKING Iron Man Hel...</t>
  </si>
  <si>
    <t>Humanoid robots work in factor...</t>
  </si>
  <si>
    <t>how to change ordinary lights ...</t>
  </si>
  <si>
    <t>Google Keep Tricks You Wish Yo...</t>
  </si>
  <si>
    <t>What is a diode? #technology #...</t>
  </si>
  <si>
    <t>Homemade trick to clean millet...</t>
  </si>
  <si>
    <t>Future of AI: Robots Giving Bi...</t>
  </si>
  <si>
    <t>The Evolution of Technology: A...</t>
  </si>
  <si>
    <t>mini portable fan #tech #anite...</t>
  </si>
  <si>
    <t>technologyðŸ˜ #freefire #funn...</t>
  </si>
  <si>
    <t>Will FUTURE Technology Make Us...</t>
  </si>
  <si>
    <t>300 â‚¹ vs 30000 â‚¹ Smart A.I...</t>
  </si>
  <si>
    <t>TECHNOLOGIA FULL VIDEO 2025//S...</t>
  </si>
  <si>
    <t>à¤œà¤¾à¤ªà¤¾à¤¨ à¤Ÿà¥‡à¤•à¥à¤...</t>
  </si>
  <si>
    <t>Chinese Technology ðŸ™‰ AdvikJ...</t>
  </si>
  <si>
    <t>Technology Meme | By Original ...</t>
  </si>
  <si>
    <t>I bought the BIGGEST Tech in t...</t>
  </si>
  <si>
    <t>Technology or Nature ðŸ¤« Watc...</t>
  </si>
  <si>
    <t>Technologia free fireðŸ¤£ #tec...</t>
  </si>
  <si>
    <t>Budget Gaming PC build (fail) ...</t>
  </si>
  <si>
    <t>technology technology ðŸ˜œðŸ˜‚...</t>
  </si>
  <si>
    <t>Amazing Power Full Tractor Wor...</t>
  </si>
  <si>
    <t>Technology âŽ Technologia âœ…...</t>
  </si>
  <si>
    <t>WWDC 2025 - Rating every new A...</t>
  </si>
  <si>
    <t>Why You Shouldn't Cook on a We...</t>
  </si>
  <si>
    <t>Electric Crossing Gate â€¢ Dc ...</t>
  </si>
  <si>
    <t>Apple Vision Pro à¤¸à¤¬à¤¸à¥‡ ...</t>
  </si>
  <si>
    <t>respect ðŸ˜±ðŸ”¥ I non stop cy...</t>
  </si>
  <si>
    <t>Museum Exhibit Reveals Enginee...</t>
  </si>
  <si>
    <t>unknown planet ðŸ˜² 3d Special...</t>
  </si>
  <si>
    <t>This Breakthrough Technology W...</t>
  </si>
  <si>
    <t>Robots New Technology #robots ...</t>
  </si>
  <si>
    <t>â‚¹4000000 à¤•à¤¾ Apple Vs Sup...</t>
  </si>
  <si>
    <t>nokia type c jack replace tips...</t>
  </si>
  <si>
    <t>Sim Connector Repair Tips #sho...</t>
  </si>
  <si>
    <t>Chinaâ€™s military unveils rob...</t>
  </si>
  <si>
    <t>4 School Students GadgetsðŸ¤© ...</t>
  </si>
  <si>
    <t>à´¸àµ‚à´ªàµà´ªàµ¼ à´•à´•àµà´...</t>
  </si>
  <si>
    <t>à¤¯à¥‡ à¤¹à¥ˆà¤‚ à¤¸à¤¬à¤¸à¥‡ ...</t>
  </si>
  <si>
    <t>Primitive Technology: Belt and...</t>
  </si>
  <si>
    <t>Introduction to OpAmps #electr...</t>
  </si>
  <si>
    <t>à¤¦à¤¿à¤²à¥à¤²à¥€ à¤šà¥‹à¤° à...</t>
  </si>
  <si>
    <t>Technology Funny message ringt...</t>
  </si>
  <si>
    <t>Gyro Sensor Based Mini Drone, ...</t>
  </si>
  <si>
    <t>Me subÃ­ al metro con los Appl...</t>
  </si>
  <si>
    <t>à¤¦à¥à¤¨à¤¿à¤¯à¤¾ à¤•à¥‡ à¤¸à...</t>
  </si>
  <si>
    <t>Unbelievable China's technolog...</t>
  </si>
  <si>
    <t>What do tech pioneers think ab...</t>
  </si>
  <si>
    <t>iPhone 17 unboxing #iphone #te...</t>
  </si>
  <si>
    <t>How to fix water damaged phone...</t>
  </si>
  <si>
    <t>I tested every Celebrity Tech ...</t>
  </si>
  <si>
    <t>The Neuralink Brain Chip | Elo...</t>
  </si>
  <si>
    <t>New technology used in the wor...</t>
  </si>
  <si>
    <t>( New ) Free internet 100% Wor...</t>
  </si>
  <si>
    <t>"Mind-Blowing"- The Most Expen...</t>
  </si>
  <si>
    <t>Design Pe confidence | Mini Vl...</t>
  </si>
  <si>
    <t>duniya ki sabse ajib Bhains wa...</t>
  </si>
  <si>
    <t>Samsung à¤¤à¥à¤®à¤¸à¥‡ à¤¨à¤¾...</t>
  </si>
  <si>
    <t>Viral Haha Technology  and Tec...</t>
  </si>
  <si>
    <t>Technology âŒTechnologia âœ… ...</t>
  </si>
  <si>
    <t>Das ist der extreme Budget Gam...</t>
  </si>
  <si>
    <t>NOT a normal smartphoneðŸ¤”#te...</t>
  </si>
  <si>
    <t>Robot Motherâ€™s Tender Moment...</t>
  </si>
  <si>
    <t>I Got Saste Useful Gadgets ðŸ˜...</t>
  </si>
  <si>
    <t>Ye Technology India se bahar n...</t>
  </si>
  <si>
    <t>Repairing old 12v battery #exp...</t>
  </si>
  <si>
    <t>Top 15 Tech Finds of ALL TIME ...</t>
  </si>
  <si>
    <t>20 INVENTIONS THAT WILL CHANGE...</t>
  </si>
  <si>
    <t>R2 | Inside Rivianâ€™s Vehicle...</t>
  </si>
  <si>
    <t>Why Europe Failed to Dominate ...</t>
  </si>
  <si>
    <t>Technology of Free Fire ðŸ˜Ž: ...</t>
  </si>
  <si>
    <t>technologya ðŸ¤£ðŸ¤£ #funny #c...</t>
  </si>
  <si>
    <t>Google Now Protects YOU Like a...</t>
  </si>
  <si>
    <t>Amazon mobile order cheythappo...</t>
  </si>
  <si>
    <t>à¸§à¸´à¸˜à¸µà¸›à¸¥à¸¹à¸à¸žà¸·...</t>
  </si>
  <si>
    <t>WWDC 2025: Everything Revealed...</t>
  </si>
  <si>
    <t>WWDC 2025 Impressions: Liquid ...</t>
  </si>
  <si>
    <t>O Teclado MagnÃ©tico Mais Lind...</t>
  </si>
  <si>
    <t>TechnologyâŽ Technologiaâœ… T...</t>
  </si>
  <si>
    <t>Digital Technology | The Inven...</t>
  </si>
  <si>
    <t>411 I like ðŸ‘ this video #ne...</t>
  </si>
  <si>
    <t>DIY Electronic Dice â€“ It Act...</t>
  </si>
  <si>
    <t>USB touch light #tech #anitech...</t>
  </si>
  <si>
    <t>Big Tech in panic mode... Did ...</t>
  </si>
  <si>
    <t>TechnologyðŸ˜#ashudishu_6717 ...</t>
  </si>
  <si>
    <t>à¹„à¸­à¹€à¸”à¸µà¸¢à¸”à¸µà¸¡à¸²...</t>
  </si>
  <si>
    <t>Elon Musk and President Trump ...</t>
  </si>
  <si>
    <t>TechnologyðŸ¥´ðŸ«  #bikelover ...</t>
  </si>
  <si>
    <t>Gostou? Se inscreva no canal p...</t>
  </si>
  <si>
    <t>Top 10 Emerging Technologies o...</t>
  </si>
  <si>
    <t>#cricket #cricketshorts #techn...</t>
  </si>
  <si>
    <t>Top 10 New Trending Technologi...</t>
  </si>
  <si>
    <t>#adityavlogs #adityaranjansir ...</t>
  </si>
  <si>
    <t>Programming memes, only humor ...</t>
  </si>
  <si>
    <t>Fingerprint sensor with Arduin...</t>
  </si>
  <si>
    <t>à¸§à¸´à¸˜à¸µà¸«à¸§à¹ˆà¸²à¸™à¸›...</t>
  </si>
  <si>
    <t>Poco 7550mAh Phone coming, Not...</t>
  </si>
  <si>
    <t>mini solar plate for mobile ch...</t>
  </si>
  <si>
    <t>Meta glassesðŸ˜Ž #meta #glasse...</t>
  </si>
  <si>
    <t>Race Highlights | 2025 Bommari...</t>
  </si>
  <si>
    <t>iPhone 17 Pro Big News, POCO F...</t>
  </si>
  <si>
    <t>I bought the Cheapest Tech on ...</t>
  </si>
  <si>
    <t>à¹ƒà¸Šà¹‰à¸—à¸¸à¹ˆà¸™à¹„à¸›à¹€...</t>
  </si>
  <si>
    <t>Tecnologia in Cricket #technol...</t>
  </si>
  <si>
    <t>Instagram-à®²à¯ à®ªà¯à®¤à®¿à...</t>
  </si>
  <si>
    <t>#freefireshorts  #new Bandar #...</t>
  </si>
  <si>
    <t>Did you know ðŸ¤¯ #lifehacks #...</t>
  </si>
  <si>
    <t>I Canâ€™t Believe I Care about...</t>
  </si>
  <si>
    <t>The Most Dangerous Neodymium M...</t>
  </si>
  <si>
    <t>I bought the Ultimate Survival...</t>
  </si>
  <si>
    <t>Czy to w ogÃ³le potrzebne?#Å›m...</t>
  </si>
  <si>
    <t>ðŸ“±ðŸ’» Â¿CambiarÃ­as tu Mac ...</t>
  </si>
  <si>
    <t>Hyper X Gaming Mouse &amp; Gaming ...</t>
  </si>
  <si>
    <t>à¦à¦‡ à¦›à§‹à¦Ÿ à¦›à¦¿à¦¦à§à...</t>
  </si>
  <si>
    <t>vivo Y400 Pro is here - Stylis...</t>
  </si>
  <si>
    <t>iOS 26 Features || Prasad Tech...</t>
  </si>
  <si>
    <t>Mind-Blowing Construction Tech...</t>
  </si>
  <si>
    <t>Japan Ki Technology |#shortvid...</t>
  </si>
  <si>
    <t>Ha ha à¦à¦Ÿà¦¾ à¦¨à¦¾à¦•à¦¿ T...</t>
  </si>
  <si>
    <t>4 Satisfying Gadgets  #gadgets...</t>
  </si>
  <si>
    <t>#smartphone #technologykabaap ...</t>
  </si>
  <si>
    <t>This is why I keep downgrading...</t>
  </si>
  <si>
    <t>Why is Big Tech Slashing Jobs ...</t>
  </si>
  <si>
    <t>Meibot in Lab  ðŸ¥¼ ðŸ”¬ #futu...</t>
  </si>
  <si>
    <t>ATM bike viral shorts #technol...</t>
  </si>
  <si>
    <t>Heavy Tractor Working In The F...</t>
  </si>
  <si>
    <t>TECHNOLOGIA!!BOBY SHINGH!!CHOU...</t>
  </si>
  <si>
    <t>Milow - Ayo Technology (Offici...</t>
  </si>
  <si>
    <t>Ayo Yo Technology - Sunep Lemt...</t>
  </si>
  <si>
    <t>EarBuds from China in 150rs ðŸ...</t>
  </si>
  <si>
    <t>AMD Doesnâ€™t Give a F**K Eith...</t>
  </si>
  <si>
    <t>à¦Ÿà§‡à¦•à¦¨à§‹à¦²à¦œà¦¿ vs à¦...</t>
  </si>
  <si>
    <t>Bidi Ko Fuk Diya || à¤¬à¥€à¤¡à...</t>
  </si>
  <si>
    <t>à¹€à¸„à¸£à¸·à¹ˆà¸­à¸‡à¸à¸£à¸­...</t>
  </si>
  <si>
    <t>AgiBot Robotic Learning Datase...</t>
  </si>
  <si>
    <t>50 Cent - Ayo Technology (Offi...</t>
  </si>
  <si>
    <t>The Fan With no Moving Parts! ...</t>
  </si>
  <si>
    <t>Teleportasi? Bisa atau enggak ...</t>
  </si>
  <si>
    <t>#tecnologia acessÃ³rios para c...</t>
  </si>
  <si>
    <t>How Pakistan Stole Nuclear B*m...</t>
  </si>
  <si>
    <t>Galaxy S25 Edge and the Thin P...</t>
  </si>
  <si>
    <t>damage bluetooth headphone con...</t>
  </si>
  <si>
    <t>The BOLDEST boot technology cl...</t>
  </si>
  <si>
    <t>Top 10 Technologies To Learn I...</t>
  </si>
  <si>
    <t>à¦à¦‡ à¦¸à¦¿à¦¨à§à¦¡à¦¿à¦•à§...</t>
  </si>
  <si>
    <t>Create a robot controlled by p...</t>
  </si>
  <si>
    <t>#smartphone #howtomakepowerban...</t>
  </si>
  <si>
    <t>POTENTE MÃQUINA #shorts #vira...</t>
  </si>
  <si>
    <t>Future Technology According to...</t>
  </si>
  <si>
    <t>NEW Apple CarPlay with iOS 26!...</t>
  </si>
  <si>
    <t>The Next Big Thing in Semicond...</t>
  </si>
  <si>
    <t>oneplus 13t black color #short...</t>
  </si>
  <si>
    <t>15 Technologies That Will Chan...</t>
  </si>
  <si>
    <t>tecno spark go 1 |@7,299 | bes...</t>
  </si>
  <si>
    <t>20 BEST Things I saw in Vegas ...</t>
  </si>
  <si>
    <t>Primitive Technology: Water po...</t>
  </si>
  <si>
    <t>Excellent Technology! Top 10 A...</t>
  </si>
  <si>
    <t>DeepSeek stole our tech... say...</t>
  </si>
  <si>
    <t>100 Coolest Amazon Gadgets and...</t>
  </si>
  <si>
    <t>#motoedge60stylus #iphone16pro...</t>
  </si>
  <si>
    <t>14 most AWKWARD Tech Fails of ...</t>
  </si>
  <si>
    <t>â‚¹4 Vs â‚¹4000 Satisfying Pro...</t>
  </si>
  <si>
    <t>Forget the Switch 2... Get a S...</t>
  </si>
  <si>
    <t>RRB NTPC 2025 ðŸ”¥ Science and...</t>
  </si>
  <si>
    <t>15 June Enjine falure Technolo...</t>
  </si>
  <si>
    <t>Technologia Original Video ðŸ˜...</t>
  </si>
  <si>
    <t>The Hottest Bikes &amp; Pro Tech O...</t>
  </si>
  <si>
    <t>Introducing Liquid Glass | App...</t>
  </si>
  <si>
    <t>Grizzy &amp; the lemmings vs. Adva...</t>
  </si>
  <si>
    <t>new technology drone use in fi...</t>
  </si>
  <si>
    <t>NUBBIN UNBOXING #technology #t...</t>
  </si>
  <si>
    <t>Ai à¦•à¦¿ à¦®à¦¾à¦¨à¦¬à¦¸à¦­à§...</t>
  </si>
  <si>
    <t>10M technology #shorts #comedy...</t>
  </si>
  <si>
    <t>iPhone 11 screen replacement #...</t>
  </si>
  <si>
    <t>Primitive Technology: Iron kni...</t>
  </si>
  <si>
    <t>Here's the iPhone 17 Pro | Fir...</t>
  </si>
  <si>
    <t>Enjine falure TechnologyðŸ˜± #...</t>
  </si>
  <si>
    <t>Primitive Technology: Charcoal...</t>
  </si>
  <si>
    <t>Feedback to EVERY Phone Brand ...</t>
  </si>
  <si>
    <t>Linus Sebastian Shows Jimmy an...</t>
  </si>
  <si>
    <t>Robotic &amp; Digital Animals Are ...</t>
  </si>
  <si>
    <t>Technology Full Live Set @ Uni...</t>
  </si>
  <si>
    <t>From ENIAC to Quantum Computer...</t>
  </si>
  <si>
    <t>Robot ko kiss ðŸ‘„ kar liya ðŸ...</t>
  </si>
  <si>
    <t>379 I like ðŸ‘ this video #ne...</t>
  </si>
  <si>
    <t>The most *promising* tech from...</t>
  </si>
  <si>
    <t>à¸£à¸±à¸šà¸ªà¸¡à¸±à¸„à¸£à¸„à¸™...</t>
  </si>
  <si>
    <t>Raspberry Pi vs Arduino: The E...</t>
  </si>
  <si>
    <t>My setup feels better than eve...</t>
  </si>
  <si>
    <t>Better protect your safety#sci...</t>
  </si>
  <si>
    <t>"à¤­à¤µà¤¿à¤·à¥à¤¯ à¤•à¥€ à¤Ÿ...</t>
  </si>
  <si>
    <t>Does NVIDIA FINALLY Have A Rea...</t>
  </si>
  <si>
    <t>Vivo x200 ultra ðŸ”¥ Vivo x200...</t>
  </si>
  <si>
    <t>Malaysia's Biggest Tech Mall h...</t>
  </si>
  <si>
    <t>Android 16 Is FINALLY HERE â€“...</t>
  </si>
  <si>
    <t>CES 2025 Las Vegas: Mind-Blowi...</t>
  </si>
  <si>
    <t>China's slaughterbots show WW3...</t>
  </si>
  <si>
    <t>5 Samsung features I BET you d...</t>
  </si>
  <si>
    <t>Top 10 NEW Humanoid Robots of ...</t>
  </si>
  <si>
    <t>technology âŒ TECHNOLOGIA âœ…...</t>
  </si>
  <si>
    <t>Black Box Ki Khasiyat #tech #t...</t>
  </si>
  <si>
    <t>BREAKING: Most Important Tech ...</t>
  </si>
  <si>
    <t>OnePlus 13S Look and Specifica...</t>
  </si>
  <si>
    <t>SDR: Radio Ka Naya Era #smartp...</t>
  </si>
  <si>
    <t>How do Graphics Cards Work?  E...</t>
  </si>
  <si>
    <t>Primitive Technology: Flywheel...</t>
  </si>
  <si>
    <t>Lava feature Phone 2025 With D...</t>
  </si>
  <si>
    <t>First Computer to QUANTUM COMP...</t>
  </si>
  <si>
    <t>How the Next Big Solar Panel T...</t>
  </si>
  <si>
    <t>OnePlus 13s Unboxing- Most Pow...</t>
  </si>
  <si>
    <t>15 EMERGING TECHNOLOGIES THAT ...</t>
  </si>
  <si>
    <t>CES 2025 - Best and WEIRDEST N...</t>
  </si>
  <si>
    <t>Absolutely everything went wro...</t>
  </si>
  <si>
    <t>Life in 2100 (à¤­à¤µà¤¿à¤·à¥à...</t>
  </si>
  <si>
    <t>We Survived 100 Days In SKYBLO...</t>
  </si>
  <si>
    <t>Innovative Healthcare: The Syn...</t>
  </si>
  <si>
    <t>Bajaj Freedom 125 #bike #short...</t>
  </si>
  <si>
    <t>Alcatel Phone comeback in Indi...</t>
  </si>
  <si>
    <t>vivo T4 Ultra Unboxing &amp; First...</t>
  </si>
  <si>
    <t>Instagram Important Settings ð...</t>
  </si>
  <si>
    <t>#mobilephone #smartphone #ripa...</t>
  </si>
  <si>
    <t>Impossible Technologies You Ca...</t>
  </si>
  <si>
    <t>I TRIED 7 COOL GADGETS FROM SH...</t>
  </si>
  <si>
    <t>polythene urine #facts #viralv...</t>
  </si>
  <si>
    <t>Lost Your Phone? Do This ASAP!...</t>
  </si>
  <si>
    <t>Why Investors Are Piling into ...</t>
  </si>
  <si>
    <t>Japan's Expo 2025: Incredible ...</t>
  </si>
  <si>
    <t>Foldable Laptop Magic?! Huawei...</t>
  </si>
  <si>
    <t>DeepSeek Just CRUSHED Big Tech...</t>
  </si>
  <si>
    <t>Huawei Maextro S800 â€“ Latest...</t>
  </si>
  <si>
    <t>iPhone 17 is INSANE - 8 MAJOR ...</t>
  </si>
  <si>
    <t>#smartphone #tech #technology ...</t>
  </si>
  <si>
    <t>Japanese Farmers Harvest Expen...</t>
  </si>
  <si>
    <t>Primitive Technology - Meet Fi...</t>
  </si>
  <si>
    <t>China's Top 5 Manufacturing an...</t>
  </si>
  <si>
    <t>12 AMAZING Tech Gadgets on Ama...</t>
  </si>
  <si>
    <t>Primitive Technology: Re-smelt...</t>
  </si>
  <si>
    <t>How to Transfer Files From Pho...</t>
  </si>
  <si>
    <t>Best Budget Liquid Cooler 2025...</t>
  </si>
  <si>
    <t>Stealth Technology: How Milita...</t>
  </si>
  <si>
    <t>vivo T4 Ultra Review in Telugu...</t>
  </si>
  <si>
    <t>à¤†à¤ªà¤•à¤¾ SmartPhone à¤†à¤ª...</t>
  </si>
  <si>
    <t>BEST Budget Tech - Gadgets to ...</t>
  </si>
  <si>
    <t>World's First Triple Folding S...</t>
  </si>
  <si>
    <t>Mummy ka Damad Banaungi ||à¤®à...</t>
  </si>
  <si>
    <t>Alien Portals: Strange Artifac...</t>
  </si>
  <si>
    <t>CÃ³mo cerrar sesiones de Googl...</t>
  </si>
  <si>
    <t>China's Canton Fair 2025...Ame...</t>
  </si>
  <si>
    <t>How a slinky falls in slow mot...</t>
  </si>
  <si>
    <t>Apple's April 20th Event in 60...</t>
  </si>
  <si>
    <t>The Witcher 4 - Tech Demo Cine...</t>
  </si>
  <si>
    <t>vivo X200 Ultra Unboxing &amp; Fir...</t>
  </si>
  <si>
    <t>Steering wheel #trending #mech...</t>
  </si>
  <si>
    <t>Use full screen mode to improv...</t>
  </si>
  <si>
    <t>iQOO Z10 &amp; Z10x Unboxing &amp; Fir...</t>
  </si>
  <si>
    <t>iOS 26 Liquid Glass UI â€“ App...</t>
  </si>
  <si>
    <t>Is Scaler School of Technology...</t>
  </si>
  <si>
    <t>Apple iOS 26 is here - Android...</t>
  </si>
  <si>
    <t>Motorola razr 60 ULTRA is here...</t>
  </si>
  <si>
    <t>à¤•à¥à¤¯à¤¾ à¤¹à¥ˆ Hyperloop ...</t>
  </si>
  <si>
    <t>garden reach shipbuilders shar...</t>
  </si>
  <si>
    <t>SEC 1 Information Technology I...</t>
  </si>
  <si>
    <t>ALL IMPORTANT QUESTIONS IT TRE...</t>
  </si>
  <si>
    <t>How to force restart your iPho...</t>
  </si>
  <si>
    <t>How to Add a Page Border in Mi...</t>
  </si>
  <si>
    <t>Strange Mysterious: Alien Reli...</t>
  </si>
  <si>
    <t>This New Upcoming Phone - Will...</t>
  </si>
  <si>
    <t>Samsung Galaxy M56 Unboxing &amp; ...</t>
  </si>
  <si>
    <t>Brazo robÃ³tico ACEBOTT #short...</t>
  </si>
  <si>
    <t>TrakinTech Presents India's Bi...</t>
  </si>
  <si>
    <t>Modernising Monarchy: One Hund...</t>
  </si>
  <si>
    <t>SEC 1 information Technology i...</t>
  </si>
  <si>
    <t>Japan Introdused The Most AMAZ...</t>
  </si>
  <si>
    <t>à¤®à¥‹à¤Ÿà¤° à¤¸à¥‡ à¤›à¥‹à¤Ÿà...</t>
  </si>
  <si>
    <t>I Played GTA 6 Before Launch !...</t>
  </si>
  <si>
    <t>Puse a prueba estos rayos x pa...</t>
  </si>
  <si>
    <t>Old Tech That Still Works  #fa...</t>
  </si>
  <si>
    <t>iPhone lene vale ho to ruk jao...</t>
  </si>
  <si>
    <t>Programming memes ðŸ˜‚ sub for...</t>
  </si>
  <si>
    <t>Description</t>
  </si>
  <si>
    <t>Andrew Yang, Forward Party co-chair and former Dem...</t>
  </si>
  <si>
    <t>#shorts #technology 
I spend a LOT of time trying...</t>
  </si>
  <si>
    <t>ðŸ’¬ Join my Discord server: https://discord.gg/go...</t>
  </si>
  <si>
    <t>Discover the revolutionary world of augmented real...</t>
  </si>
  <si>
    <t>#shorts 
I spend a LOT of time trying to make my ...</t>
  </si>
  <si>
    <t>Follow me here:
Instagram â–º https://www.instagra...</t>
  </si>
  <si>
    <t>#shorts #tech #gadgets #apple #iphone  
I spend a...</t>
  </si>
  <si>
    <t>Chinese Technology is LEADING the World - SNEC 202...</t>
  </si>
  <si>
    <t>Huawei Mate XT Hands On! ðŸ”¥
#huaweimatext #hua...</t>
  </si>
  <si>
    <t>Visor is the world's smallest 4K headset. Spawn fi...</t>
  </si>
  <si>
    <t>Leave a comment with how much this saved you :) 
G...</t>
  </si>
  <si>
    <t>Future technology part -1
 #technology
 #futuretec...</t>
  </si>
  <si>
    <t>What happened to our beloved ThinkPad laptop brand...</t>
  </si>
  <si>
    <t>Maybe stop plugging things into each other to see ...</t>
  </si>
  <si>
    <t>This yearâ€™s tech unveils are redefining whatâ€™s...</t>
  </si>
  <si>
    <t>What comes AFTER the smartphone? ðŸ¤”ðŸ“±
With th...</t>
  </si>
  <si>
    <t>I tested tech products from the biggest YouTubers....</t>
  </si>
  <si>
    <t>This surely won't make me seem like a crank.
Furth...</t>
  </si>
  <si>
    <t>#shorts #tech #pranks 
I spend a LOT of time tryi...</t>
  </si>
  <si>
    <t>The Lenovo Legion is actually a great gaming lapto...</t>
  </si>
  <si>
    <t>#shorts #tech #prank 
I spend a LOT of time tryin...</t>
  </si>
  <si>
    <t>Top 3 Smartphone gadgets under â‚¹50||ðŸ”¥ðŸ¤¯ #sh...</t>
  </si>
  <si>
    <t>Seriously, make your life easier and don't go over...</t>
  </si>
  <si>
    <t>50 Cent Gear, Merch &amp; More: https://amzn.to/2r3h8Z...</t>
  </si>
  <si>
    <t>#scienceproject #schoolproject #technology #invent...</t>
  </si>
  <si>
    <t>Get the free 80,000 hours career guide https://800...</t>
  </si>
  <si>
    <t>Is the Pixel 9 the ultimate iPhone 16 killer? With...</t>
  </si>
  <si>
    <t>Do consider subscribing to my Main Mrwhosetheboss ...</t>
  </si>
  <si>
    <t>IOT Home Automation using arduino esp 8266 #arduin...</t>
  </si>
  <si>
    <t>In this short, Marques Brownlee (MKBHD) reveals wh...</t>
  </si>
  <si>
    <t>âœ… Get Ray-Ban Meta Glasses on Amazon âž¡ï¸ http...</t>
  </si>
  <si>
    <t>#facts #unknownfacts #tech #factsinhindi #techfact...</t>
  </si>
  <si>
    <t>These are the coolest amazon finds i have EVER fou...</t>
  </si>
  <si>
    <t>My favourite Tech and Gadgets worth buying for you...</t>
  </si>
  <si>
    <t>ðŸ”¥Top Best Useful Car Gadgets In The World | Ama...</t>
  </si>
  <si>
    <t>Today I have a custom gaming pc that's getting an ...</t>
  </si>
  <si>
    <t>short on iot smart parking 
to buy complete projec...</t>
  </si>
  <si>
    <t>The CPU and GPU heatsink on this Alienware gaming ...</t>
  </si>
  <si>
    <t>Time to find out if Transparent Tech is a gimmick ...</t>
  </si>
  <si>
    <t>The worldâ€™s new fastest supercomputer is insanel...</t>
  </si>
  <si>
    <t>Dive into the future with us at MWC Barcelona! We'...</t>
  </si>
  <si>
    <t>Do consider subscribing to my Shorts Channel! ðŸ‘Š...</t>
  </si>
  <si>
    <t>Iâ€™ve finally completed my Perfect Tech Every Day...</t>
  </si>
  <si>
    <t>It is a combination of energy and frequency and th...</t>
  </si>
  <si>
    <t>These are Meta's brand new Orion prototype AR glas...</t>
  </si>
  <si>
    <t>What does the microphone inside of an earbud look ...</t>
  </si>
  <si>
    <t>Thanks to SoFi for sponsoring the video! Click her...</t>
  </si>
  <si>
    <t>ðŸ”¥Top Best Useful Gadgets In The World | Amazon ...</t>
  </si>
  <si>
    <t>In 2025, China tech is no longer just catching upâ...</t>
  </si>
  <si>
    <t>Hello everyone!  You are watching video ! "a bus t...</t>
  </si>
  <si>
    <t>Follow my girlfriend's lifestyle for more exciting...</t>
  </si>
  <si>
    <t>Buying and attempting to break the most Durable Te...</t>
  </si>
  <si>
    <t>#trollface #troll #editing #trending #zqotiz #vira...</t>
  </si>
  <si>
    <t>Nvidia packs big AI power into a small, affordable...</t>
  </si>
  <si>
    <t>This 30 year old IBM ThinkPad shows how important ...</t>
  </si>
  <si>
    <t>The Road Zipper SystemÂ® offers an efficient way t...</t>
  </si>
  <si>
    <t>China has been investing heavily in education and ...</t>
  </si>
  <si>
    <t>Sneak peek of CES 2025 in Las Vegas!
Cheddar is o...</t>
  </si>
  <si>
    <t>A humanoid robot named Ameca was asked what a nigh...</t>
  </si>
  <si>
    <t>viral ATM bike  security feature shorts #funny #bi...</t>
  </si>
  <si>
    <t>Technology Technologia ...#carguys #technology #ar...</t>
  </si>
  <si>
    <t>My Previous Science Experiment #shorts #science #t...</t>
  </si>
  <si>
    <t>In this captivating video, we dive into the fascin...</t>
  </si>
  <si>
    <t>China, USA, and EU â€“ A Technological Comparison ...</t>
  </si>
  <si>
    <t>New Science Project #shorts #science #technology #...</t>
  </si>
  <si>
    <t>Link to Main Channel: https://www.youtube.com/dhru...</t>
  </si>
  <si>
    <t>Germanyâ€™s first â€˜Electric Highwayâ€™ charges t...</t>
  </si>
  <si>
    <t>Disclaimer: This video uses edited clips from a so...</t>
  </si>
  <si>
    <t>Top 3 best amazing cool gadgets ðŸ”¥ðŸ¤¯|| #shorts...</t>
  </si>
  <si>
    <t>Currently, the company creates humanoid robots for...</t>
  </si>
  <si>
    <t>Viral Trend Technology @TechSource 
technologia,...</t>
  </si>
  <si>
    <t>Which future technology is your favorite?
___
...</t>
  </si>
  <si>
    <t>ATM coin bike technology shorts #funny #technology...</t>
  </si>
  <si>
    <t>Spending far too much money on Kickstarter Tech Ga...</t>
  </si>
  <si>
    <t>Technology âŒ Technologia âœ… #shorts #shortvideo...</t>
  </si>
  <si>
    <t>Aslam-o-Alikum everyone
Welcome to my channel "eas...</t>
  </si>
  <si>
    <t>must-have mechanism for every machine designer #me...</t>
  </si>
  <si>
    <t>Stay connected: _x000D_
Facebook | https://www.facebook....</t>
  </si>
  <si>
    <t>I bought the rarest tech in the world from all you...</t>
  </si>
  <si>
    <t>Stunning Futuristic Tech #tech #technology #meibot...</t>
  </si>
  <si>
    <t>Clearly a lot of people forgot about those pesky c...</t>
  </si>
  <si>
    <t>Unique Technology of Japan ðŸ˜± #shorts #science #...</t>
  </si>
  <si>
    <t>http://www.youtube.com/user/umcmymusic - Subskrybu...</t>
  </si>
  <si>
    <t>#short #shortvideo #shortsvideo #shortsfeed #short...</t>
  </si>
  <si>
    <t>China Advance Technology ðŸ˜±
Copyright Disclaim...</t>
  </si>
  <si>
    <t>ATM bike viral technology #viralshorts #bikelover ...</t>
  </si>
  <si>
    <t>Technology
Technology video 
Technologia 
Short vi...</t>
  </si>
  <si>
    <t>#gadget #techmaster
SUBSCRIBE THE CHANNEL FOR M...</t>
  </si>
  <si>
    <t>Huawei Matebook Fold Ultimate Edition, Foldable La...</t>
  </si>
  <si>
    <t>Amazing Gadgets Of China ðŸ¤¯
Amazing China Invent...</t>
  </si>
  <si>
    <t>About video :- #science #roads road technology #te...</t>
  </si>
  <si>
    <t>Elon Musk installed Neuralink chip in the first ma...</t>
  </si>
  <si>
    <t>Troll Face Edits,
Troll Face,
Related:-
Moment Be...</t>
  </si>
  <si>
    <t>Ever wondered what sets ChatGPT apart from other A...</t>
  </si>
  <si>
    <t>ATM bike new feature shorts #funny #youtubeshorts ...</t>
  </si>
  <si>
    <t>#shorts #technology #gadgets 
instagram-ðŸ‘‡
 htt...</t>
  </si>
  <si>
    <t>We've all seen how much technology has evolved dur...</t>
  </si>
  <si>
    <t>Welcome to the future! ðŸš€ Dive into a realm of i...</t>
  </si>
  <si>
    <t>Ultrasonic Humidifier Mist Maker box | #technology...</t>
  </si>
  <si>
    <t>Spherical police robots by Chinese robotics compan...</t>
  </si>
  <si>
    <t>Ic Reballing Tricks #mobilerepair #technology 
#el...</t>
  </si>
  <si>
    <t>This is a graphically enhanced look through a micr...</t>
  </si>
  <si>
    <t>Technology âŒ  Technologia âœ”ï¸  #technology #f...</t>
  </si>
  <si>
    <t>Technology comedy videoðŸ˜… #shorts #funny #surajp...</t>
  </si>
  <si>
    <t>China Has Advanced Technology To Make Anything Fas...</t>
  </si>
  <si>
    <t>This Japanese Technology is AmazingðŸ˜± | Japan Te...</t>
  </si>
  <si>
    <t>Technology âŒ  Technologia âœ”ï¸  #technologyâ€‹...</t>
  </si>
  <si>
    <t>Don't forget to subscribe to the channel and turn ...</t>
  </si>
  <si>
    <t>IMPOSSIBLE ðŸ· ðŸ¥·  #freefire #tondaegamer #edit...</t>
  </si>
  <si>
    <t>ATM bike new viral technology #funny #bikeride #te...</t>
  </si>
  <si>
    <t>India hits different, loved this video, and the co...</t>
  </si>
  <si>
    <t>shorts
fun facts
interesting facts
facts you didnt...</t>
  </si>
  <si>
    <t>Hii my name is bobby ustad
#shorts #youtubeshorts...</t>
  </si>
  <si>
    <t>Asmongold Reacts to: "How We Came to Hate Technolo...</t>
  </si>
  <si>
    <t>Broken Flex Repair #mobilerepair #technology 
#mic...</t>
  </si>
  <si>
    <t>Technology 
#technology 
#trending 
#funny 
#techn...</t>
  </si>
  <si>
    <t>#Teaching #learning #facts #support #goals #like #...</t>
  </si>
  <si>
    <t>Top 20 New Technology Trends That Will Define the ...</t>
  </si>
  <si>
    <t>Japanese next level technology #ytshorts #youtubes...</t>
  </si>
  <si>
    <t>what is Information technology 
#how #easy #infor...</t>
  </si>
  <si>
    <t>This device looks like a smartphone but is actuall...</t>
  </si>
  <si>
    <t>El teclado hologramico barato de temu aliexpress o...</t>
  </si>
  <si>
    <t>Swippitt Hub is a smart, intuitive battery hub tha...</t>
  </si>
  <si>
    <t>Provided to YouTube by Universal Music Group
Ayo ...</t>
  </si>
  <si>
    <t>Which emerging technology has the potential to cha...</t>
  </si>
  <si>
    <t>Apple just announced iOS 26 at WWDC 2025, featurin...</t>
  </si>
  <si>
    <t>Japan ki future technology is outstanding.
...</t>
  </si>
  <si>
    <t>Hands on and initial review of the new Samsung Gal...</t>
  </si>
  <si>
    <t>Top Best Useful Gadgets In The World | Amazon Gadg...</t>
  </si>
  <si>
    <t>viral bike new technology #shorts #funny #viral #b...</t>
  </si>
  <si>
    <t>#samsunggalaxys25ultra #techmaster 
SUBSCRIBE THE...</t>
  </si>
  <si>
    <t>iShowSpeed Shocked By This Technology In China ðŸ¤...</t>
  </si>
  <si>
    <t>Creating is not easy. If there is any infringement...</t>
  </si>
  <si>
    <t>ðŸ”Ž IT vs. Computer Science: Which Degree Is Righ...</t>
  </si>
  <si>
    <t>Free motion in progress | Techwala | Desi perpetua...</t>
  </si>
  <si>
    <t>THERE IS NO FREE ENERGY!
THERE IS NO FREE ENERGY!!...</t>
  </si>
  <si>
    <t>viral new technology money bike shorts #experiment...</t>
  </si>
  <si>
    <t>22 New Gadgets And Inventions ( 2025 ) That You Wi...</t>
  </si>
  <si>
    <t>Unbelievable technology of CHINA #shorts 
à¤šà¥€à¤...</t>
  </si>
  <si>
    <t>In this video we will learn an essay on Technology...</t>
  </si>
  <si>
    <t>viral ATM bike new feature shorts #funny #technolo...</t>
  </si>
  <si>
    <t>Note: This video uses edited clips from a source, ...</t>
  </si>
  <si>
    <t>China Has Launched New Generation Transport SHOCKI...</t>
  </si>
  <si>
    <t>This is the coolest city in the world. Chongqing t...</t>
  </si>
  <si>
    <t>#memes #funny #technology #comedy #song#memes #fun...</t>
  </si>
  <si>
    <t>China farming technology | plastic botal #technolo...</t>
  </si>
  <si>
    <t>#inventions #vehicles #technology 
TCL RayNeo X2
...</t>
  </si>
  <si>
    <t>I bought and tested the most pointless, stupid, du...</t>
  </si>
  <si>
    <t>How to avoide phone usage! #shorts  #youtubeshorts...</t>
  </si>
  <si>
    <t>https://mangoware.shop
#shortsedit #coldmoments #...</t>
  </si>
  <si>
    <t>Hello, tech visionaries! ðŸŒ Have you ever imagin...</t>
  </si>
  <si>
    <t>Discover the top ten mind-blowing nano technology ...</t>
  </si>
  <si>
    <t>About video :- #science  #technology #machine #bus...</t>
  </si>
  <si>
    <t>Check out this ornithopter, its a drone that wings...</t>
  </si>
  <si>
    <t>The so-called â€œDendera Lightbulbsâ€â€¦ is this ...</t>
  </si>
  <si>
    <t>In this video, you can see, smart invention With s...</t>
  </si>
  <si>
    <t>When Technology Becomes Art #Meibot #future #robot...</t>
  </si>
  <si>
    <t>Broken Tracks Repair #mobilerepair #technology 
#e...</t>
  </si>
  <si>
    <t>ðŸ”— You can find the product on: https://mavigadg...</t>
  </si>
  <si>
    <t>Elon Musk AI Robots  is a YouTube Channel That Mak...</t>
  </si>
  <si>
    <t>2 Khatarnak Phone Gadgets Comparison #shorts  #gad...</t>
  </si>
  <si>
    <t>Detachable Aeroplane technology! #science #facts 
...</t>
  </si>
  <si>
    <t>Unitree's G1 humanoid robot can be seen running, w...</t>
  </si>
  <si>
    <t>Here are the Best Gadgets at CES 2025 that will ma...</t>
  </si>
  <si>
    <t>Top - 3 Amazing Gadgets For Home
 3 Most Amazing G...</t>
  </si>
  <si>
    <t>Rs.1,50,000 Vs Rs.10,000 Phone Display #shorts #ga...</t>
  </si>
  <si>
    <t>Disclaimer.
Copyright Disclaimer Under Section 107...</t>
  </si>
  <si>
    <t>Pre-Historic Megastructures eBook: https://univers...</t>
  </si>
  <si>
    <t>This Technology Can Save Plane Crashes
Imagine a ...</t>
  </si>
  <si>
    <t>#led #remote #circuit #shorts #ytshorts #short #yo...</t>
  </si>
  <si>
    <t>50 Cent - Ayo Technology (Lyrics) ft. Justin Timbe...</t>
  </si>
  <si>
    <t>In the 90s and 2000s, technology was exciting and ...</t>
  </si>
  <si>
    <t>There are 3 types of Â artificial intelligenceÂ (A...</t>
  </si>
  <si>
    <t>In this videos you can see,Â Generates electricity...</t>
  </si>
  <si>
    <t>Disgusting Alienware laptop is overheating and nee...</t>
  </si>
  <si>
    <t>#shorts #short #edit #trending #viralvideo #funny ...</t>
  </si>
  <si>
    <t>#shorts #apple #technology 
I spend a LOT of time...</t>
  </si>
  <si>
    <t>ðŸ˜‚ðŸ˜‚ðŸ˜‚vivo zoom ðŸ˜‚ðŸ˜‚ðŸ˜‚ #technology #sm...</t>
  </si>
  <si>
    <t>Link: âž¡ï¸ https://bit.ly/4dvnuqB
#PLAUDAchieve2...</t>
  </si>
  <si>
    <t>High voltage converts low voltage method | transfo...</t>
  </si>
  <si>
    <t>From December 2023, Scott Pelleyâ€™s report on qua...</t>
  </si>
  <si>
    <t>Samsung Vs iPhone à¤•à¥Œà¤¨à¤¸à¤¾ à¤¹à¥‹à¤¤à¤¾ à¤¹...</t>
  </si>
  <si>
    <t>Universal Pull Plate #Agricultural #Machinery #sma...</t>
  </si>
  <si>
    <t>Gadgets
Top 3 gadgets
Cool gadgets
iPhone
review 
...</t>
  </si>
  <si>
    <t>High voltage speaker reaction #project #experiment...</t>
  </si>
  <si>
    <t>23 Cool Gadgets And Inventions ( 2025 ) You Can Bu...</t>
  </si>
  <si>
    <t>technology âŒ Technologia âœ… 
Free fire new tric...</t>
  </si>
  <si>
    <t>Hello Everyone! This is video. I want to show you ...</t>
  </si>
  <si>
    <t>22000 mAh battery à¤µà¤¾à¤²à¤¾ à¥žà¥‹à¤¨  ðŸ¤¯! Th...</t>
  </si>
  <si>
    <t>USB Fingerprint Reader - https://simpleghar.oia.bi...</t>
  </si>
  <si>
    <t>China ki drone technology short video #china #dron...</t>
  </si>
  <si>
    <t>Trick and Tools ðŸ”¥ðŸ’¯ #karmanwalavoice #tricks ...</t>
  </si>
  <si>
    <t>New technology ðŸ˜±ðŸ’¯
#shorts #sigma #viralvi...</t>
  </si>
  <si>
    <t>Check out these cutting-edge humanoid robots devel...</t>
  </si>
  <si>
    <t>how to change ordinary lights into dimming lights ...</t>
  </si>
  <si>
    <t>Youâ€™re using Google Keep just for simple notes? ...</t>
  </si>
  <si>
    <t>Homemade trick to clean milletðŸ˜¯ #technology #mi...</t>
  </si>
  <si>
    <t>Can robots really give birth? ðŸ¤” In this futuris...</t>
  </si>
  <si>
    <t>Explore how technology has transformed over genera...</t>
  </si>
  <si>
    <t>TECHNOLOGIA FULL VIDEO 2025//SINGER AVINASH NAYAK/...</t>
  </si>
  <si>
    <t>in this video you will Explore the cutting-edge ad...</t>
  </si>
  <si>
    <t>Instagram : AdvikJourney 
Follow For more videos â...</t>
  </si>
  <si>
    <t>Technology Meme Funny jokes funny video Original V...</t>
  </si>
  <si>
    <t>Buying the BIGGEST smartphones, gadgets, iPhones, ...</t>
  </si>
  <si>
    <t>A swirling vortex pulls a bottle through a drain a...</t>
  </si>
  <si>
    <t>Not sure how legal some of these are lol
Become a...</t>
  </si>
  <si>
    <t>Technologia free fireðŸ¤£ #technology #freefire #m...</t>
  </si>
  <si>
    <t>This budget Gaming PC is my customers very first c...</t>
  </si>
  <si>
    <t>technology technology ðŸ˜œðŸ˜‚ #comedy #shorts #sh...</t>
  </si>
  <si>
    <t>Technology âŽ Technologia âœ… #shorts #memes #fun...</t>
  </si>
  <si>
    <t>My review of WWDC 2025! All the updates coming to ...</t>
  </si>
  <si>
    <t>This video explains why certain stones can crack o...</t>
  </si>
  <si>
    <t>Apple Intelligence Delays are either no big deal o...</t>
  </si>
  <si>
    <t>Electric Crossing Gate â€¢ Dc Motor | #tech #short...</t>
  </si>
  <si>
    <t>Apple Vision Pro à¤¸à¤¬à¤¸à¥‡ à¤®à¤¹à¤‚à¤—à¤¾ à¤šà...</t>
  </si>
  <si>
    <t>Explore the fascinating world of engineering and m...</t>
  </si>
  <si>
    <t>ðŸ‘‰ Grab your free seat to the 2-Day AI Mastermin...</t>
  </si>
  <si>
    <t>Robots New Technology #robots #shorts #science
"...</t>
  </si>
  <si>
    <t>2000rs. Apple cloth vs 100rs. super clean jelly co...</t>
  </si>
  <si>
    <t>Check prices on Amazon below
Monsgeek FUN60 TMR: h...</t>
  </si>
  <si>
    <t>China has showcased its latest military weapon: ri...</t>
  </si>
  <si>
    <t>SUBSCRIBE THE CHANNEL FOR MORE VIDEOS
 DON'T FORG...</t>
  </si>
  <si>
    <t>Self cleaning toilet
.
.
.
.
smart toilet
.
.
.  
...</t>
  </si>
  <si>
    <t>Buy Link - capsule pen - https://amzn.to/45FH672
...</t>
  </si>
  <si>
    <t>Belt and pulley blower
Subscribe: http://bit.ly/su...</t>
  </si>
  <si>
    <t>Operational Amplifiers are the best! Watch the ful...</t>
  </si>
  <si>
    <t>#shorts #chorbazar
SUBSCRIBE THE CHANNEL FOR MORE...</t>
  </si>
  <si>
    <t>Technology Funny message ringtone|| cute message n...</t>
  </si>
  <si>
    <t>Gyro Sensor Based Mini Drone, New Science Project ...</t>
  </si>
  <si>
    <t>#gadget #techmaster 
SUBSCRIBE THE CHANNEL FOR MO...</t>
  </si>
  <si>
    <t>iOS 26 is official and it's officially terrible. 
...</t>
  </si>
  <si>
    <t>Unbelievable China's technology in Bike ( à¤‡à¤¸ à...</t>
  </si>
  <si>
    <t>Learn 3D Animation Basic To Expert Level- visit th...</t>
  </si>
  <si>
    <t>Three leading engineers discuss the impact of the ...</t>
  </si>
  <si>
    <t>Stay cool this summer with even more poolside hack...</t>
  </si>
  <si>
    <t>Celebrity tech from Ronaldo, Mbappe, Will Smith, K...</t>
  </si>
  <si>
    <t>Neuralink is a neurotechnology company founded by ...</t>
  </si>
  <si>
    <t>New technology used in the world #youtubeshorts #y...</t>
  </si>
  <si>
    <t>Hello Everyone!
Welcome to my channel. My channel ...</t>
  </si>
  <si>
    <t>Unique umbrella worth 11000rs!
Personally connect...</t>
  </si>
  <si>
    <t>#science #technology #shortvideo #viral #fact #tre...</t>
  </si>
  <si>
    <t>#technologia #technolÃ³gia #viralvideo #viralshort...</t>
  </si>
  <si>
    <t>#vlog #souravjoshivlogs  #viralvideo #funny #comed...</t>
  </si>
  <si>
    <t>Technology âŒTechnologia âœ… #shorts#funny #comed...</t>
  </si>
  <si>
    <t>This is call the Bigme smartphone and it has a col...</t>
  </si>
  <si>
    <t>Robot Motherâ€™s Tender Moment with Her Baby #tech...</t>
  </si>
  <si>
    <t>Bhai ye wale gadgets kuch next level useful hain:!...</t>
  </si>
  <si>
    <t>Ask your own templates here
https://t.me/findingme...</t>
  </si>
  <si>
    <t>12v battery repair,restoring old battery,battery r...</t>
  </si>
  <si>
    <t>Mind Warehouse â–º https://goo.gl/aeW8Sk  
1) Peg...</t>
  </si>
  <si>
    <t>Weâ€™ve been visiting Rivian locations across the ...</t>
  </si>
  <si>
    <t>Visit https://imprintapp.com/ColdFusion for 20% of...</t>
  </si>
  <si>
    <t>ðŸ¤¯ Technology of Free Fire ðŸ”¥: The Funniest Sh...</t>
  </si>
  <si>
    <t>Googleâ€™s VIP Protection is LIVE! Shield your acc...</t>
  </si>
  <si>
    <t>Amazon mobile order cheythappol #ytshorts #travel ...</t>
  </si>
  <si>
    <t>#whatsappstatus  #yearofyou  #elephant  #anime 
#z...</t>
  </si>
  <si>
    <t>WWDC25 unified Apple's ecosystem with a new naming...</t>
  </si>
  <si>
    <t>Hands on with iOS 26 and everything you need to kn...</t>
  </si>
  <si>
    <t>technologyâŽ technologiaâœ… Technologia original ...</t>
  </si>
  <si>
    <t>The Quick Response (QR) code was invented in 1994 ...</t>
  </si>
  <si>
    <t>Chip stocks like Nvidia are in trouble after the D...</t>
  </si>
  <si>
    <t>Bloombergâ€™s Caroline Hyde and Ed Ludlow discuss ...</t>
  </si>
  <si>
    <t>Top 10 Emerging Technologies of 2025 (According to...</t>
  </si>
  <si>
    <t>In this rapidly evolving world of technology, stay...</t>
  </si>
  <si>
    <t>#boombaamfact #meme #memes #shorts #memesvideo #sh...</t>
  </si>
  <si>
    <t>aditya ranjan sir vikramjeet Sir in khan sir shadi...</t>
  </si>
  <si>
    <t>Weekend ka vaar aa gaya hai bhailog...
#POCOF7 #O...</t>
  </si>
  <si>
    <t>Broken Flex Repair #mobilerepair #technology 
#sol...</t>
  </si>
  <si>
    <t>I tested 100 years of tech! Learn more about AI an...</t>
  </si>
  <si>
    <t>High drama and hard racing lit up the night in St....</t>
  </si>
  <si>
    <t>Hello, Friends Welcome to Tech News No.1685. Today...</t>
  </si>
  <si>
    <t>I bought the Cheapest Tech on the internet....why ...</t>
  </si>
  <si>
    <t>Tecnologia in Cricket #technology #memes #shorts #...</t>
  </si>
  <si>
    <t>Check out the Secretlab Titan Evo ergonomic gaming...</t>
  </si>
  <si>
    <t>The Most Dangerous Neodymium Magnets on Earth! ðŸ§...</t>
  </si>
  <si>
    <t>I bought and tested the best survival tech I could...</t>
  </si>
  <si>
    <t>#road #shorts #technology #rohossomoy 
à¦œà¦¾à¦ª...</t>
  </si>
  <si>
    <t>to aaj hum krenge vivo k y series ka phone vivo Y4...</t>
  </si>
  <si>
    <t>iOS 26 Best Features Explained By Prasad tech in t...</t>
  </si>
  <si>
    <t>Welcome to Lord Gizmo, your ultimate destination f...</t>
  </si>
  <si>
    <t>#WhatisArtificialIntelligence #QuickSupport #Innov...</t>
  </si>
  <si>
    <t>Ha ha à¦à¦Ÿà¦¾ à¦¨à¦¾à¦•à¦¿ TechnologyðŸ˜‚ðŸ˜‚à¦¸...</t>
  </si>
  <si>
    <t>Check out the CORSAIR Platform:4 Elevate Desk at: ...</t>
  </si>
  <si>
    <t>Get 40% off an annual Nebula subscription here: ht...</t>
  </si>
  <si>
    <t>Why is Big Tech Slashing Jobs in 2025? | Vantage w...</t>
  </si>
  <si>
    <t>Meibot in Lab ðŸ§ª #future #tech #technology ##mei...</t>
  </si>
  <si>
    <t>ATM bike viral shorts #technology #atm #funny #hac...</t>
  </si>
  <si>
    <t>TECHNOLOGIA!!BOBY SHINGH!!CHOUDHURI &amp; BEBO!!BOBY S...</t>
  </si>
  <si>
    <t>Official music video for Milow "Ayo Technology" 
D...</t>
  </si>
  <si>
    <t>Song Title: Ayo Yo Technology (Nagamese Comedy Son...</t>
  </si>
  <si>
    <t>AMD Doesnâ€™t Give a F**K Either - Tech News June ...</t>
  </si>
  <si>
    <t>à¦Ÿà§‡à¦•à¦¨à§‹à¦²à¦œà¦¿ vs à¦¬à§Œà¦®à¦¾ ðŸ˜‚ðŸ¤£ ...</t>
  </si>
  <si>
    <t>#avinashnayak #avinash #avinashnayaknagpurisongs #...</t>
  </si>
  <si>
    <t>REMASTERED IN HD!
Official Music Video for Ayo Tec...</t>
  </si>
  <si>
    <t>Jim Al-Khalili explores the history of computer sc...</t>
  </si>
  <si>
    <t>The Fan With no Moving Parts! #science #technology...</t>
  </si>
  <si>
    <t>Boost your career in Data Science, Software Develo...</t>
  </si>
  <si>
    <t>Stunningly thin phones and silicon carbon batterie...</t>
  </si>
  <si>
    <t>damage bluetooth headphone convert a bluetooth rec...</t>
  </si>
  <si>
    <t>There's been a lot of wild, crazy and bold technol...</t>
  </si>
  <si>
    <t>In this video on the Top 10 Technologies to Learn ...</t>
  </si>
  <si>
    <t>Future Technology According to the Imagination  â€...</t>
  </si>
  <si>
    <t>I check out Apple's latest iOS 26 CarPlay so think...</t>
  </si>
  <si>
    <t>Check out Hostinger Horizons https://hostinger.com...</t>
  </si>
  <si>
    <t>Gyroscopic Transport
https://www.youtube.com/watch...</t>
  </si>
  <si>
    <t>tecno spark go 1 |@7,299 | best smartphone under 7...</t>
  </si>
  <si>
    <t>CES 2025 was crazy! Here is all of the best tech I...</t>
  </si>
  <si>
    <t>Primitive Technology: Water powered forge blower
S...</t>
  </si>
  <si>
    <t>[ Video Chapter ]
0:00 Process of Making Large Ge...</t>
  </si>
  <si>
    <t>Build better apps with PostHog https://posthog.com...</t>
  </si>
  <si>
    <t>100 Coolest Amazon Gadgets and Inventions
â–º Sub...</t>
  </si>
  <si>
    <t>motorola edge 60,
motorola edge 60 fusion,
vivo v5...</t>
  </si>
  <si>
    <t>Still can't believe Ashley Madison is a thing yike...</t>
  </si>
  <si>
    <t>â‚¹4 Vs â‚¹4000 Satisfying Products #shorts #gadge...</t>
  </si>
  <si>
    <t>Nintendo Switch 2 vs Steam Deck OLED - Which is th...</t>
  </si>
  <si>
    <t>RRB NTPC 2025 ðŸ”¥ Science and Technology | ISRO a...</t>
  </si>
  <si>
    <t>15 June Enjine falure TechnologyðŸ˜± #automobile #...</t>
  </si>
  <si>
    <t>Jai Shree Ram
Technologia Original Video
...</t>
  </si>
  <si>
    <t>The Giro d'Italia isn't just about epic racing; it...</t>
  </si>
  <si>
    <t>Meet our next chapter in software design, built wi...</t>
  </si>
  <si>
    <t>ðŸ‘‰ Subscribe for more videos: https://www.youtub...</t>
  </si>
  <si>
    <t>new technology drone use in fireðŸ˜²ðŸ˜Š#technolog...</t>
  </si>
  <si>
    <t>ai dangerous for human, ai,future of ai,dangers of...</t>
  </si>
  <si>
    <t>10M technology #shorts #comedy #viralvideo #shortv...</t>
  </si>
  <si>
    <t>iPhone 11 screen replacement #iphone11 #screenrepl...</t>
  </si>
  <si>
    <t>Iron knife made from bacteria
Subscribe: http://bi...</t>
  </si>
  <si>
    <t>Exclusive information and renders of the brand new...</t>
  </si>
  <si>
    <t>Enjine falure TechnologyðŸ˜± #automobile #shorte #...</t>
  </si>
  <si>
    <t>What's going on, everyone? Ujjwal here, and welcom...</t>
  </si>
  <si>
    <t>#gadgets #techmaster 
SUBSCRIBE THE CHANNEL FOR M...</t>
  </si>
  <si>
    <t>Charcoal retort experiment
Subscribe: http://bit.l...</t>
  </si>
  <si>
    <t>Hey #TechBarArmy 
In this video, I and @Technology...</t>
  </si>
  <si>
    <t>Linus Sebastian talks about creating tech videos f...</t>
  </si>
  <si>
    <t>Robotic &amp; Digital Animals Are Saving Real Wildlife...</t>
  </si>
  <si>
    <t>Subscribe: http://bit.ly/SubscribeNanoRecords
Tech...</t>
  </si>
  <si>
    <t>Turns out that promising tech and ridiculous tech ...</t>
  </si>
  <si>
    <t>ðŸ¤– The untold story of how two tiny computers we...</t>
  </si>
  <si>
    <t>Check prices on Amazon below
Monitor: https://geni...</t>
  </si>
  <si>
    <t>ã€If there is any infringement, please contact us...</t>
  </si>
  <si>
    <t>"à¤­à¤µà¤¿à¤·à¥à¤¯ à¤•à¥€ à¤Ÿà¥‡à¤•à¥à¤¨à¥‹à¤²à¥...</t>
  </si>
  <si>
    <t>Does NVIDIA FINALLY Have A Real Competitor? China'...</t>
  </si>
  <si>
    <t>Programming schedule (EST):
12:00 AM - 5:00 AM: Bl...</t>
  </si>
  <si>
    <t>Vivo x200 ultra ðŸ”¥ Vivo x200 ultra review ðŸ¤¯
...</t>
  </si>
  <si>
    <t>Visit https://www.squarespace.com/LTT and use offe...</t>
  </si>
  <si>
    <t>Android 16 aa gaya hai doston !
ðŸ”¥ Subscribe fo...</t>
  </si>
  <si>
    <t>15 Technologies That Will Change The World
Lab-Gr...</t>
  </si>
  <si>
    <t>CES 2025 Las Vegas. Exhibitor booth tours and high...</t>
  </si>
  <si>
    <t>OpenAI o3 and China. Learn more about AI at https:...</t>
  </si>
  <si>
    <t>BUY Galaxy S25 Ultra - https://howl.link/bpma91ssq...</t>
  </si>
  <si>
    <t>Humanoid robots are more advanced than ever in 202...</t>
  </si>
  <si>
    <t>Check out this hilarious Teknologia Arab Meme Comp...</t>
  </si>
  <si>
    <t>Black Box Ki Khasiyat #tech #trending_shorts #tech...</t>
  </si>
  <si>
    <t>Brajniketan TechTalks is a YouTube channel that of...</t>
  </si>
  <si>
    <t>Interested in working with Micron to make cutting-...</t>
  </si>
  <si>
    <t>Primitive Technology: Flywheel blower smelt/Monsoo...</t>
  </si>
  <si>
    <t>Lava feature Phone 2025 With D2M Technology Launch...</t>
  </si>
  <si>
    <t>Checkout LPU to learn new age skills - https://sho...</t>
  </si>
  <si>
    <t>How the Next Big Solar Panel Tech is Already Here....</t>
  </si>
  <si>
    <t>Chota packet bada dhamaaka !
ðŸ”¥ Subscribe for T...</t>
  </si>
  <si>
    <t>15 Emerging Technologies That Will Change The Futu...</t>
  </si>
  <si>
    <t>The best of CES 2025! And the weirdest of CES 2025...</t>
  </si>
  <si>
    <t>Thanks to Intel for continuing to sponsor this awe...</t>
  </si>
  <si>
    <t>#Future #Technology #World #2100 #futuristic #sci-...</t>
  </si>
  <si>
    <t>â—INSTAGRAM!
https://instagram.com/lordngaming?ig...</t>
  </si>
  <si>
    <t>What does it take to truly transform healthcare? I...</t>
  </si>
  <si>
    <t>Alcatel V3 Ultra unboxing &amp; quick review
#Alcatel...</t>
  </si>
  <si>
    <t>Doston aaj ke video me hum unbox kar rahe hain all...</t>
  </si>
  <si>
    <t>Hidden instagram settings
Hidden instagram feature...</t>
  </si>
  <si>
    <t>Welcome to Trending Machine â€” where inventions h...</t>
  </si>
  <si>
    <t>I TRIED 7 COOL GADGETS FROM SHARK TANK
#ujjwal #te...</t>
  </si>
  <si>
    <t>Lost Your Phone? Do This ASAP! #gadgets360 #androi...</t>
  </si>
  <si>
    <t>Africaâ€™s tech startups raised a record $5 billio...</t>
  </si>
  <si>
    <t>ðŸ‘‰For business inquiries: info.prorobots@gmail.c...</t>
  </si>
  <si>
    <t>Here it is â€” the worldâ€™s first foldable laptop...</t>
  </si>
  <si>
    <t>DeepSeek has released Janus Pro, a groundbreaking ...</t>
  </si>
  <si>
    <t>China's New Transport Tech: Is the US Ready for Th...</t>
  </si>
  <si>
    <t>Apple's iPhone 17 is going to be AWESOME this year...</t>
  </si>
  <si>
    <t>#21 #farming #agriculture #harvesting #harvest  #a...</t>
  </si>
  <si>
    <t>Primitive Technology - Meet Fish In The Lake Cacth...</t>
  </si>
  <si>
    <t>Industrial manufacturing stands as the backbone of...</t>
  </si>
  <si>
    <t>As technology continues to evolve rapidly, 2025 pr...</t>
  </si>
  <si>
    <t>Primitive Technology: Re-smelting previously made ...</t>
  </si>
  <si>
    <t>How do you transfer data from a phone to a compute...</t>
  </si>
  <si>
    <t>100â‚¹ VS 50000â‚¹ POWERBANK
#pen #technogamerz 
...</t>
  </si>
  <si>
    <t>Stealth Technology: How Military Vehicles Become I...</t>
  </si>
  <si>
    <t>vivo T4 Ultra Review in Telugu || Best Camera Phon...</t>
  </si>
  <si>
    <t>Here's another episode of some of the best Budget ...</t>
  </si>
  <si>
    <t>triple maaja lete hai
ðŸ”¥ Subscribe for Tabahi V...</t>
  </si>
  <si>
    <t>ðŸ™à¤œà¥‹à¤¹à¤¾à¤° ðŸ™ 
Mummy ka Damad Banaung...</t>
  </si>
  <si>
    <t>Discloses staggering new evidence of ancient techn...</t>
  </si>
  <si>
    <t>China's Canton Fair 2025...America is Done! (tarif...</t>
  </si>
  <si>
    <t>This is not just true of slinkies - if you release...</t>
  </si>
  <si>
    <t>Watch the full Apple Spring Loaded event: https://...</t>
  </si>
  <si>
    <t>Check out this trailer for Witcher 4 running on Un...</t>
  </si>
  <si>
    <t>Stering  wheel #trending #mechanic #technology #ma...</t>
  </si>
  <si>
    <t>With full screen mode, YouTube has made it easier ...</t>
  </si>
  <si>
    <t>Apple just unveiled the Liquid Glass UI in iOS 26,...</t>
  </si>
  <si>
    <t>Explore more about SST : https://scalerschooloftec...</t>
  </si>
  <si>
    <t>Apple iOS 26 aagaya hai chaliye aaj is video mein ...</t>
  </si>
  <si>
    <t>Motorola razr 60 ultra unboxing &amp; quick review
#M...</t>
  </si>
  <si>
    <t>New Channel Video Link :-  https://youtu.be/B_hs3a...</t>
  </si>
  <si>
    <t>garden reach shipbuilders share latest news ðŸ”¥ z...</t>
  </si>
  <si>
    <t>SEC 1 Information Technology Important Question l ...</t>
  </si>
  <si>
    <t>15 Technologies That Will Change The World
00:00 ...</t>
  </si>
  <si>
    <t>ALL IMPORTANT QUESTIONS IT TRENDS AND TECHNOLOGIES...</t>
  </si>
  <si>
    <t>Force restart iPhone
If iPhone isnâ€™t responding,...</t>
  </si>
  <si>
    <t>In this video we will learn that How to Add a Page...</t>
  </si>
  <si>
    <t>The discovery of what may be an ancient smartphone...</t>
  </si>
  <si>
    <t>New upcoming phone april month ka....
#UpcomingPh...</t>
  </si>
  <si>
    <t>Doston aaj ke video me hum unbox kar rahe hain Sam...</t>
  </si>
  <si>
    <t>Doston ye hain 2024 ka sabse bada video, jisme tec...</t>
  </si>
  <si>
    <t>Modernising Monarchy focuses on the development of...</t>
  </si>
  <si>
    <t>SEC 1 information Technology important questions l...</t>
  </si>
  <si>
    <t>#osakaexpo #robots  #japan 
Step into Expo 2025 in...</t>
  </si>
  <si>
    <t>à¤®à¥‹à¤Ÿà¤° à¤¸à¥‡ à¤›à¥‹à¤Ÿà¤¾ à¤œà¤¨à¤°à¥‡à¤Ÿà¤...</t>
  </si>
  <si>
    <t>gta kheli li jae
ðŸ”¥ Subscribe for Tabahi Videos...</t>
  </si>
  <si>
    <t>Canal principal: https://www.youtube.com/c/Pongamo...</t>
  </si>
  <si>
    <t>ðŸ•¹ï¸ Old Tech That Still Works â€“ Built to Las...</t>
  </si>
  <si>
    <t>Real Date</t>
  </si>
  <si>
    <t>Average of duration_seconds</t>
  </si>
  <si>
    <t>Average of engagement_rate</t>
  </si>
  <si>
    <t>#N/A</t>
  </si>
  <si>
    <t>(blank)</t>
  </si>
  <si>
    <t>Year</t>
  </si>
  <si>
    <t>Month</t>
  </si>
  <si>
    <t>Year_Month</t>
  </si>
  <si>
    <t>2025-03</t>
  </si>
  <si>
    <t>2022-05</t>
  </si>
  <si>
    <t>2022-08</t>
  </si>
  <si>
    <t>2022-12</t>
  </si>
  <si>
    <t>2023-12</t>
  </si>
  <si>
    <t>2025-05</t>
  </si>
  <si>
    <t>2019-05</t>
  </si>
  <si>
    <t>2021-04</t>
  </si>
  <si>
    <t>2021-07</t>
  </si>
  <si>
    <t>2021-09</t>
  </si>
  <si>
    <t>2021-10</t>
  </si>
  <si>
    <t>2021-11</t>
  </si>
  <si>
    <t>2022-01</t>
  </si>
  <si>
    <t>2022-03</t>
  </si>
  <si>
    <t>2022-06</t>
  </si>
  <si>
    <t>2022-09</t>
  </si>
  <si>
    <t>2022-10</t>
  </si>
  <si>
    <t>2022-11</t>
  </si>
  <si>
    <t>2023-01</t>
  </si>
  <si>
    <t>2023-02</t>
  </si>
  <si>
    <t>2023-03</t>
  </si>
  <si>
    <t>2023-04</t>
  </si>
  <si>
    <t>2023-05</t>
  </si>
  <si>
    <t>2023-06</t>
  </si>
  <si>
    <t>2023-07</t>
  </si>
  <si>
    <t>2023-08</t>
  </si>
  <si>
    <t>2023-09</t>
  </si>
  <si>
    <t>2023-10</t>
  </si>
  <si>
    <t>2023-11</t>
  </si>
  <si>
    <t>2024-01</t>
  </si>
  <si>
    <t>2024-02</t>
  </si>
  <si>
    <t>2024-03</t>
  </si>
  <si>
    <t>2024-04</t>
  </si>
  <si>
    <t>2024-05</t>
  </si>
  <si>
    <t>2024-06</t>
  </si>
  <si>
    <t>2024-07</t>
  </si>
  <si>
    <t>2024-08</t>
  </si>
  <si>
    <t>2024-09</t>
  </si>
  <si>
    <t>2024-10</t>
  </si>
  <si>
    <t>2024-11</t>
  </si>
  <si>
    <t>2024-12</t>
  </si>
  <si>
    <t>2025-01</t>
  </si>
  <si>
    <t>2025-02</t>
  </si>
  <si>
    <t>2025-04</t>
  </si>
  <si>
    <t>2025-06</t>
  </si>
  <si>
    <t>2009-03</t>
  </si>
  <si>
    <t>2009-04</t>
  </si>
  <si>
    <t>2009-06</t>
  </si>
  <si>
    <t>2016-06</t>
  </si>
  <si>
    <t>2017-12</t>
  </si>
  <si>
    <t>2019-01</t>
  </si>
  <si>
    <t>2020-08</t>
  </si>
  <si>
    <t>2020-11</t>
  </si>
  <si>
    <t>2021-12</t>
  </si>
  <si>
    <t>2022-04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</si>
</sst>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0" fillId="0" borderId="0" xfId="0" applyAlignment="1">
      <alignment wrapText="1"/>
    </xf>
    <xf numFmtId="14" fontId="0" fillId="0" borderId="0" xfId="0" applyNumberFormat="1"/>
    <xf numFmtId="9" fontId="0" fillId="0" borderId="0" xfId="1" applyFont="1"/>
    <xf numFmtId="0" fontId="0" fillId="0" borderId="0" xfId="0" applyNumberFormat="1"/>
    <xf numFmtId="0" fontId="0" fillId="0" borderId="0" xfId="0" applyAlignment="1">
      <alignment vertical="center" wrapText="1"/>
    </xf>
    <xf numFmtId="0" fontId="16" fillId="0" borderId="0" xfId="0" applyFont="1" applyAlignment="1">
      <alignment vertical="center" wrapText="1"/>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16" fillId="33" borderId="10" xfId="0" applyFont="1" applyFill="1" applyBorder="1" applyAlignment="1">
      <alignment horizontal="center" vertical="center"/>
    </xf>
    <xf numFmtId="14" fontId="16" fillId="33" borderId="10" xfId="0" applyNumberFormat="1" applyFont="1" applyFill="1" applyBorder="1" applyAlignment="1">
      <alignment horizontal="center" vertical="center"/>
    </xf>
    <xf numFmtId="0" fontId="16" fillId="33" borderId="10" xfId="0" applyNumberFormat="1" applyFont="1" applyFill="1" applyBorder="1" applyAlignment="1">
      <alignment horizontal="center" vertical="center"/>
    </xf>
    <xf numFmtId="9" fontId="16" fillId="33" borderId="10" xfId="1" applyFont="1" applyFill="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Tables!Total Views by Video Type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Views by Video Type</a:t>
            </a:r>
          </a:p>
        </c:rich>
      </c:tx>
      <c:layout>
        <c:manualLayout>
          <c:xMode val="edge"/>
          <c:yMode val="edge"/>
          <c:x val="0.18544970611067982"/>
          <c:y val="3.50364963503649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Tables'!$A$4:$A$6</c:f>
              <c:strCache>
                <c:ptCount val="2"/>
                <c:pt idx="0">
                  <c:v>Long</c:v>
                </c:pt>
                <c:pt idx="1">
                  <c:v>Short</c:v>
                </c:pt>
              </c:strCache>
            </c:strRef>
          </c:cat>
          <c:val>
            <c:numRef>
              <c:f>'Pivot Tables'!$B$4:$B$6</c:f>
              <c:numCache>
                <c:formatCode>0</c:formatCode>
                <c:ptCount val="2"/>
                <c:pt idx="0">
                  <c:v>975151610.71691799</c:v>
                </c:pt>
                <c:pt idx="1">
                  <c:v>3833930655.358459</c:v>
                </c:pt>
              </c:numCache>
            </c:numRef>
          </c:val>
          <c:extLst>
            <c:ext xmlns:c16="http://schemas.microsoft.com/office/drawing/2014/chart" uri="{C3380CC4-5D6E-409C-BE32-E72D297353CC}">
              <c16:uniqueId val="{00000000-C5C3-4563-BA29-C966EC0374CA}"/>
            </c:ext>
          </c:extLst>
        </c:ser>
        <c:dLbls>
          <c:showLegendKey val="0"/>
          <c:showVal val="0"/>
          <c:showCatName val="0"/>
          <c:showSerName val="0"/>
          <c:showPercent val="0"/>
          <c:showBubbleSize val="0"/>
        </c:dLbls>
        <c:gapWidth val="150"/>
        <c:overlap val="100"/>
        <c:axId val="831934544"/>
        <c:axId val="831936208"/>
      </c:barChart>
      <c:catAx>
        <c:axId val="8319345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936208"/>
        <c:crosses val="autoZero"/>
        <c:auto val="1"/>
        <c:lblAlgn val="ctr"/>
        <c:lblOffset val="100"/>
        <c:noMultiLvlLbl val="0"/>
      </c:catAx>
      <c:valAx>
        <c:axId val="831936208"/>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9345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Tables!Likes vs Comments per Video</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Likes vs Comments per Video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22703412073491E-2"/>
          <c:y val="0.15740740740740741"/>
          <c:w val="0.83576071741032365"/>
          <c:h val="0.58272346165062705"/>
        </c:manualLayout>
      </c:layout>
      <c:barChart>
        <c:barDir val="col"/>
        <c:grouping val="percentStacked"/>
        <c:varyColors val="0"/>
        <c:ser>
          <c:idx val="0"/>
          <c:order val="0"/>
          <c:tx>
            <c:strRef>
              <c:f>'Pivot Tables'!$B$13</c:f>
              <c:strCache>
                <c:ptCount val="1"/>
                <c:pt idx="0">
                  <c:v>Sum of like_count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Tables'!$A$14:$A$19</c:f>
              <c:strCache>
                <c:ptCount val="5"/>
                <c:pt idx="0">
                  <c:v>zFT3YuNnF6g</c:v>
                </c:pt>
                <c:pt idx="1">
                  <c:v>OcuYIlrG7ao</c:v>
                </c:pt>
                <c:pt idx="2">
                  <c:v>IPhARlUO6NA</c:v>
                </c:pt>
                <c:pt idx="3">
                  <c:v>1Nef8LPO-jo</c:v>
                </c:pt>
                <c:pt idx="4">
                  <c:v>-055GvEU7f0</c:v>
                </c:pt>
              </c:strCache>
            </c:strRef>
          </c:cat>
          <c:val>
            <c:numRef>
              <c:f>'Pivot Tables'!$B$14:$B$19</c:f>
              <c:numCache>
                <c:formatCode>General</c:formatCode>
                <c:ptCount val="5"/>
                <c:pt idx="0">
                  <c:v>3061219</c:v>
                </c:pt>
                <c:pt idx="1">
                  <c:v>2964109</c:v>
                </c:pt>
                <c:pt idx="2">
                  <c:v>4421091</c:v>
                </c:pt>
                <c:pt idx="3">
                  <c:v>4178447</c:v>
                </c:pt>
                <c:pt idx="4">
                  <c:v>4130446</c:v>
                </c:pt>
              </c:numCache>
            </c:numRef>
          </c:val>
          <c:extLst>
            <c:ext xmlns:c16="http://schemas.microsoft.com/office/drawing/2014/chart" uri="{C3380CC4-5D6E-409C-BE32-E72D297353CC}">
              <c16:uniqueId val="{00000000-4C8C-4B66-A05B-56971AE06DF2}"/>
            </c:ext>
          </c:extLst>
        </c:ser>
        <c:ser>
          <c:idx val="1"/>
          <c:order val="1"/>
          <c:tx>
            <c:strRef>
              <c:f>'Pivot Tables'!$C$13</c:f>
              <c:strCache>
                <c:ptCount val="1"/>
                <c:pt idx="0">
                  <c:v>Sum of comment_count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Tables'!$A$14:$A$19</c:f>
              <c:strCache>
                <c:ptCount val="5"/>
                <c:pt idx="0">
                  <c:v>zFT3YuNnF6g</c:v>
                </c:pt>
                <c:pt idx="1">
                  <c:v>OcuYIlrG7ao</c:v>
                </c:pt>
                <c:pt idx="2">
                  <c:v>IPhARlUO6NA</c:v>
                </c:pt>
                <c:pt idx="3">
                  <c:v>1Nef8LPO-jo</c:v>
                </c:pt>
                <c:pt idx="4">
                  <c:v>-055GvEU7f0</c:v>
                </c:pt>
              </c:strCache>
            </c:strRef>
          </c:cat>
          <c:val>
            <c:numRef>
              <c:f>'Pivot Tables'!$C$14:$C$19</c:f>
              <c:numCache>
                <c:formatCode>General</c:formatCode>
                <c:ptCount val="5"/>
                <c:pt idx="0">
                  <c:v>11926</c:v>
                </c:pt>
                <c:pt idx="1">
                  <c:v>14876</c:v>
                </c:pt>
                <c:pt idx="2">
                  <c:v>8794</c:v>
                </c:pt>
                <c:pt idx="3">
                  <c:v>6378</c:v>
                </c:pt>
                <c:pt idx="4">
                  <c:v>7065</c:v>
                </c:pt>
              </c:numCache>
            </c:numRef>
          </c:val>
          <c:extLst>
            <c:ext xmlns:c16="http://schemas.microsoft.com/office/drawing/2014/chart" uri="{C3380CC4-5D6E-409C-BE32-E72D297353CC}">
              <c16:uniqueId val="{00000001-4C8C-4B66-A05B-56971AE06DF2}"/>
            </c:ext>
          </c:extLst>
        </c:ser>
        <c:dLbls>
          <c:dLblPos val="ctr"/>
          <c:showLegendKey val="0"/>
          <c:showVal val="1"/>
          <c:showCatName val="0"/>
          <c:showSerName val="0"/>
          <c:showPercent val="0"/>
          <c:showBubbleSize val="0"/>
        </c:dLbls>
        <c:gapWidth val="150"/>
        <c:overlap val="100"/>
        <c:axId val="1013698000"/>
        <c:axId val="1013693008"/>
      </c:barChart>
      <c:catAx>
        <c:axId val="1013698000"/>
        <c:scaling>
          <c:orientation val="minMax"/>
        </c:scaling>
        <c:delete val="0"/>
        <c:axPos val="b"/>
        <c:numFmt formatCode="@"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93008"/>
        <c:crosses val="autoZero"/>
        <c:auto val="1"/>
        <c:lblAlgn val="ctr"/>
        <c:lblOffset val="100"/>
        <c:noMultiLvlLbl val="0"/>
      </c:catAx>
      <c:valAx>
        <c:axId val="101369300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98000"/>
        <c:crosses val="autoZero"/>
        <c:crossBetween val="between"/>
      </c:valAx>
      <c:spPr>
        <a:noFill/>
        <a:ln>
          <a:noFill/>
        </a:ln>
        <a:effectLst/>
      </c:spPr>
    </c:plotArea>
    <c:legend>
      <c:legendPos val="r"/>
      <c:layout>
        <c:manualLayout>
          <c:xMode val="edge"/>
          <c:yMode val="edge"/>
          <c:x val="6.6216754155730528E-2"/>
          <c:y val="0.90798556430446198"/>
          <c:w val="0.83933880139982509"/>
          <c:h val="8.21770195392242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Tables!Top 5 Most Viewed Videos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5 Most Viewed Videos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Tables'!$B$25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movingAvg"/>
            <c:period val="2"/>
            <c:dispRSqr val="0"/>
            <c:dispEq val="0"/>
          </c:trendline>
          <c:cat>
            <c:strRef>
              <c:f>'Pivot Tables'!$A$26:$A$31</c:f>
              <c:strCache>
                <c:ptCount val="5"/>
                <c:pt idx="0">
                  <c:v>Worlds smallest 4K headset ðŸ˜...</c:v>
                </c:pt>
                <c:pt idx="1">
                  <c:v>This is future technology 2d a...</c:v>
                </c:pt>
                <c:pt idx="2">
                  <c:v>New Science Project #shorts #s...</c:v>
                </c:pt>
                <c:pt idx="3">
                  <c:v>Free motion setup in progress ...</c:v>
                </c:pt>
                <c:pt idx="4">
                  <c:v>50 Cent - Ayo Technology (Offi...</c:v>
                </c:pt>
              </c:strCache>
            </c:strRef>
          </c:cat>
          <c:val>
            <c:numRef>
              <c:f>'Pivot Tables'!$B$26:$B$31</c:f>
              <c:numCache>
                <c:formatCode>General</c:formatCode>
                <c:ptCount val="5"/>
                <c:pt idx="0">
                  <c:v>259311517</c:v>
                </c:pt>
                <c:pt idx="1">
                  <c:v>246090760</c:v>
                </c:pt>
                <c:pt idx="2">
                  <c:v>179327926</c:v>
                </c:pt>
                <c:pt idx="3">
                  <c:v>139303650</c:v>
                </c:pt>
                <c:pt idx="4">
                  <c:v>343758991</c:v>
                </c:pt>
              </c:numCache>
            </c:numRef>
          </c:val>
          <c:extLst>
            <c:ext xmlns:c16="http://schemas.microsoft.com/office/drawing/2014/chart" uri="{C3380CC4-5D6E-409C-BE32-E72D297353CC}">
              <c16:uniqueId val="{00000000-E063-474A-880B-F435AEFF0B5F}"/>
            </c:ext>
          </c:extLst>
        </c:ser>
        <c:dLbls>
          <c:showLegendKey val="0"/>
          <c:showVal val="0"/>
          <c:showCatName val="0"/>
          <c:showSerName val="0"/>
          <c:showPercent val="0"/>
          <c:showBubbleSize val="0"/>
        </c:dLbls>
        <c:gapWidth val="100"/>
        <c:overlap val="-24"/>
        <c:axId val="1006241440"/>
        <c:axId val="1006235200"/>
      </c:barChart>
      <c:catAx>
        <c:axId val="1006241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235200"/>
        <c:crosses val="autoZero"/>
        <c:auto val="1"/>
        <c:lblAlgn val="ctr"/>
        <c:lblOffset val="100"/>
        <c:noMultiLvlLbl val="0"/>
      </c:catAx>
      <c:valAx>
        <c:axId val="1006235200"/>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2414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Tables!Average Video Duration by Type</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Video Duration by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ctr"/>
          <c:showLegendKey val="1"/>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20794912762016321"/>
              <c:y val="-0.12662942271880825"/>
            </c:manualLayout>
          </c:layout>
          <c:dLblPos val="outEnd"/>
          <c:showLegendKey val="1"/>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Tables'!$B$40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'Pivot Tables'!$A$41:$A$43</c:f>
              <c:strCache>
                <c:ptCount val="2"/>
                <c:pt idx="0">
                  <c:v>Long</c:v>
                </c:pt>
                <c:pt idx="1">
                  <c:v>Short</c:v>
                </c:pt>
              </c:strCache>
            </c:strRef>
          </c:cat>
          <c:val>
            <c:numRef>
              <c:f>'Pivot Tables'!$B$41:$B$43</c:f>
              <c:numCache>
                <c:formatCode>General</c:formatCode>
                <c:ptCount val="2"/>
                <c:pt idx="0">
                  <c:v>987.15675675675675</c:v>
                </c:pt>
                <c:pt idx="1">
                  <c:v>29.598997493734334</c:v>
                </c:pt>
              </c:numCache>
            </c:numRef>
          </c:val>
          <c:extLst>
            <c:ext xmlns:c16="http://schemas.microsoft.com/office/drawing/2014/chart" uri="{C3380CC4-5D6E-409C-BE32-E72D297353CC}">
              <c16:uniqueId val="{00000000-F193-436E-BE4D-E9CF26A94738}"/>
            </c:ext>
          </c:extLst>
        </c:ser>
        <c:dLbls>
          <c:showLegendKey val="0"/>
          <c:showVal val="0"/>
          <c:showCatName val="0"/>
          <c:showSerName val="0"/>
          <c:showPercent val="0"/>
          <c:showBubbleSize val="0"/>
        </c:dLbls>
        <c:gapWidth val="100"/>
        <c:axId val="1139583520"/>
        <c:axId val="1139577280"/>
      </c:barChart>
      <c:catAx>
        <c:axId val="11395835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9577280"/>
        <c:crosses val="autoZero"/>
        <c:auto val="1"/>
        <c:lblAlgn val="ctr"/>
        <c:lblOffset val="100"/>
        <c:noMultiLvlLbl val="0"/>
      </c:catAx>
      <c:valAx>
        <c:axId val="113957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95835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Tables!Channel Engagement vs Total Views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Channel Engagement vs Total Views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8.0647728221251491E-2"/>
          <c:y val="0.3104772769545539"/>
          <c:w val="0.85918143624273113"/>
          <c:h val="0.43630528861057721"/>
        </c:manualLayout>
      </c:layout>
      <c:barChart>
        <c:barDir val="bar"/>
        <c:grouping val="clustered"/>
        <c:varyColors val="0"/>
        <c:ser>
          <c:idx val="1"/>
          <c:order val="1"/>
          <c:tx>
            <c:strRef>
              <c:f>'Pivot Tables'!$C$49</c:f>
              <c:strCache>
                <c:ptCount val="1"/>
                <c:pt idx="0">
                  <c:v>Sum of view_count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Tables'!$A$50:$A$53</c:f>
              <c:strCache>
                <c:ptCount val="3"/>
                <c:pt idx="0">
                  <c:v>Pwt Tech </c:v>
                </c:pt>
                <c:pt idx="1">
                  <c:v>Mx Mobile</c:v>
                </c:pt>
                <c:pt idx="2">
                  <c:v>F4 Faiz</c:v>
                </c:pt>
              </c:strCache>
            </c:strRef>
          </c:cat>
          <c:val>
            <c:numRef>
              <c:f>'Pivot Tables'!$C$50:$C$53</c:f>
              <c:numCache>
                <c:formatCode>General</c:formatCode>
                <c:ptCount val="3"/>
                <c:pt idx="0">
                  <c:v>312</c:v>
                </c:pt>
                <c:pt idx="1">
                  <c:v>4007</c:v>
                </c:pt>
                <c:pt idx="2">
                  <c:v>1190</c:v>
                </c:pt>
              </c:numCache>
            </c:numRef>
          </c:val>
          <c:extLst>
            <c:ext xmlns:c16="http://schemas.microsoft.com/office/drawing/2014/chart" uri="{C3380CC4-5D6E-409C-BE32-E72D297353CC}">
              <c16:uniqueId val="{00000001-276C-43AE-A0D7-EB6BA8764FF9}"/>
            </c:ext>
          </c:extLst>
        </c:ser>
        <c:dLbls>
          <c:showLegendKey val="0"/>
          <c:showVal val="0"/>
          <c:showCatName val="0"/>
          <c:showSerName val="0"/>
          <c:showPercent val="0"/>
          <c:showBubbleSize val="0"/>
        </c:dLbls>
        <c:gapWidth val="219"/>
        <c:axId val="1013694672"/>
        <c:axId val="1013690512"/>
      </c:barChart>
      <c:lineChart>
        <c:grouping val="standard"/>
        <c:varyColors val="0"/>
        <c:ser>
          <c:idx val="0"/>
          <c:order val="0"/>
          <c:tx>
            <c:strRef>
              <c:f>'Pivot Tables'!$B$49</c:f>
              <c:strCache>
                <c:ptCount val="1"/>
                <c:pt idx="0">
                  <c:v>Average of engagement_rate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Tables'!$A$50:$A$53</c:f>
              <c:strCache>
                <c:ptCount val="3"/>
                <c:pt idx="0">
                  <c:v>Pwt Tech </c:v>
                </c:pt>
                <c:pt idx="1">
                  <c:v>Mx Mobile</c:v>
                </c:pt>
                <c:pt idx="2">
                  <c:v>F4 Faiz</c:v>
                </c:pt>
              </c:strCache>
            </c:strRef>
          </c:cat>
          <c:val>
            <c:numRef>
              <c:f>'Pivot Tables'!$B$50:$B$53</c:f>
              <c:numCache>
                <c:formatCode>General</c:formatCode>
                <c:ptCount val="3"/>
                <c:pt idx="0">
                  <c:v>697.00194993227569</c:v>
                </c:pt>
                <c:pt idx="1">
                  <c:v>54.762853296734406</c:v>
                </c:pt>
                <c:pt idx="2">
                  <c:v>182.74420872173951</c:v>
                </c:pt>
              </c:numCache>
            </c:numRef>
          </c:val>
          <c:smooth val="0"/>
          <c:extLst>
            <c:ext xmlns:c16="http://schemas.microsoft.com/office/drawing/2014/chart" uri="{C3380CC4-5D6E-409C-BE32-E72D297353CC}">
              <c16:uniqueId val="{00000000-276C-43AE-A0D7-EB6BA8764FF9}"/>
            </c:ext>
          </c:extLst>
        </c:ser>
        <c:dLbls>
          <c:showLegendKey val="0"/>
          <c:showVal val="0"/>
          <c:showCatName val="0"/>
          <c:showSerName val="0"/>
          <c:showPercent val="0"/>
          <c:showBubbleSize val="0"/>
        </c:dLbls>
        <c:marker val="1"/>
        <c:smooth val="0"/>
        <c:axId val="1013701328"/>
        <c:axId val="1013696336"/>
      </c:lineChart>
      <c:catAx>
        <c:axId val="1013701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96336"/>
        <c:crosses val="autoZero"/>
        <c:auto val="1"/>
        <c:lblAlgn val="ctr"/>
        <c:lblOffset val="100"/>
        <c:noMultiLvlLbl val="0"/>
      </c:catAx>
      <c:valAx>
        <c:axId val="101369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701328"/>
        <c:crosses val="autoZero"/>
        <c:crossBetween val="between"/>
      </c:valAx>
      <c:valAx>
        <c:axId val="1013690512"/>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94672"/>
        <c:crosses val="max"/>
        <c:crossBetween val="between"/>
      </c:valAx>
      <c:catAx>
        <c:axId val="1013694672"/>
        <c:scaling>
          <c:orientation val="minMax"/>
        </c:scaling>
        <c:delete val="1"/>
        <c:axPos val="l"/>
        <c:numFmt formatCode="General" sourceLinked="1"/>
        <c:majorTickMark val="none"/>
        <c:minorTickMark val="none"/>
        <c:tickLblPos val="nextTo"/>
        <c:crossAx val="1013690512"/>
        <c:crosses val="autoZero"/>
        <c:auto val="1"/>
        <c:lblAlgn val="ctr"/>
        <c:lblOffset val="100"/>
        <c:noMultiLvlLbl val="0"/>
      </c:catAx>
      <c:spPr>
        <a:noFill/>
        <a:ln>
          <a:noFill/>
        </a:ln>
        <a:effectLst/>
      </c:spPr>
    </c:plotArea>
    <c:legend>
      <c:legendPos val="r"/>
      <c:layout>
        <c:manualLayout>
          <c:xMode val="edge"/>
          <c:yMode val="edge"/>
          <c:x val="0.16278322806822293"/>
          <c:y val="0.81051801637378096"/>
          <c:w val="0.76937224896357914"/>
          <c:h val="0.185829747659495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Tables!Video Distribution by Category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Video Distribution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Tables'!$B$61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D9-4FF0-9898-2473C855B8C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D9-4FF0-9898-2473C855B8C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D9-4FF0-9898-2473C855B8C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AD9-4FF0-9898-2473C855B8C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AD9-4FF0-9898-2473C855B8C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AD9-4FF0-9898-2473C855B8C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AD9-4FF0-9898-2473C855B8C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AD9-4FF0-9898-2473C855B8C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AD9-4FF0-9898-2473C855B8C1}"/>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AD9-4FF0-9898-2473C855B8C1}"/>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AD9-4FF0-9898-2473C855B8C1}"/>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AD9-4FF0-9898-2473C855B8C1}"/>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AD9-4FF0-9898-2473C855B8C1}"/>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AD9-4FF0-9898-2473C855B8C1}"/>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0AD9-4FF0-9898-2473C855B8C1}"/>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0AD9-4FF0-9898-2473C855B8C1}"/>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0AD9-4FF0-9898-2473C855B8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Tables'!$A$62:$A$79</c:f>
              <c:strCache>
                <c:ptCount val="17"/>
                <c:pt idx="0">
                  <c:v>Autos &amp; Vehicles</c:v>
                </c:pt>
                <c:pt idx="1">
                  <c:v>Comedy</c:v>
                </c:pt>
                <c:pt idx="2">
                  <c:v>Education</c:v>
                </c:pt>
                <c:pt idx="3">
                  <c:v>Entertainment</c:v>
                </c:pt>
                <c:pt idx="4">
                  <c:v>Film &amp; Animation</c:v>
                </c:pt>
                <c:pt idx="5">
                  <c:v>Gaming</c:v>
                </c:pt>
                <c:pt idx="6">
                  <c:v>Howto &amp; Style</c:v>
                </c:pt>
                <c:pt idx="7">
                  <c:v>Music</c:v>
                </c:pt>
                <c:pt idx="8">
                  <c:v>News &amp; Politics</c:v>
                </c:pt>
                <c:pt idx="9">
                  <c:v>Nonprofits &amp; Activism</c:v>
                </c:pt>
                <c:pt idx="10">
                  <c:v>People &amp; Blogs</c:v>
                </c:pt>
                <c:pt idx="11">
                  <c:v>Pets &amp; Animals</c:v>
                </c:pt>
                <c:pt idx="12">
                  <c:v>Science &amp; Technology</c:v>
                </c:pt>
                <c:pt idx="13">
                  <c:v>Sports</c:v>
                </c:pt>
                <c:pt idx="14">
                  <c:v>Travel &amp; Events</c:v>
                </c:pt>
                <c:pt idx="15">
                  <c:v>#N/A</c:v>
                </c:pt>
                <c:pt idx="16">
                  <c:v>(blank)</c:v>
                </c:pt>
              </c:strCache>
            </c:strRef>
          </c:cat>
          <c:val>
            <c:numRef>
              <c:f>'Pivot Tables'!$B$62:$B$79</c:f>
              <c:numCache>
                <c:formatCode>General</c:formatCode>
                <c:ptCount val="17"/>
                <c:pt idx="0">
                  <c:v>6</c:v>
                </c:pt>
                <c:pt idx="1">
                  <c:v>20</c:v>
                </c:pt>
                <c:pt idx="2">
                  <c:v>53</c:v>
                </c:pt>
                <c:pt idx="3">
                  <c:v>50</c:v>
                </c:pt>
                <c:pt idx="4">
                  <c:v>4</c:v>
                </c:pt>
                <c:pt idx="5">
                  <c:v>19</c:v>
                </c:pt>
                <c:pt idx="6">
                  <c:v>10</c:v>
                </c:pt>
                <c:pt idx="7">
                  <c:v>13</c:v>
                </c:pt>
                <c:pt idx="8">
                  <c:v>16</c:v>
                </c:pt>
                <c:pt idx="9">
                  <c:v>2</c:v>
                </c:pt>
                <c:pt idx="10">
                  <c:v>93</c:v>
                </c:pt>
                <c:pt idx="11">
                  <c:v>7</c:v>
                </c:pt>
                <c:pt idx="12">
                  <c:v>279</c:v>
                </c:pt>
                <c:pt idx="13">
                  <c:v>4</c:v>
                </c:pt>
                <c:pt idx="14">
                  <c:v>5</c:v>
                </c:pt>
                <c:pt idx="15">
                  <c:v>3</c:v>
                </c:pt>
              </c:numCache>
            </c:numRef>
          </c:val>
          <c:extLst>
            <c:ext xmlns:c16="http://schemas.microsoft.com/office/drawing/2014/chart" uri="{C3380CC4-5D6E-409C-BE32-E72D297353CC}">
              <c16:uniqueId val="{00000000-1D6E-4F5A-B233-B708D0E7DB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Tables!Monthly Trend of Videos Published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Trend of Videos Published</a:t>
            </a:r>
            <a:endParaRPr lang="en-US" b="1"/>
          </a:p>
        </c:rich>
      </c:tx>
      <c:layout>
        <c:manualLayout>
          <c:xMode val="edge"/>
          <c:yMode val="edge"/>
          <c:x val="0.2157360017497812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Tables'!$B$85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 Tables'!$A$86:$A$141</c:f>
              <c:strCache>
                <c:ptCount val="55"/>
                <c:pt idx="0">
                  <c:v>2009-03</c:v>
                </c:pt>
                <c:pt idx="1">
                  <c:v>2009-04</c:v>
                </c:pt>
                <c:pt idx="2">
                  <c:v>2009-06</c:v>
                </c:pt>
                <c:pt idx="3">
                  <c:v>2016-06</c:v>
                </c:pt>
                <c:pt idx="4">
                  <c:v>2017-12</c:v>
                </c:pt>
                <c:pt idx="5">
                  <c:v>2019-01</c:v>
                </c:pt>
                <c:pt idx="6">
                  <c:v>2019-05</c:v>
                </c:pt>
                <c:pt idx="7">
                  <c:v>2020-08</c:v>
                </c:pt>
                <c:pt idx="8">
                  <c:v>2020-11</c:v>
                </c:pt>
                <c:pt idx="9">
                  <c:v>2021-04</c:v>
                </c:pt>
                <c:pt idx="10">
                  <c:v>2021-07</c:v>
                </c:pt>
                <c:pt idx="11">
                  <c:v>2021-09</c:v>
                </c:pt>
                <c:pt idx="12">
                  <c:v>2021-10</c:v>
                </c:pt>
                <c:pt idx="13">
                  <c:v>2021-11</c:v>
                </c:pt>
                <c:pt idx="14">
                  <c:v>2021-12</c:v>
                </c:pt>
                <c:pt idx="15">
                  <c:v>2022-01</c:v>
                </c:pt>
                <c:pt idx="16">
                  <c:v>2022-03</c:v>
                </c:pt>
                <c:pt idx="17">
                  <c:v>2022-04</c:v>
                </c:pt>
                <c:pt idx="18">
                  <c:v>2022-05</c:v>
                </c:pt>
                <c:pt idx="19">
                  <c:v>2022-06</c:v>
                </c:pt>
                <c:pt idx="20">
                  <c:v>2022-08</c:v>
                </c:pt>
                <c:pt idx="21">
                  <c:v>2022-09</c:v>
                </c:pt>
                <c:pt idx="22">
                  <c:v>2022-10</c:v>
                </c:pt>
                <c:pt idx="23">
                  <c:v>2022-11</c:v>
                </c:pt>
                <c:pt idx="24">
                  <c:v>2022-12</c:v>
                </c:pt>
                <c:pt idx="25">
                  <c:v>2023-01</c:v>
                </c:pt>
                <c:pt idx="26">
                  <c:v>2023-02</c:v>
                </c:pt>
                <c:pt idx="27">
                  <c:v>2023-03</c:v>
                </c:pt>
                <c:pt idx="28">
                  <c:v>2023-04</c:v>
                </c:pt>
                <c:pt idx="29">
                  <c:v>2023-05</c:v>
                </c:pt>
                <c:pt idx="30">
                  <c:v>2023-06</c:v>
                </c:pt>
                <c:pt idx="31">
                  <c:v>2023-07</c:v>
                </c:pt>
                <c:pt idx="32">
                  <c:v>2023-08</c:v>
                </c:pt>
                <c:pt idx="33">
                  <c:v>2023-09</c:v>
                </c:pt>
                <c:pt idx="34">
                  <c:v>2023-10</c:v>
                </c:pt>
                <c:pt idx="35">
                  <c:v>2023-11</c:v>
                </c:pt>
                <c:pt idx="36">
                  <c:v>2023-12</c:v>
                </c:pt>
                <c:pt idx="37">
                  <c:v>2024-01</c:v>
                </c:pt>
                <c:pt idx="38">
                  <c:v>2024-02</c:v>
                </c:pt>
                <c:pt idx="39">
                  <c:v>2024-03</c:v>
                </c:pt>
                <c:pt idx="40">
                  <c:v>2024-04</c:v>
                </c:pt>
                <c:pt idx="41">
                  <c:v>2024-05</c:v>
                </c:pt>
                <c:pt idx="42">
                  <c:v>2024-06</c:v>
                </c:pt>
                <c:pt idx="43">
                  <c:v>2024-07</c:v>
                </c:pt>
                <c:pt idx="44">
                  <c:v>2024-08</c:v>
                </c:pt>
                <c:pt idx="45">
                  <c:v>2024-09</c:v>
                </c:pt>
                <c:pt idx="46">
                  <c:v>2024-10</c:v>
                </c:pt>
                <c:pt idx="47">
                  <c:v>2024-11</c:v>
                </c:pt>
                <c:pt idx="48">
                  <c:v>2024-12</c:v>
                </c:pt>
                <c:pt idx="49">
                  <c:v>2025-01</c:v>
                </c:pt>
                <c:pt idx="50">
                  <c:v>2025-02</c:v>
                </c:pt>
                <c:pt idx="51">
                  <c:v>2025-03</c:v>
                </c:pt>
                <c:pt idx="52">
                  <c:v>2025-04</c:v>
                </c:pt>
                <c:pt idx="53">
                  <c:v>2025-05</c:v>
                </c:pt>
                <c:pt idx="54">
                  <c:v>2025-06</c:v>
                </c:pt>
              </c:strCache>
            </c:strRef>
          </c:cat>
          <c:val>
            <c:numRef>
              <c:f>'Pivot Tables'!$B$86:$B$141</c:f>
              <c:numCache>
                <c:formatCode>General</c:formatCode>
                <c:ptCount val="55"/>
                <c:pt idx="0">
                  <c:v>20393151</c:v>
                </c:pt>
                <c:pt idx="1">
                  <c:v>78152857</c:v>
                </c:pt>
                <c:pt idx="2">
                  <c:v>343758991</c:v>
                </c:pt>
                <c:pt idx="3">
                  <c:v>2149006</c:v>
                </c:pt>
                <c:pt idx="4">
                  <c:v>1494602</c:v>
                </c:pt>
                <c:pt idx="5">
                  <c:v>700546</c:v>
                </c:pt>
                <c:pt idx="6">
                  <c:v>6936331</c:v>
                </c:pt>
                <c:pt idx="7">
                  <c:v>5083502</c:v>
                </c:pt>
                <c:pt idx="8">
                  <c:v>13476785</c:v>
                </c:pt>
                <c:pt idx="9">
                  <c:v>506114</c:v>
                </c:pt>
                <c:pt idx="10">
                  <c:v>44799858</c:v>
                </c:pt>
                <c:pt idx="11">
                  <c:v>90818714</c:v>
                </c:pt>
                <c:pt idx="12">
                  <c:v>607010</c:v>
                </c:pt>
                <c:pt idx="13">
                  <c:v>20441570</c:v>
                </c:pt>
                <c:pt idx="14">
                  <c:v>19951447</c:v>
                </c:pt>
                <c:pt idx="15">
                  <c:v>3152660</c:v>
                </c:pt>
                <c:pt idx="16">
                  <c:v>16984043</c:v>
                </c:pt>
                <c:pt idx="17">
                  <c:v>344551</c:v>
                </c:pt>
                <c:pt idx="18">
                  <c:v>271308768</c:v>
                </c:pt>
                <c:pt idx="19">
                  <c:v>9149981</c:v>
                </c:pt>
                <c:pt idx="20">
                  <c:v>70668361</c:v>
                </c:pt>
                <c:pt idx="21">
                  <c:v>37502912</c:v>
                </c:pt>
                <c:pt idx="22">
                  <c:v>114826214</c:v>
                </c:pt>
                <c:pt idx="23">
                  <c:v>81856295</c:v>
                </c:pt>
                <c:pt idx="24">
                  <c:v>34327556</c:v>
                </c:pt>
                <c:pt idx="25">
                  <c:v>20397088</c:v>
                </c:pt>
                <c:pt idx="26">
                  <c:v>53853274</c:v>
                </c:pt>
                <c:pt idx="27">
                  <c:v>40368148</c:v>
                </c:pt>
                <c:pt idx="28">
                  <c:v>246955426</c:v>
                </c:pt>
                <c:pt idx="29">
                  <c:v>92769589</c:v>
                </c:pt>
                <c:pt idx="30">
                  <c:v>3202543</c:v>
                </c:pt>
                <c:pt idx="31">
                  <c:v>55839934</c:v>
                </c:pt>
                <c:pt idx="32">
                  <c:v>43055508</c:v>
                </c:pt>
                <c:pt idx="33">
                  <c:v>95380180</c:v>
                </c:pt>
                <c:pt idx="34">
                  <c:v>324714</c:v>
                </c:pt>
                <c:pt idx="35">
                  <c:v>88359562.358458966</c:v>
                </c:pt>
                <c:pt idx="36">
                  <c:v>35624672</c:v>
                </c:pt>
                <c:pt idx="37">
                  <c:v>283122147</c:v>
                </c:pt>
                <c:pt idx="38">
                  <c:v>213607398</c:v>
                </c:pt>
                <c:pt idx="39">
                  <c:v>96218825</c:v>
                </c:pt>
                <c:pt idx="40">
                  <c:v>246324887</c:v>
                </c:pt>
                <c:pt idx="41">
                  <c:v>116522607</c:v>
                </c:pt>
                <c:pt idx="42">
                  <c:v>240680750</c:v>
                </c:pt>
                <c:pt idx="43">
                  <c:v>155431740</c:v>
                </c:pt>
                <c:pt idx="44">
                  <c:v>122495580</c:v>
                </c:pt>
                <c:pt idx="45">
                  <c:v>118419513</c:v>
                </c:pt>
                <c:pt idx="46">
                  <c:v>146973558</c:v>
                </c:pt>
                <c:pt idx="47">
                  <c:v>159498528.71691793</c:v>
                </c:pt>
                <c:pt idx="48">
                  <c:v>143529383</c:v>
                </c:pt>
                <c:pt idx="49">
                  <c:v>120642109</c:v>
                </c:pt>
                <c:pt idx="50">
                  <c:v>33559077</c:v>
                </c:pt>
                <c:pt idx="51">
                  <c:v>119144228</c:v>
                </c:pt>
                <c:pt idx="52">
                  <c:v>214213947</c:v>
                </c:pt>
                <c:pt idx="53">
                  <c:v>145195081</c:v>
                </c:pt>
                <c:pt idx="54">
                  <c:v>67980444</c:v>
                </c:pt>
              </c:numCache>
            </c:numRef>
          </c:val>
          <c:smooth val="0"/>
          <c:extLst>
            <c:ext xmlns:c16="http://schemas.microsoft.com/office/drawing/2014/chart" uri="{C3380CC4-5D6E-409C-BE32-E72D297353CC}">
              <c16:uniqueId val="{00000000-5B83-402A-A91A-6D2960EB8B76}"/>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139580608"/>
        <c:axId val="1139581440"/>
      </c:lineChart>
      <c:catAx>
        <c:axId val="1139580608"/>
        <c:scaling>
          <c:orientation val="minMax"/>
        </c:scaling>
        <c:delete val="1"/>
        <c:axPos val="b"/>
        <c:numFmt formatCode="General" sourceLinked="1"/>
        <c:majorTickMark val="out"/>
        <c:minorTickMark val="none"/>
        <c:tickLblPos val="nextTo"/>
        <c:crossAx val="1139581440"/>
        <c:crosses val="autoZero"/>
        <c:auto val="1"/>
        <c:lblAlgn val="ctr"/>
        <c:lblOffset val="100"/>
        <c:noMultiLvlLbl val="0"/>
      </c:catAx>
      <c:valAx>
        <c:axId val="1139581440"/>
        <c:scaling>
          <c:orientation val="minMax"/>
        </c:scaling>
        <c:delete val="1"/>
        <c:axPos val="l"/>
        <c:numFmt formatCode="#,##0,,\ &quot;M&quot;" sourceLinked="0"/>
        <c:majorTickMark val="out"/>
        <c:minorTickMark val="none"/>
        <c:tickLblPos val="nextTo"/>
        <c:crossAx val="11395806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Tables!Total Views by Video Type</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Views by Video Type</a:t>
            </a:r>
          </a:p>
        </c:rich>
      </c:tx>
      <c:layout>
        <c:manualLayout>
          <c:xMode val="edge"/>
          <c:yMode val="edge"/>
          <c:x val="0.18544974525243169"/>
          <c:y val="2.478300677531589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Tables'!$A$4:$A$6</c:f>
              <c:strCache>
                <c:ptCount val="2"/>
                <c:pt idx="0">
                  <c:v>Long</c:v>
                </c:pt>
                <c:pt idx="1">
                  <c:v>Short</c:v>
                </c:pt>
              </c:strCache>
            </c:strRef>
          </c:cat>
          <c:val>
            <c:numRef>
              <c:f>'Pivot Tables'!$B$4:$B$6</c:f>
              <c:numCache>
                <c:formatCode>0</c:formatCode>
                <c:ptCount val="2"/>
                <c:pt idx="0">
                  <c:v>975151610.71691799</c:v>
                </c:pt>
                <c:pt idx="1">
                  <c:v>3833930655.358459</c:v>
                </c:pt>
              </c:numCache>
            </c:numRef>
          </c:val>
          <c:extLst>
            <c:ext xmlns:c16="http://schemas.microsoft.com/office/drawing/2014/chart" uri="{C3380CC4-5D6E-409C-BE32-E72D297353CC}">
              <c16:uniqueId val="{00000000-9F8C-4818-B749-F2AFD1D8E0FB}"/>
            </c:ext>
          </c:extLst>
        </c:ser>
        <c:dLbls>
          <c:showLegendKey val="0"/>
          <c:showVal val="0"/>
          <c:showCatName val="0"/>
          <c:showSerName val="0"/>
          <c:showPercent val="0"/>
          <c:showBubbleSize val="0"/>
        </c:dLbls>
        <c:gapWidth val="150"/>
        <c:overlap val="100"/>
        <c:axId val="831934544"/>
        <c:axId val="831936208"/>
      </c:barChart>
      <c:catAx>
        <c:axId val="8319345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936208"/>
        <c:crosses val="autoZero"/>
        <c:auto val="1"/>
        <c:lblAlgn val="ctr"/>
        <c:lblOffset val="100"/>
        <c:noMultiLvlLbl val="0"/>
      </c:catAx>
      <c:valAx>
        <c:axId val="831936208"/>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9345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Tables!Monthly Trend of Videos Published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Trend of Videos Published</a:t>
            </a:r>
            <a:endParaRPr lang="en-US" b="1"/>
          </a:p>
        </c:rich>
      </c:tx>
      <c:layout>
        <c:manualLayout>
          <c:xMode val="edge"/>
          <c:yMode val="edge"/>
          <c:x val="0.16573595800524932"/>
          <c:y val="2.850937621019390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Tables'!$B$85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 Tables'!$A$86:$A$141</c:f>
              <c:strCache>
                <c:ptCount val="55"/>
                <c:pt idx="0">
                  <c:v>2009-03</c:v>
                </c:pt>
                <c:pt idx="1">
                  <c:v>2009-04</c:v>
                </c:pt>
                <c:pt idx="2">
                  <c:v>2009-06</c:v>
                </c:pt>
                <c:pt idx="3">
                  <c:v>2016-06</c:v>
                </c:pt>
                <c:pt idx="4">
                  <c:v>2017-12</c:v>
                </c:pt>
                <c:pt idx="5">
                  <c:v>2019-01</c:v>
                </c:pt>
                <c:pt idx="6">
                  <c:v>2019-05</c:v>
                </c:pt>
                <c:pt idx="7">
                  <c:v>2020-08</c:v>
                </c:pt>
                <c:pt idx="8">
                  <c:v>2020-11</c:v>
                </c:pt>
                <c:pt idx="9">
                  <c:v>2021-04</c:v>
                </c:pt>
                <c:pt idx="10">
                  <c:v>2021-07</c:v>
                </c:pt>
                <c:pt idx="11">
                  <c:v>2021-09</c:v>
                </c:pt>
                <c:pt idx="12">
                  <c:v>2021-10</c:v>
                </c:pt>
                <c:pt idx="13">
                  <c:v>2021-11</c:v>
                </c:pt>
                <c:pt idx="14">
                  <c:v>2021-12</c:v>
                </c:pt>
                <c:pt idx="15">
                  <c:v>2022-01</c:v>
                </c:pt>
                <c:pt idx="16">
                  <c:v>2022-03</c:v>
                </c:pt>
                <c:pt idx="17">
                  <c:v>2022-04</c:v>
                </c:pt>
                <c:pt idx="18">
                  <c:v>2022-05</c:v>
                </c:pt>
                <c:pt idx="19">
                  <c:v>2022-06</c:v>
                </c:pt>
                <c:pt idx="20">
                  <c:v>2022-08</c:v>
                </c:pt>
                <c:pt idx="21">
                  <c:v>2022-09</c:v>
                </c:pt>
                <c:pt idx="22">
                  <c:v>2022-10</c:v>
                </c:pt>
                <c:pt idx="23">
                  <c:v>2022-11</c:v>
                </c:pt>
                <c:pt idx="24">
                  <c:v>2022-12</c:v>
                </c:pt>
                <c:pt idx="25">
                  <c:v>2023-01</c:v>
                </c:pt>
                <c:pt idx="26">
                  <c:v>2023-02</c:v>
                </c:pt>
                <c:pt idx="27">
                  <c:v>2023-03</c:v>
                </c:pt>
                <c:pt idx="28">
                  <c:v>2023-04</c:v>
                </c:pt>
                <c:pt idx="29">
                  <c:v>2023-05</c:v>
                </c:pt>
                <c:pt idx="30">
                  <c:v>2023-06</c:v>
                </c:pt>
                <c:pt idx="31">
                  <c:v>2023-07</c:v>
                </c:pt>
                <c:pt idx="32">
                  <c:v>2023-08</c:v>
                </c:pt>
                <c:pt idx="33">
                  <c:v>2023-09</c:v>
                </c:pt>
                <c:pt idx="34">
                  <c:v>2023-10</c:v>
                </c:pt>
                <c:pt idx="35">
                  <c:v>2023-11</c:v>
                </c:pt>
                <c:pt idx="36">
                  <c:v>2023-12</c:v>
                </c:pt>
                <c:pt idx="37">
                  <c:v>2024-01</c:v>
                </c:pt>
                <c:pt idx="38">
                  <c:v>2024-02</c:v>
                </c:pt>
                <c:pt idx="39">
                  <c:v>2024-03</c:v>
                </c:pt>
                <c:pt idx="40">
                  <c:v>2024-04</c:v>
                </c:pt>
                <c:pt idx="41">
                  <c:v>2024-05</c:v>
                </c:pt>
                <c:pt idx="42">
                  <c:v>2024-06</c:v>
                </c:pt>
                <c:pt idx="43">
                  <c:v>2024-07</c:v>
                </c:pt>
                <c:pt idx="44">
                  <c:v>2024-08</c:v>
                </c:pt>
                <c:pt idx="45">
                  <c:v>2024-09</c:v>
                </c:pt>
                <c:pt idx="46">
                  <c:v>2024-10</c:v>
                </c:pt>
                <c:pt idx="47">
                  <c:v>2024-11</c:v>
                </c:pt>
                <c:pt idx="48">
                  <c:v>2024-12</c:v>
                </c:pt>
                <c:pt idx="49">
                  <c:v>2025-01</c:v>
                </c:pt>
                <c:pt idx="50">
                  <c:v>2025-02</c:v>
                </c:pt>
                <c:pt idx="51">
                  <c:v>2025-03</c:v>
                </c:pt>
                <c:pt idx="52">
                  <c:v>2025-04</c:v>
                </c:pt>
                <c:pt idx="53">
                  <c:v>2025-05</c:v>
                </c:pt>
                <c:pt idx="54">
                  <c:v>2025-06</c:v>
                </c:pt>
              </c:strCache>
            </c:strRef>
          </c:cat>
          <c:val>
            <c:numRef>
              <c:f>'Pivot Tables'!$B$86:$B$141</c:f>
              <c:numCache>
                <c:formatCode>General</c:formatCode>
                <c:ptCount val="55"/>
                <c:pt idx="0">
                  <c:v>20393151</c:v>
                </c:pt>
                <c:pt idx="1">
                  <c:v>78152857</c:v>
                </c:pt>
                <c:pt idx="2">
                  <c:v>343758991</c:v>
                </c:pt>
                <c:pt idx="3">
                  <c:v>2149006</c:v>
                </c:pt>
                <c:pt idx="4">
                  <c:v>1494602</c:v>
                </c:pt>
                <c:pt idx="5">
                  <c:v>700546</c:v>
                </c:pt>
                <c:pt idx="6">
                  <c:v>6936331</c:v>
                </c:pt>
                <c:pt idx="7">
                  <c:v>5083502</c:v>
                </c:pt>
                <c:pt idx="8">
                  <c:v>13476785</c:v>
                </c:pt>
                <c:pt idx="9">
                  <c:v>506114</c:v>
                </c:pt>
                <c:pt idx="10">
                  <c:v>44799858</c:v>
                </c:pt>
                <c:pt idx="11">
                  <c:v>90818714</c:v>
                </c:pt>
                <c:pt idx="12">
                  <c:v>607010</c:v>
                </c:pt>
                <c:pt idx="13">
                  <c:v>20441570</c:v>
                </c:pt>
                <c:pt idx="14">
                  <c:v>19951447</c:v>
                </c:pt>
                <c:pt idx="15">
                  <c:v>3152660</c:v>
                </c:pt>
                <c:pt idx="16">
                  <c:v>16984043</c:v>
                </c:pt>
                <c:pt idx="17">
                  <c:v>344551</c:v>
                </c:pt>
                <c:pt idx="18">
                  <c:v>271308768</c:v>
                </c:pt>
                <c:pt idx="19">
                  <c:v>9149981</c:v>
                </c:pt>
                <c:pt idx="20">
                  <c:v>70668361</c:v>
                </c:pt>
                <c:pt idx="21">
                  <c:v>37502912</c:v>
                </c:pt>
                <c:pt idx="22">
                  <c:v>114826214</c:v>
                </c:pt>
                <c:pt idx="23">
                  <c:v>81856295</c:v>
                </c:pt>
                <c:pt idx="24">
                  <c:v>34327556</c:v>
                </c:pt>
                <c:pt idx="25">
                  <c:v>20397088</c:v>
                </c:pt>
                <c:pt idx="26">
                  <c:v>53853274</c:v>
                </c:pt>
                <c:pt idx="27">
                  <c:v>40368148</c:v>
                </c:pt>
                <c:pt idx="28">
                  <c:v>246955426</c:v>
                </c:pt>
                <c:pt idx="29">
                  <c:v>92769589</c:v>
                </c:pt>
                <c:pt idx="30">
                  <c:v>3202543</c:v>
                </c:pt>
                <c:pt idx="31">
                  <c:v>55839934</c:v>
                </c:pt>
                <c:pt idx="32">
                  <c:v>43055508</c:v>
                </c:pt>
                <c:pt idx="33">
                  <c:v>95380180</c:v>
                </c:pt>
                <c:pt idx="34">
                  <c:v>324714</c:v>
                </c:pt>
                <c:pt idx="35">
                  <c:v>88359562.358458966</c:v>
                </c:pt>
                <c:pt idx="36">
                  <c:v>35624672</c:v>
                </c:pt>
                <c:pt idx="37">
                  <c:v>283122147</c:v>
                </c:pt>
                <c:pt idx="38">
                  <c:v>213607398</c:v>
                </c:pt>
                <c:pt idx="39">
                  <c:v>96218825</c:v>
                </c:pt>
                <c:pt idx="40">
                  <c:v>246324887</c:v>
                </c:pt>
                <c:pt idx="41">
                  <c:v>116522607</c:v>
                </c:pt>
                <c:pt idx="42">
                  <c:v>240680750</c:v>
                </c:pt>
                <c:pt idx="43">
                  <c:v>155431740</c:v>
                </c:pt>
                <c:pt idx="44">
                  <c:v>122495580</c:v>
                </c:pt>
                <c:pt idx="45">
                  <c:v>118419513</c:v>
                </c:pt>
                <c:pt idx="46">
                  <c:v>146973558</c:v>
                </c:pt>
                <c:pt idx="47">
                  <c:v>159498528.71691793</c:v>
                </c:pt>
                <c:pt idx="48">
                  <c:v>143529383</c:v>
                </c:pt>
                <c:pt idx="49">
                  <c:v>120642109</c:v>
                </c:pt>
                <c:pt idx="50">
                  <c:v>33559077</c:v>
                </c:pt>
                <c:pt idx="51">
                  <c:v>119144228</c:v>
                </c:pt>
                <c:pt idx="52">
                  <c:v>214213947</c:v>
                </c:pt>
                <c:pt idx="53">
                  <c:v>145195081</c:v>
                </c:pt>
                <c:pt idx="54">
                  <c:v>67980444</c:v>
                </c:pt>
              </c:numCache>
            </c:numRef>
          </c:val>
          <c:smooth val="0"/>
          <c:extLst>
            <c:ext xmlns:c16="http://schemas.microsoft.com/office/drawing/2014/chart" uri="{C3380CC4-5D6E-409C-BE32-E72D297353CC}">
              <c16:uniqueId val="{00000000-CCBE-4DA4-A59D-B3D102AAF680}"/>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139580608"/>
        <c:axId val="1139581440"/>
      </c:lineChart>
      <c:catAx>
        <c:axId val="1139580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81440"/>
        <c:crosses val="autoZero"/>
        <c:auto val="1"/>
        <c:lblAlgn val="ctr"/>
        <c:lblOffset val="100"/>
        <c:noMultiLvlLbl val="0"/>
      </c:catAx>
      <c:valAx>
        <c:axId val="1139581440"/>
        <c:scaling>
          <c:orientation val="minMax"/>
        </c:scaling>
        <c:delete val="0"/>
        <c:axPos val="l"/>
        <c:numFmt formatCode="#,##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806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Tables!Likes vs Comments per Video</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Likes vs Comments per Video</a:t>
            </a:r>
          </a:p>
        </c:rich>
      </c:tx>
      <c:layout>
        <c:manualLayout>
          <c:xMode val="edge"/>
          <c:yMode val="edge"/>
          <c:x val="0.1746779404694965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7122703412073491E-2"/>
          <c:y val="0.15740740740740741"/>
          <c:w val="0.83576071741032365"/>
          <c:h val="0.58272346165062705"/>
        </c:manualLayout>
      </c:layout>
      <c:barChart>
        <c:barDir val="col"/>
        <c:grouping val="percentStacked"/>
        <c:varyColors val="0"/>
        <c:ser>
          <c:idx val="0"/>
          <c:order val="0"/>
          <c:tx>
            <c:strRef>
              <c:f>'Pivot Tables'!$B$13</c:f>
              <c:strCache>
                <c:ptCount val="1"/>
                <c:pt idx="0">
                  <c:v>Sum of like_count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Tables'!$A$14:$A$19</c:f>
              <c:strCache>
                <c:ptCount val="5"/>
                <c:pt idx="0">
                  <c:v>zFT3YuNnF6g</c:v>
                </c:pt>
                <c:pt idx="1">
                  <c:v>OcuYIlrG7ao</c:v>
                </c:pt>
                <c:pt idx="2">
                  <c:v>IPhARlUO6NA</c:v>
                </c:pt>
                <c:pt idx="3">
                  <c:v>1Nef8LPO-jo</c:v>
                </c:pt>
                <c:pt idx="4">
                  <c:v>-055GvEU7f0</c:v>
                </c:pt>
              </c:strCache>
            </c:strRef>
          </c:cat>
          <c:val>
            <c:numRef>
              <c:f>'Pivot Tables'!$B$14:$B$19</c:f>
              <c:numCache>
                <c:formatCode>General</c:formatCode>
                <c:ptCount val="5"/>
                <c:pt idx="0">
                  <c:v>3061219</c:v>
                </c:pt>
                <c:pt idx="1">
                  <c:v>2964109</c:v>
                </c:pt>
                <c:pt idx="2">
                  <c:v>4421091</c:v>
                </c:pt>
                <c:pt idx="3">
                  <c:v>4178447</c:v>
                </c:pt>
                <c:pt idx="4">
                  <c:v>4130446</c:v>
                </c:pt>
              </c:numCache>
            </c:numRef>
          </c:val>
          <c:extLst>
            <c:ext xmlns:c16="http://schemas.microsoft.com/office/drawing/2014/chart" uri="{C3380CC4-5D6E-409C-BE32-E72D297353CC}">
              <c16:uniqueId val="{00000000-085A-4924-94EA-9A013AC81800}"/>
            </c:ext>
          </c:extLst>
        </c:ser>
        <c:ser>
          <c:idx val="1"/>
          <c:order val="1"/>
          <c:tx>
            <c:strRef>
              <c:f>'Pivot Tables'!$C$13</c:f>
              <c:strCache>
                <c:ptCount val="1"/>
                <c:pt idx="0">
                  <c:v>Sum of comment_count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Tables'!$A$14:$A$19</c:f>
              <c:strCache>
                <c:ptCount val="5"/>
                <c:pt idx="0">
                  <c:v>zFT3YuNnF6g</c:v>
                </c:pt>
                <c:pt idx="1">
                  <c:v>OcuYIlrG7ao</c:v>
                </c:pt>
                <c:pt idx="2">
                  <c:v>IPhARlUO6NA</c:v>
                </c:pt>
                <c:pt idx="3">
                  <c:v>1Nef8LPO-jo</c:v>
                </c:pt>
                <c:pt idx="4">
                  <c:v>-055GvEU7f0</c:v>
                </c:pt>
              </c:strCache>
            </c:strRef>
          </c:cat>
          <c:val>
            <c:numRef>
              <c:f>'Pivot Tables'!$C$14:$C$19</c:f>
              <c:numCache>
                <c:formatCode>General</c:formatCode>
                <c:ptCount val="5"/>
                <c:pt idx="0">
                  <c:v>11926</c:v>
                </c:pt>
                <c:pt idx="1">
                  <c:v>14876</c:v>
                </c:pt>
                <c:pt idx="2">
                  <c:v>8794</c:v>
                </c:pt>
                <c:pt idx="3">
                  <c:v>6378</c:v>
                </c:pt>
                <c:pt idx="4">
                  <c:v>7065</c:v>
                </c:pt>
              </c:numCache>
            </c:numRef>
          </c:val>
          <c:extLst>
            <c:ext xmlns:c16="http://schemas.microsoft.com/office/drawing/2014/chart" uri="{C3380CC4-5D6E-409C-BE32-E72D297353CC}">
              <c16:uniqueId val="{00000001-085A-4924-94EA-9A013AC81800}"/>
            </c:ext>
          </c:extLst>
        </c:ser>
        <c:dLbls>
          <c:dLblPos val="ctr"/>
          <c:showLegendKey val="0"/>
          <c:showVal val="1"/>
          <c:showCatName val="0"/>
          <c:showSerName val="0"/>
          <c:showPercent val="0"/>
          <c:showBubbleSize val="0"/>
        </c:dLbls>
        <c:gapWidth val="150"/>
        <c:overlap val="100"/>
        <c:axId val="1013698000"/>
        <c:axId val="1013693008"/>
      </c:barChart>
      <c:catAx>
        <c:axId val="1013698000"/>
        <c:scaling>
          <c:orientation val="minMax"/>
        </c:scaling>
        <c:delete val="0"/>
        <c:axPos val="b"/>
        <c:numFmt formatCode="@"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93008"/>
        <c:crosses val="autoZero"/>
        <c:auto val="1"/>
        <c:lblAlgn val="ctr"/>
        <c:lblOffset val="100"/>
        <c:noMultiLvlLbl val="0"/>
      </c:catAx>
      <c:valAx>
        <c:axId val="101369300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98000"/>
        <c:crosses val="autoZero"/>
        <c:crossBetween val="between"/>
      </c:valAx>
      <c:spPr>
        <a:noFill/>
        <a:ln>
          <a:noFill/>
        </a:ln>
        <a:effectLst/>
      </c:spPr>
    </c:plotArea>
    <c:legend>
      <c:legendPos val="r"/>
      <c:layout>
        <c:manualLayout>
          <c:xMode val="edge"/>
          <c:yMode val="edge"/>
          <c:x val="6.6216754155730528E-2"/>
          <c:y val="0.90798556430446198"/>
          <c:w val="0.83933880139982509"/>
          <c:h val="8.21770195392242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Tables!Top 5 Most Viewed Videos</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5 Most Viewed Videos</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Tables'!$B$25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movingAvg"/>
            <c:period val="2"/>
            <c:dispRSqr val="0"/>
            <c:dispEq val="0"/>
          </c:trendline>
          <c:cat>
            <c:strRef>
              <c:f>'Pivot Tables'!$A$26:$A$31</c:f>
              <c:strCache>
                <c:ptCount val="5"/>
                <c:pt idx="0">
                  <c:v>Worlds smallest 4K headset ðŸ˜...</c:v>
                </c:pt>
                <c:pt idx="1">
                  <c:v>This is future technology 2d a...</c:v>
                </c:pt>
                <c:pt idx="2">
                  <c:v>New Science Project #shorts #s...</c:v>
                </c:pt>
                <c:pt idx="3">
                  <c:v>Free motion setup in progress ...</c:v>
                </c:pt>
                <c:pt idx="4">
                  <c:v>50 Cent - Ayo Technology (Offi...</c:v>
                </c:pt>
              </c:strCache>
            </c:strRef>
          </c:cat>
          <c:val>
            <c:numRef>
              <c:f>'Pivot Tables'!$B$26:$B$31</c:f>
              <c:numCache>
                <c:formatCode>General</c:formatCode>
                <c:ptCount val="5"/>
                <c:pt idx="0">
                  <c:v>259311517</c:v>
                </c:pt>
                <c:pt idx="1">
                  <c:v>246090760</c:v>
                </c:pt>
                <c:pt idx="2">
                  <c:v>179327926</c:v>
                </c:pt>
                <c:pt idx="3">
                  <c:v>139303650</c:v>
                </c:pt>
                <c:pt idx="4">
                  <c:v>343758991</c:v>
                </c:pt>
              </c:numCache>
            </c:numRef>
          </c:val>
          <c:extLst>
            <c:ext xmlns:c16="http://schemas.microsoft.com/office/drawing/2014/chart" uri="{C3380CC4-5D6E-409C-BE32-E72D297353CC}">
              <c16:uniqueId val="{00000000-3B4A-4B2C-9EEC-DD47F856DFCA}"/>
            </c:ext>
          </c:extLst>
        </c:ser>
        <c:dLbls>
          <c:showLegendKey val="0"/>
          <c:showVal val="0"/>
          <c:showCatName val="0"/>
          <c:showSerName val="0"/>
          <c:showPercent val="0"/>
          <c:showBubbleSize val="0"/>
        </c:dLbls>
        <c:gapWidth val="100"/>
        <c:overlap val="-24"/>
        <c:axId val="1006241440"/>
        <c:axId val="1006235200"/>
      </c:barChart>
      <c:catAx>
        <c:axId val="1006241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235200"/>
        <c:crosses val="autoZero"/>
        <c:auto val="1"/>
        <c:lblAlgn val="ctr"/>
        <c:lblOffset val="100"/>
        <c:noMultiLvlLbl val="0"/>
      </c:catAx>
      <c:valAx>
        <c:axId val="1006235200"/>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2414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Tables!Average Video Duration by Type</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Video Duration by Type</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ctr"/>
          <c:showLegendKey val="1"/>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20794912762016321"/>
              <c:y val="-0.12662942271880825"/>
            </c:manualLayout>
          </c:layout>
          <c:dLblPos val="outEnd"/>
          <c:showLegendKey val="1"/>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barChart>
        <c:barDir val="bar"/>
        <c:grouping val="clustered"/>
        <c:varyColors val="0"/>
        <c:ser>
          <c:idx val="0"/>
          <c:order val="0"/>
          <c:tx>
            <c:strRef>
              <c:f>'Pivot Tables'!$B$40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a:solidFill>
                        <a:schemeClr val="tx2">
                          <a:lumMod val="35000"/>
                          <a:lumOff val="65000"/>
                        </a:schemeClr>
                      </a:solidFill>
                    </a:ln>
                    <a:effectLst/>
                  </c:spPr>
                </c15:leaderLines>
              </c:ext>
            </c:extLst>
          </c:dLbls>
          <c:cat>
            <c:strRef>
              <c:f>'Pivot Tables'!$A$41:$A$43</c:f>
              <c:strCache>
                <c:ptCount val="2"/>
                <c:pt idx="0">
                  <c:v>Long</c:v>
                </c:pt>
                <c:pt idx="1">
                  <c:v>Short</c:v>
                </c:pt>
              </c:strCache>
            </c:strRef>
          </c:cat>
          <c:val>
            <c:numRef>
              <c:f>'Pivot Tables'!$B$41:$B$43</c:f>
              <c:numCache>
                <c:formatCode>General</c:formatCode>
                <c:ptCount val="2"/>
                <c:pt idx="0">
                  <c:v>987.15675675675675</c:v>
                </c:pt>
                <c:pt idx="1">
                  <c:v>29.598997493734334</c:v>
                </c:pt>
              </c:numCache>
            </c:numRef>
          </c:val>
          <c:extLst>
            <c:ext xmlns:c16="http://schemas.microsoft.com/office/drawing/2014/chart" uri="{C3380CC4-5D6E-409C-BE32-E72D297353CC}">
              <c16:uniqueId val="{00000000-2C28-47C7-A820-94CCC26D98A1}"/>
            </c:ext>
          </c:extLst>
        </c:ser>
        <c:dLbls>
          <c:showLegendKey val="0"/>
          <c:showVal val="0"/>
          <c:showCatName val="0"/>
          <c:showSerName val="0"/>
          <c:showPercent val="0"/>
          <c:showBubbleSize val="0"/>
        </c:dLbls>
        <c:gapWidth val="100"/>
        <c:axId val="1139583520"/>
        <c:axId val="1139577280"/>
      </c:barChart>
      <c:catAx>
        <c:axId val="11395835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9577280"/>
        <c:crosses val="autoZero"/>
        <c:auto val="1"/>
        <c:lblAlgn val="ctr"/>
        <c:lblOffset val="100"/>
        <c:noMultiLvlLbl val="0"/>
      </c:catAx>
      <c:valAx>
        <c:axId val="113957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95835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Tables!Channel Engagement vs Total Views</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t>Channel Engagement vs Total Views</a:t>
            </a:r>
          </a:p>
        </c:rich>
      </c:tx>
      <c:layout>
        <c:manualLayout>
          <c:xMode val="edge"/>
          <c:yMode val="edge"/>
          <c:x val="0.1083877285034278"/>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8.0647728221251491E-2"/>
          <c:y val="0.3104772769545539"/>
          <c:w val="0.85918143624273113"/>
          <c:h val="0.43630528861057721"/>
        </c:manualLayout>
      </c:layout>
      <c:barChart>
        <c:barDir val="bar"/>
        <c:grouping val="clustered"/>
        <c:varyColors val="0"/>
        <c:ser>
          <c:idx val="1"/>
          <c:order val="1"/>
          <c:tx>
            <c:strRef>
              <c:f>'Pivot Tables'!$C$49</c:f>
              <c:strCache>
                <c:ptCount val="1"/>
                <c:pt idx="0">
                  <c:v>Sum of view_count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Tables'!$A$50:$A$53</c:f>
              <c:strCache>
                <c:ptCount val="3"/>
                <c:pt idx="0">
                  <c:v>Pwt Tech </c:v>
                </c:pt>
                <c:pt idx="1">
                  <c:v>Mx Mobile</c:v>
                </c:pt>
                <c:pt idx="2">
                  <c:v>F4 Faiz</c:v>
                </c:pt>
              </c:strCache>
            </c:strRef>
          </c:cat>
          <c:val>
            <c:numRef>
              <c:f>'Pivot Tables'!$C$50:$C$53</c:f>
              <c:numCache>
                <c:formatCode>General</c:formatCode>
                <c:ptCount val="3"/>
                <c:pt idx="0">
                  <c:v>312</c:v>
                </c:pt>
                <c:pt idx="1">
                  <c:v>4007</c:v>
                </c:pt>
                <c:pt idx="2">
                  <c:v>1190</c:v>
                </c:pt>
              </c:numCache>
            </c:numRef>
          </c:val>
          <c:extLst>
            <c:ext xmlns:c16="http://schemas.microsoft.com/office/drawing/2014/chart" uri="{C3380CC4-5D6E-409C-BE32-E72D297353CC}">
              <c16:uniqueId val="{00000000-4732-4762-BE02-34C0273D0C41}"/>
            </c:ext>
          </c:extLst>
        </c:ser>
        <c:dLbls>
          <c:showLegendKey val="0"/>
          <c:showVal val="0"/>
          <c:showCatName val="0"/>
          <c:showSerName val="0"/>
          <c:showPercent val="0"/>
          <c:showBubbleSize val="0"/>
        </c:dLbls>
        <c:gapWidth val="219"/>
        <c:axId val="1013694672"/>
        <c:axId val="1013690512"/>
      </c:barChart>
      <c:lineChart>
        <c:grouping val="standard"/>
        <c:varyColors val="0"/>
        <c:ser>
          <c:idx val="0"/>
          <c:order val="0"/>
          <c:tx>
            <c:strRef>
              <c:f>'Pivot Tables'!$B$49</c:f>
              <c:strCache>
                <c:ptCount val="1"/>
                <c:pt idx="0">
                  <c:v>Average of engagement_rate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Tables'!$A$50:$A$53</c:f>
              <c:strCache>
                <c:ptCount val="3"/>
                <c:pt idx="0">
                  <c:v>Pwt Tech </c:v>
                </c:pt>
                <c:pt idx="1">
                  <c:v>Mx Mobile</c:v>
                </c:pt>
                <c:pt idx="2">
                  <c:v>F4 Faiz</c:v>
                </c:pt>
              </c:strCache>
            </c:strRef>
          </c:cat>
          <c:val>
            <c:numRef>
              <c:f>'Pivot Tables'!$B$50:$B$53</c:f>
              <c:numCache>
                <c:formatCode>General</c:formatCode>
                <c:ptCount val="3"/>
                <c:pt idx="0">
                  <c:v>697.00194993227569</c:v>
                </c:pt>
                <c:pt idx="1">
                  <c:v>54.762853296734406</c:v>
                </c:pt>
                <c:pt idx="2">
                  <c:v>182.74420872173951</c:v>
                </c:pt>
              </c:numCache>
            </c:numRef>
          </c:val>
          <c:smooth val="0"/>
          <c:extLst>
            <c:ext xmlns:c16="http://schemas.microsoft.com/office/drawing/2014/chart" uri="{C3380CC4-5D6E-409C-BE32-E72D297353CC}">
              <c16:uniqueId val="{00000001-4732-4762-BE02-34C0273D0C41}"/>
            </c:ext>
          </c:extLst>
        </c:ser>
        <c:dLbls>
          <c:showLegendKey val="0"/>
          <c:showVal val="0"/>
          <c:showCatName val="0"/>
          <c:showSerName val="0"/>
          <c:showPercent val="0"/>
          <c:showBubbleSize val="0"/>
        </c:dLbls>
        <c:marker val="1"/>
        <c:smooth val="0"/>
        <c:axId val="1013701328"/>
        <c:axId val="1013696336"/>
      </c:lineChart>
      <c:catAx>
        <c:axId val="1013701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96336"/>
        <c:crosses val="autoZero"/>
        <c:auto val="1"/>
        <c:lblAlgn val="ctr"/>
        <c:lblOffset val="100"/>
        <c:noMultiLvlLbl val="0"/>
      </c:catAx>
      <c:valAx>
        <c:axId val="101369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701328"/>
        <c:crosses val="autoZero"/>
        <c:crossBetween val="between"/>
      </c:valAx>
      <c:valAx>
        <c:axId val="1013690512"/>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94672"/>
        <c:crosses val="max"/>
        <c:crossBetween val="between"/>
      </c:valAx>
      <c:catAx>
        <c:axId val="1013694672"/>
        <c:scaling>
          <c:orientation val="minMax"/>
        </c:scaling>
        <c:delete val="1"/>
        <c:axPos val="l"/>
        <c:numFmt formatCode="General" sourceLinked="1"/>
        <c:majorTickMark val="none"/>
        <c:minorTickMark val="none"/>
        <c:tickLblPos val="nextTo"/>
        <c:crossAx val="1013690512"/>
        <c:crosses val="autoZero"/>
        <c:auto val="1"/>
        <c:lblAlgn val="ctr"/>
        <c:lblOffset val="100"/>
        <c:noMultiLvlLbl val="0"/>
      </c:catAx>
      <c:spPr>
        <a:noFill/>
        <a:ln>
          <a:noFill/>
        </a:ln>
        <a:effectLst/>
      </c:spPr>
    </c:plotArea>
    <c:legend>
      <c:legendPos val="r"/>
      <c:layout>
        <c:manualLayout>
          <c:xMode val="edge"/>
          <c:yMode val="edge"/>
          <c:x val="0"/>
          <c:y val="0.89111500346221806"/>
          <c:w val="0.97008388939028545"/>
          <c:h val="0.105232391694625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[youtube_data.xlsx]Pivot Tables!Video Distribution by Category</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Video Distribution by Category</a:t>
            </a:r>
            <a:endParaRPr lang="en-US"/>
          </a:p>
        </c:rich>
      </c:tx>
      <c:layout>
        <c:manualLayout>
          <c:xMode val="edge"/>
          <c:yMode val="edge"/>
          <c:x val="0.12248881933072073"/>
          <c:y val="1.30434737954557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Tables'!$B$61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F5-452A-AC9D-E57EF34410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F5-452A-AC9D-E57EF34410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F5-452A-AC9D-E57EF34410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F5-452A-AC9D-E57EF34410D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F5-452A-AC9D-E57EF34410D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F5-452A-AC9D-E57EF34410D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F5-452A-AC9D-E57EF34410D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F5-452A-AC9D-E57EF34410D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F5-452A-AC9D-E57EF34410D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F5-452A-AC9D-E57EF34410D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F5-452A-AC9D-E57EF34410D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F5-452A-AC9D-E57EF34410D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F5-452A-AC9D-E57EF34410D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F5-452A-AC9D-E57EF34410D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F5-452A-AC9D-E57EF34410D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F5-452A-AC9D-E57EF34410D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F5-452A-AC9D-E57EF34410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Tables'!$A$62:$A$79</c:f>
              <c:strCache>
                <c:ptCount val="17"/>
                <c:pt idx="0">
                  <c:v>Autos &amp; Vehicles</c:v>
                </c:pt>
                <c:pt idx="1">
                  <c:v>Comedy</c:v>
                </c:pt>
                <c:pt idx="2">
                  <c:v>Education</c:v>
                </c:pt>
                <c:pt idx="3">
                  <c:v>Entertainment</c:v>
                </c:pt>
                <c:pt idx="4">
                  <c:v>Film &amp; Animation</c:v>
                </c:pt>
                <c:pt idx="5">
                  <c:v>Gaming</c:v>
                </c:pt>
                <c:pt idx="6">
                  <c:v>Howto &amp; Style</c:v>
                </c:pt>
                <c:pt idx="7">
                  <c:v>Music</c:v>
                </c:pt>
                <c:pt idx="8">
                  <c:v>News &amp; Politics</c:v>
                </c:pt>
                <c:pt idx="9">
                  <c:v>Nonprofits &amp; Activism</c:v>
                </c:pt>
                <c:pt idx="10">
                  <c:v>People &amp; Blogs</c:v>
                </c:pt>
                <c:pt idx="11">
                  <c:v>Pets &amp; Animals</c:v>
                </c:pt>
                <c:pt idx="12">
                  <c:v>Science &amp; Technology</c:v>
                </c:pt>
                <c:pt idx="13">
                  <c:v>Sports</c:v>
                </c:pt>
                <c:pt idx="14">
                  <c:v>Travel &amp; Events</c:v>
                </c:pt>
                <c:pt idx="15">
                  <c:v>#N/A</c:v>
                </c:pt>
                <c:pt idx="16">
                  <c:v>(blank)</c:v>
                </c:pt>
              </c:strCache>
            </c:strRef>
          </c:cat>
          <c:val>
            <c:numRef>
              <c:f>'Pivot Tables'!$B$62:$B$79</c:f>
              <c:numCache>
                <c:formatCode>General</c:formatCode>
                <c:ptCount val="17"/>
                <c:pt idx="0">
                  <c:v>6</c:v>
                </c:pt>
                <c:pt idx="1">
                  <c:v>20</c:v>
                </c:pt>
                <c:pt idx="2">
                  <c:v>53</c:v>
                </c:pt>
                <c:pt idx="3">
                  <c:v>50</c:v>
                </c:pt>
                <c:pt idx="4">
                  <c:v>4</c:v>
                </c:pt>
                <c:pt idx="5">
                  <c:v>19</c:v>
                </c:pt>
                <c:pt idx="6">
                  <c:v>10</c:v>
                </c:pt>
                <c:pt idx="7">
                  <c:v>13</c:v>
                </c:pt>
                <c:pt idx="8">
                  <c:v>16</c:v>
                </c:pt>
                <c:pt idx="9">
                  <c:v>2</c:v>
                </c:pt>
                <c:pt idx="10">
                  <c:v>93</c:v>
                </c:pt>
                <c:pt idx="11">
                  <c:v>7</c:v>
                </c:pt>
                <c:pt idx="12">
                  <c:v>279</c:v>
                </c:pt>
                <c:pt idx="13">
                  <c:v>4</c:v>
                </c:pt>
                <c:pt idx="14">
                  <c:v>5</c:v>
                </c:pt>
                <c:pt idx="15">
                  <c:v>3</c:v>
                </c:pt>
              </c:numCache>
            </c:numRef>
          </c:val>
          <c:extLst>
            <c:ext xmlns:c16="http://schemas.microsoft.com/office/drawing/2014/chart" uri="{C3380CC4-5D6E-409C-BE32-E72D297353CC}">
              <c16:uniqueId val="{00000022-63F5-452A-AC9D-E57EF34410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youtube_data!A1"/><Relationship Id="rId13" Type="http://schemas.openxmlformats.org/officeDocument/2006/relationships/image" Target="../media/image3.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hyperlink" Target="#Dashboard!A1"/><Relationship Id="rId2" Type="http://schemas.openxmlformats.org/officeDocument/2006/relationships/chart" Target="../charts/chart9.xml"/><Relationship Id="rId16" Type="http://schemas.openxmlformats.org/officeDocument/2006/relationships/image" Target="../media/image5.pn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2.png"/><Relationship Id="rId5" Type="http://schemas.openxmlformats.org/officeDocument/2006/relationships/chart" Target="../charts/chart12.xml"/><Relationship Id="rId15" Type="http://schemas.openxmlformats.org/officeDocument/2006/relationships/image" Target="../media/image4.png"/><Relationship Id="rId10" Type="http://schemas.openxmlformats.org/officeDocument/2006/relationships/hyperlink" Target="mailto:nimourya00@gmail.com" TargetMode="External"/><Relationship Id="rId4" Type="http://schemas.openxmlformats.org/officeDocument/2006/relationships/chart" Target="../charts/chart11.xml"/><Relationship Id="rId9" Type="http://schemas.openxmlformats.org/officeDocument/2006/relationships/image" Target="../media/image1.png"/><Relationship Id="rId14" Type="http://schemas.openxmlformats.org/officeDocument/2006/relationships/hyperlink" Target="https://www.kaggle.com/datasets/positivealexey/youtube-channel-performance-analytics" TargetMode="External"/></Relationships>
</file>

<file path=xl/drawings/drawing1.xml><?xml version="1.0" encoding="utf-8"?>
<xdr:wsDr xmlns:xdr="http://schemas.openxmlformats.org/drawingml/2006/spreadsheetDrawing" xmlns:a="http://schemas.openxmlformats.org/drawingml/2006/main">
  <xdr:twoCellAnchor>
    <xdr:from>
      <xdr:col>2</xdr:col>
      <xdr:colOff>307975</xdr:colOff>
      <xdr:row>0</xdr:row>
      <xdr:rowOff>149225</xdr:rowOff>
    </xdr:from>
    <xdr:to>
      <xdr:col>6</xdr:col>
      <xdr:colOff>247650</xdr:colOff>
      <xdr:row>9</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101599</xdr:colOff>
      <xdr:row>10</xdr:row>
      <xdr:rowOff>41275</xdr:rowOff>
    </xdr:from>
    <xdr:to>
      <xdr:col>8</xdr:col>
      <xdr:colOff>114300</xdr:colOff>
      <xdr:row>22</xdr:row>
      <xdr:rowOff>127000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835024</xdr:colOff>
      <xdr:row>23</xdr:row>
      <xdr:rowOff>73025</xdr:rowOff>
    </xdr:from>
    <xdr:to>
      <xdr:col>7</xdr:col>
      <xdr:colOff>660400</xdr:colOff>
      <xdr:row>36</xdr:row>
      <xdr:rowOff>177800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733425</xdr:colOff>
      <xdr:row>36</xdr:row>
      <xdr:rowOff>133349</xdr:rowOff>
    </xdr:from>
    <xdr:to>
      <xdr:col>6</xdr:col>
      <xdr:colOff>825500</xdr:colOff>
      <xdr:row>45</xdr:row>
      <xdr:rowOff>180974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1019174</xdr:colOff>
      <xdr:row>45</xdr:row>
      <xdr:rowOff>111125</xdr:rowOff>
    </xdr:from>
    <xdr:to>
      <xdr:col>8</xdr:col>
      <xdr:colOff>247649</xdr:colOff>
      <xdr:row>58</xdr:row>
      <xdr:rowOff>114300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533399</xdr:colOff>
      <xdr:row>59</xdr:row>
      <xdr:rowOff>114299</xdr:rowOff>
    </xdr:from>
    <xdr:to>
      <xdr:col>6</xdr:col>
      <xdr:colOff>898524</xdr:colOff>
      <xdr:row>71</xdr:row>
      <xdr:rowOff>149224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736600</xdr:colOff>
      <xdr:row>1</xdr:row>
      <xdr:rowOff>6350</xdr:rowOff>
    </xdr:from>
    <xdr:to>
      <xdr:col>10</xdr:col>
      <xdr:colOff>57150</xdr:colOff>
      <xdr:row>14</xdr:row>
      <xdr:rowOff>136525</xdr:rowOff>
    </xdr:to>
    <mc:AlternateContent xmlns:mc="http://schemas.openxmlformats.org/markup-compatibility/2006" xmlns:a14="http://schemas.microsoft.com/office/drawing/2010/main">
      <mc:Choice Requires="a14">
        <xdr:graphicFrame macro="">
          <xdr:nvGraphicFramePr>
            <xdr:cNvPr id="8" name="category_name"/>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10245725" y="196850"/>
              <a:ext cx="1828800" cy="2606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101600</xdr:colOff>
      <xdr:row>0</xdr:row>
      <xdr:rowOff>12700</xdr:rowOff>
    </xdr:from>
    <xdr:to>
      <xdr:col>14</xdr:col>
      <xdr:colOff>177800</xdr:colOff>
      <xdr:row>13</xdr:row>
      <xdr:rowOff>142875</xdr:rowOff>
    </xdr:to>
    <mc:AlternateContent xmlns:mc="http://schemas.openxmlformats.org/markup-compatibility/2006" xmlns:a14="http://schemas.microsoft.com/office/drawing/2010/main">
      <mc:Choice Requires="a14">
        <xdr:graphicFrame macro="">
          <xdr:nvGraphicFramePr>
            <xdr:cNvPr id="9" name="video_type"/>
            <xdr:cNvGraphicFramePr/>
          </xdr:nvGraphicFramePr>
          <xdr:xfrm>
            <a:off x="0" y="0"/>
            <a:ext cx="0" cy="0"/>
          </xdr:xfrm>
          <a:graphic>
            <a:graphicData uri="http://schemas.microsoft.com/office/drawing/2010/slicer">
              <sle:slicer xmlns:sle="http://schemas.microsoft.com/office/drawing/2010/slicer" name="video_type"/>
            </a:graphicData>
          </a:graphic>
        </xdr:graphicFrame>
      </mc:Choice>
      <mc:Fallback xmlns="">
        <xdr:sp macro="" textlink="">
          <xdr:nvSpPr>
            <xdr:cNvPr id="0" name=""/>
            <xdr:cNvSpPr>
              <a:spLocks noTextEdit="1"/>
            </xdr:cNvSpPr>
          </xdr:nvSpPr>
          <xdr:spPr>
            <a:xfrm>
              <a:off x="13833475" y="12700"/>
              <a:ext cx="1838325" cy="2606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250825</xdr:colOff>
      <xdr:row>78</xdr:row>
      <xdr:rowOff>168275</xdr:rowOff>
    </xdr:from>
    <xdr:to>
      <xdr:col>7</xdr:col>
      <xdr:colOff>66675</xdr:colOff>
      <xdr:row>93</xdr:row>
      <xdr:rowOff>149225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882650</xdr:colOff>
      <xdr:row>0</xdr:row>
      <xdr:rowOff>0</xdr:rowOff>
    </xdr:from>
    <xdr:to>
      <xdr:col>12</xdr:col>
      <xdr:colOff>114300</xdr:colOff>
      <xdr:row>13</xdr:row>
      <xdr:rowOff>130175</xdr:rowOff>
    </xdr:to>
    <mc:AlternateContent xmlns:mc="http://schemas.openxmlformats.org/markup-compatibility/2006" xmlns:a14="http://schemas.microsoft.com/office/drawing/2010/main">
      <mc:Choice Requires="a14">
        <xdr:graphicFrame macro="">
          <xdr:nvGraphicFramePr>
            <xdr:cNvPr id="11" name="Year_Month"/>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mlns="">
        <xdr:sp macro="" textlink="">
          <xdr:nvSpPr>
            <xdr:cNvPr id="0" name=""/>
            <xdr:cNvSpPr>
              <a:spLocks noTextEdit="1"/>
            </xdr:cNvSpPr>
          </xdr:nvSpPr>
          <xdr:spPr>
            <a:xfrm>
              <a:off x="12011025" y="0"/>
              <a:ext cx="1835150" cy="2606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52917</xdr:colOff>
      <xdr:row>0</xdr:row>
      <xdr:rowOff>84667</xdr:rowOff>
    </xdr:from>
    <xdr:to>
      <xdr:col>22</xdr:col>
      <xdr:colOff>518584</xdr:colOff>
      <xdr:row>36</xdr:row>
      <xdr:rowOff>127000</xdr:rowOff>
    </xdr:to>
    <xdr:sp macro="" textlink="">
      <xdr:nvSpPr>
        <xdr:cNvPr id="2" name="Rounded Rectangle 1"/>
        <xdr:cNvSpPr/>
      </xdr:nvSpPr>
      <xdr:spPr>
        <a:xfrm>
          <a:off x="52917" y="84667"/>
          <a:ext cx="13970000" cy="6519333"/>
        </a:xfrm>
        <a:prstGeom prst="roundRect">
          <a:avLst>
            <a:gd name="adj" fmla="val 3673"/>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201083</xdr:colOff>
      <xdr:row>0</xdr:row>
      <xdr:rowOff>148166</xdr:rowOff>
    </xdr:from>
    <xdr:to>
      <xdr:col>16</xdr:col>
      <xdr:colOff>349250</xdr:colOff>
      <xdr:row>4</xdr:row>
      <xdr:rowOff>95250</xdr:rowOff>
    </xdr:to>
    <xdr:sp macro="" textlink="">
      <xdr:nvSpPr>
        <xdr:cNvPr id="3" name="Rounded Rectangle 2"/>
        <xdr:cNvSpPr/>
      </xdr:nvSpPr>
      <xdr:spPr>
        <a:xfrm>
          <a:off x="201083" y="148166"/>
          <a:ext cx="9969500" cy="666751"/>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402167</xdr:colOff>
      <xdr:row>1</xdr:row>
      <xdr:rowOff>1</xdr:rowOff>
    </xdr:from>
    <xdr:to>
      <xdr:col>12</xdr:col>
      <xdr:colOff>201084</xdr:colOff>
      <xdr:row>4</xdr:row>
      <xdr:rowOff>31750</xdr:rowOff>
    </xdr:to>
    <xdr:sp macro="" textlink="">
      <xdr:nvSpPr>
        <xdr:cNvPr id="4" name="TextBox 3"/>
        <xdr:cNvSpPr txBox="1"/>
      </xdr:nvSpPr>
      <xdr:spPr>
        <a:xfrm>
          <a:off x="1016000" y="179918"/>
          <a:ext cx="6551084"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YouTube Channel Performance Dashboard</a:t>
          </a:r>
        </a:p>
      </xdr:txBody>
    </xdr:sp>
    <xdr:clientData/>
  </xdr:twoCellAnchor>
  <xdr:twoCellAnchor editAs="oneCell">
    <xdr:from>
      <xdr:col>19</xdr:col>
      <xdr:colOff>476251</xdr:colOff>
      <xdr:row>0</xdr:row>
      <xdr:rowOff>169334</xdr:rowOff>
    </xdr:from>
    <xdr:to>
      <xdr:col>22</xdr:col>
      <xdr:colOff>463551</xdr:colOff>
      <xdr:row>22</xdr:row>
      <xdr:rowOff>0</xdr:rowOff>
    </xdr:to>
    <mc:AlternateContent xmlns:mc="http://schemas.openxmlformats.org/markup-compatibility/2006" xmlns:a14="http://schemas.microsoft.com/office/drawing/2010/main">
      <mc:Choice Requires="a14">
        <xdr:graphicFrame macro="">
          <xdr:nvGraphicFramePr>
            <xdr:cNvPr id="5" name="category_name 1"/>
            <xdr:cNvGraphicFramePr>
              <a:graphicFrameLocks/>
            </xdr:cNvGraphicFramePr>
          </xdr:nvGraphicFramePr>
          <xdr:xfrm>
            <a:off x="0" y="0"/>
            <a:ext cx="0" cy="0"/>
          </xdr:xfrm>
          <a:graphic>
            <a:graphicData uri="http://schemas.microsoft.com/office/drawing/2010/slicer">
              <sle:slicer xmlns:sle="http://schemas.microsoft.com/office/drawing/2010/slicer" name="category_name 1"/>
            </a:graphicData>
          </a:graphic>
        </xdr:graphicFrame>
      </mc:Choice>
      <mc:Fallback xmlns="">
        <xdr:sp macro="" textlink="">
          <xdr:nvSpPr>
            <xdr:cNvPr id="0" name=""/>
            <xdr:cNvSpPr>
              <a:spLocks noTextEdit="1"/>
            </xdr:cNvSpPr>
          </xdr:nvSpPr>
          <xdr:spPr>
            <a:xfrm>
              <a:off x="12139084" y="169334"/>
              <a:ext cx="1828800" cy="3788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448734</xdr:colOff>
      <xdr:row>0</xdr:row>
      <xdr:rowOff>160868</xdr:rowOff>
    </xdr:from>
    <xdr:to>
      <xdr:col>19</xdr:col>
      <xdr:colOff>436034</xdr:colOff>
      <xdr:row>4</xdr:row>
      <xdr:rowOff>116416</xdr:rowOff>
    </xdr:to>
    <mc:AlternateContent xmlns:mc="http://schemas.openxmlformats.org/markup-compatibility/2006" xmlns:a14="http://schemas.microsoft.com/office/drawing/2010/main">
      <mc:Choice Requires="a14">
        <xdr:graphicFrame macro="">
          <xdr:nvGraphicFramePr>
            <xdr:cNvPr id="6" name="video_type 1"/>
            <xdr:cNvGraphicFramePr/>
          </xdr:nvGraphicFramePr>
          <xdr:xfrm>
            <a:off x="0" y="0"/>
            <a:ext cx="0" cy="0"/>
          </xdr:xfrm>
          <a:graphic>
            <a:graphicData uri="http://schemas.microsoft.com/office/drawing/2010/slicer">
              <sle:slicer xmlns:sle="http://schemas.microsoft.com/office/drawing/2010/slicer" name="video_type 1"/>
            </a:graphicData>
          </a:graphic>
        </xdr:graphicFrame>
      </mc:Choice>
      <mc:Fallback xmlns="">
        <xdr:sp macro="" textlink="">
          <xdr:nvSpPr>
            <xdr:cNvPr id="0" name=""/>
            <xdr:cNvSpPr>
              <a:spLocks noTextEdit="1"/>
            </xdr:cNvSpPr>
          </xdr:nvSpPr>
          <xdr:spPr>
            <a:xfrm>
              <a:off x="10270067" y="160868"/>
              <a:ext cx="1828800" cy="675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476251</xdr:colOff>
      <xdr:row>22</xdr:row>
      <xdr:rowOff>74083</xdr:rowOff>
    </xdr:from>
    <xdr:to>
      <xdr:col>22</xdr:col>
      <xdr:colOff>463551</xdr:colOff>
      <xdr:row>36</xdr:row>
      <xdr:rowOff>79375</xdr:rowOff>
    </xdr:to>
    <mc:AlternateContent xmlns:mc="http://schemas.openxmlformats.org/markup-compatibility/2006" xmlns:a14="http://schemas.microsoft.com/office/drawing/2010/main">
      <mc:Choice Requires="a14">
        <xdr:graphicFrame macro="">
          <xdr:nvGraphicFramePr>
            <xdr:cNvPr id="7" name="Year_Month 1"/>
            <xdr:cNvGraphicFramePr/>
          </xdr:nvGraphicFramePr>
          <xdr:xfrm>
            <a:off x="0" y="0"/>
            <a:ext cx="0" cy="0"/>
          </xdr:xfrm>
          <a:graphic>
            <a:graphicData uri="http://schemas.microsoft.com/office/drawing/2010/slicer">
              <sle:slicer xmlns:sle="http://schemas.microsoft.com/office/drawing/2010/slicer" name="Year_Month 1"/>
            </a:graphicData>
          </a:graphic>
        </xdr:graphicFrame>
      </mc:Choice>
      <mc:Fallback xmlns="">
        <xdr:sp macro="" textlink="">
          <xdr:nvSpPr>
            <xdr:cNvPr id="0" name=""/>
            <xdr:cNvSpPr>
              <a:spLocks noTextEdit="1"/>
            </xdr:cNvSpPr>
          </xdr:nvSpPr>
          <xdr:spPr>
            <a:xfrm>
              <a:off x="12139084" y="4032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179916</xdr:colOff>
      <xdr:row>4</xdr:row>
      <xdr:rowOff>169333</xdr:rowOff>
    </xdr:from>
    <xdr:to>
      <xdr:col>2</xdr:col>
      <xdr:colOff>84666</xdr:colOff>
      <xdr:row>36</xdr:row>
      <xdr:rowOff>74083</xdr:rowOff>
    </xdr:to>
    <xdr:sp macro="" textlink="">
      <xdr:nvSpPr>
        <xdr:cNvPr id="8" name="Rounded Rectangle 7"/>
        <xdr:cNvSpPr/>
      </xdr:nvSpPr>
      <xdr:spPr>
        <a:xfrm>
          <a:off x="179916" y="889000"/>
          <a:ext cx="1132417" cy="566208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529162</xdr:colOff>
      <xdr:row>11</xdr:row>
      <xdr:rowOff>31751</xdr:rowOff>
    </xdr:from>
    <xdr:to>
      <xdr:col>12</xdr:col>
      <xdr:colOff>451904</xdr:colOff>
      <xdr:row>27</xdr:row>
      <xdr:rowOff>87846</xdr:rowOff>
    </xdr:to>
    <xdr:sp macro="" textlink="">
      <xdr:nvSpPr>
        <xdr:cNvPr id="20" name="Rounded Rectangle 19"/>
        <xdr:cNvSpPr/>
      </xdr:nvSpPr>
      <xdr:spPr>
        <a:xfrm rot="5400000">
          <a:off x="5161486" y="2289177"/>
          <a:ext cx="2934762" cy="2378075"/>
        </a:xfrm>
        <a:prstGeom prst="roundRect">
          <a:avLst>
            <a:gd name="adj" fmla="val 1058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xdr:colOff>
      <xdr:row>11</xdr:row>
      <xdr:rowOff>116418</xdr:rowOff>
    </xdr:from>
    <xdr:to>
      <xdr:col>12</xdr:col>
      <xdr:colOff>317501</xdr:colOff>
      <xdr:row>26</xdr:row>
      <xdr:rowOff>148168</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135466</xdr:colOff>
      <xdr:row>23</xdr:row>
      <xdr:rowOff>95250</xdr:rowOff>
    </xdr:from>
    <xdr:to>
      <xdr:col>8</xdr:col>
      <xdr:colOff>455083</xdr:colOff>
      <xdr:row>36</xdr:row>
      <xdr:rowOff>95249</xdr:rowOff>
    </xdr:to>
    <xdr:sp macro="" textlink="">
      <xdr:nvSpPr>
        <xdr:cNvPr id="22" name="Rounded Rectangle 21"/>
        <xdr:cNvSpPr/>
      </xdr:nvSpPr>
      <xdr:spPr>
        <a:xfrm>
          <a:off x="1363133" y="4233333"/>
          <a:ext cx="4002617" cy="2338916"/>
        </a:xfrm>
        <a:prstGeom prst="roundRect">
          <a:avLst>
            <a:gd name="adj" fmla="val 664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232833</xdr:colOff>
      <xdr:row>24</xdr:row>
      <xdr:rowOff>0</xdr:rowOff>
    </xdr:from>
    <xdr:to>
      <xdr:col>8</xdr:col>
      <xdr:colOff>359833</xdr:colOff>
      <xdr:row>35</xdr:row>
      <xdr:rowOff>169333</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516465</xdr:colOff>
      <xdr:row>5</xdr:row>
      <xdr:rowOff>1</xdr:rowOff>
    </xdr:from>
    <xdr:to>
      <xdr:col>19</xdr:col>
      <xdr:colOff>427566</xdr:colOff>
      <xdr:row>16</xdr:row>
      <xdr:rowOff>1</xdr:rowOff>
    </xdr:to>
    <xdr:sp macro="" textlink="">
      <xdr:nvSpPr>
        <xdr:cNvPr id="24" name="Rounded Rectangle 23"/>
        <xdr:cNvSpPr/>
      </xdr:nvSpPr>
      <xdr:spPr>
        <a:xfrm>
          <a:off x="7882465" y="899584"/>
          <a:ext cx="4207934" cy="1979084"/>
        </a:xfrm>
        <a:prstGeom prst="roundRect">
          <a:avLst>
            <a:gd name="adj" fmla="val 1058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42334</xdr:colOff>
      <xdr:row>5</xdr:row>
      <xdr:rowOff>42334</xdr:rowOff>
    </xdr:from>
    <xdr:to>
      <xdr:col>19</xdr:col>
      <xdr:colOff>455083</xdr:colOff>
      <xdr:row>15</xdr:row>
      <xdr:rowOff>95250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520699</xdr:colOff>
      <xdr:row>16</xdr:row>
      <xdr:rowOff>42333</xdr:rowOff>
    </xdr:from>
    <xdr:to>
      <xdr:col>19</xdr:col>
      <xdr:colOff>431800</xdr:colOff>
      <xdr:row>27</xdr:row>
      <xdr:rowOff>95250</xdr:rowOff>
    </xdr:to>
    <xdr:sp macro="" textlink="">
      <xdr:nvSpPr>
        <xdr:cNvPr id="26" name="Rounded Rectangle 25"/>
        <xdr:cNvSpPr/>
      </xdr:nvSpPr>
      <xdr:spPr>
        <a:xfrm>
          <a:off x="7886699" y="2921000"/>
          <a:ext cx="4207934" cy="2032000"/>
        </a:xfrm>
        <a:prstGeom prst="roundRect">
          <a:avLst>
            <a:gd name="adj" fmla="val 1058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67732</xdr:colOff>
      <xdr:row>17</xdr:row>
      <xdr:rowOff>8470</xdr:rowOff>
    </xdr:from>
    <xdr:to>
      <xdr:col>19</xdr:col>
      <xdr:colOff>380999</xdr:colOff>
      <xdr:row>27</xdr:row>
      <xdr:rowOff>31751</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275165</xdr:colOff>
      <xdr:row>27</xdr:row>
      <xdr:rowOff>141816</xdr:rowOff>
    </xdr:from>
    <xdr:to>
      <xdr:col>19</xdr:col>
      <xdr:colOff>412750</xdr:colOff>
      <xdr:row>36</xdr:row>
      <xdr:rowOff>42333</xdr:rowOff>
    </xdr:to>
    <xdr:sp macro="" textlink="">
      <xdr:nvSpPr>
        <xdr:cNvPr id="28" name="Rounded Rectangle 27"/>
        <xdr:cNvSpPr/>
      </xdr:nvSpPr>
      <xdr:spPr>
        <a:xfrm>
          <a:off x="8868832" y="4999566"/>
          <a:ext cx="3206751" cy="1519767"/>
        </a:xfrm>
        <a:prstGeom prst="roundRect">
          <a:avLst>
            <a:gd name="adj" fmla="val 1058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328083</xdr:colOff>
      <xdr:row>27</xdr:row>
      <xdr:rowOff>152401</xdr:rowOff>
    </xdr:from>
    <xdr:to>
      <xdr:col>19</xdr:col>
      <xdr:colOff>359834</xdr:colOff>
      <xdr:row>35</xdr:row>
      <xdr:rowOff>116418</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518584</xdr:colOff>
      <xdr:row>27</xdr:row>
      <xdr:rowOff>135466</xdr:rowOff>
    </xdr:from>
    <xdr:to>
      <xdr:col>14</xdr:col>
      <xdr:colOff>215900</xdr:colOff>
      <xdr:row>36</xdr:row>
      <xdr:rowOff>35983</xdr:rowOff>
    </xdr:to>
    <xdr:sp macro="" textlink="">
      <xdr:nvSpPr>
        <xdr:cNvPr id="30" name="Rounded Rectangle 29"/>
        <xdr:cNvSpPr/>
      </xdr:nvSpPr>
      <xdr:spPr>
        <a:xfrm>
          <a:off x="5429251" y="4993216"/>
          <a:ext cx="3380316" cy="1519767"/>
        </a:xfrm>
        <a:prstGeom prst="roundRect">
          <a:avLst>
            <a:gd name="adj" fmla="val 1058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27</xdr:row>
      <xdr:rowOff>148168</xdr:rowOff>
    </xdr:from>
    <xdr:to>
      <xdr:col>14</xdr:col>
      <xdr:colOff>116416</xdr:colOff>
      <xdr:row>35</xdr:row>
      <xdr:rowOff>127001</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150283</xdr:colOff>
      <xdr:row>11</xdr:row>
      <xdr:rowOff>31750</xdr:rowOff>
    </xdr:from>
    <xdr:to>
      <xdr:col>8</xdr:col>
      <xdr:colOff>469900</xdr:colOff>
      <xdr:row>23</xdr:row>
      <xdr:rowOff>10584</xdr:rowOff>
    </xdr:to>
    <xdr:sp macro="" textlink="">
      <xdr:nvSpPr>
        <xdr:cNvPr id="32" name="Rounded Rectangle 31"/>
        <xdr:cNvSpPr/>
      </xdr:nvSpPr>
      <xdr:spPr>
        <a:xfrm>
          <a:off x="1377950" y="2010833"/>
          <a:ext cx="4002617" cy="2137834"/>
        </a:xfrm>
        <a:prstGeom prst="roundRect">
          <a:avLst>
            <a:gd name="adj" fmla="val 664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275167</xdr:colOff>
      <xdr:row>11</xdr:row>
      <xdr:rowOff>84667</xdr:rowOff>
    </xdr:from>
    <xdr:to>
      <xdr:col>8</xdr:col>
      <xdr:colOff>423333</xdr:colOff>
      <xdr:row>22</xdr:row>
      <xdr:rowOff>52917</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275167</xdr:colOff>
      <xdr:row>1</xdr:row>
      <xdr:rowOff>84666</xdr:rowOff>
    </xdr:from>
    <xdr:to>
      <xdr:col>15</xdr:col>
      <xdr:colOff>74083</xdr:colOff>
      <xdr:row>3</xdr:row>
      <xdr:rowOff>169334</xdr:rowOff>
    </xdr:to>
    <xdr:sp macro="" textlink="">
      <xdr:nvSpPr>
        <xdr:cNvPr id="34" name="TextBox 33"/>
        <xdr:cNvSpPr txBox="1"/>
      </xdr:nvSpPr>
      <xdr:spPr>
        <a:xfrm>
          <a:off x="7641167" y="264583"/>
          <a:ext cx="1640416" cy="444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solidFill>
            </a:rPr>
            <a:t>Total Videos:</a:t>
          </a:r>
        </a:p>
      </xdr:txBody>
    </xdr:sp>
    <xdr:clientData/>
  </xdr:twoCellAnchor>
  <xdr:twoCellAnchor>
    <xdr:from>
      <xdr:col>14</xdr:col>
      <xdr:colOff>539750</xdr:colOff>
      <xdr:row>1</xdr:row>
      <xdr:rowOff>31750</xdr:rowOff>
    </xdr:from>
    <xdr:to>
      <xdr:col>16</xdr:col>
      <xdr:colOff>105834</xdr:colOff>
      <xdr:row>4</xdr:row>
      <xdr:rowOff>10583</xdr:rowOff>
    </xdr:to>
    <xdr:sp macro="" textlink="youtube_data!A587">
      <xdr:nvSpPr>
        <xdr:cNvPr id="35" name="TextBox 34"/>
        <xdr:cNvSpPr txBox="1"/>
      </xdr:nvSpPr>
      <xdr:spPr>
        <a:xfrm>
          <a:off x="9133417" y="211667"/>
          <a:ext cx="7937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779B8-3B72-4D80-A6B0-C8DE29158A61}" type="TxLink">
            <a:rPr lang="en-US" sz="2800" b="1" i="0" u="none" strike="noStrike">
              <a:solidFill>
                <a:srgbClr val="000000"/>
              </a:solidFill>
              <a:latin typeface="Calibri"/>
              <a:ea typeface="Calibri"/>
              <a:cs typeface="Calibri"/>
            </a:rPr>
            <a:pPr/>
            <a:t>584</a:t>
          </a:fld>
          <a:endParaRPr lang="en-IN" sz="2800" b="1"/>
        </a:p>
      </xdr:txBody>
    </xdr:sp>
    <xdr:clientData/>
  </xdr:twoCellAnchor>
  <xdr:twoCellAnchor>
    <xdr:from>
      <xdr:col>2</xdr:col>
      <xdr:colOff>141814</xdr:colOff>
      <xdr:row>4</xdr:row>
      <xdr:rowOff>177801</xdr:rowOff>
    </xdr:from>
    <xdr:to>
      <xdr:col>4</xdr:col>
      <xdr:colOff>426148</xdr:colOff>
      <xdr:row>10</xdr:row>
      <xdr:rowOff>141817</xdr:rowOff>
    </xdr:to>
    <xdr:sp macro="" textlink="">
      <xdr:nvSpPr>
        <xdr:cNvPr id="36" name="Rounded Rectangle 35"/>
        <xdr:cNvSpPr/>
      </xdr:nvSpPr>
      <xdr:spPr>
        <a:xfrm>
          <a:off x="1369481" y="897468"/>
          <a:ext cx="1512000" cy="104351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565413</xdr:colOff>
      <xdr:row>4</xdr:row>
      <xdr:rowOff>177801</xdr:rowOff>
    </xdr:from>
    <xdr:to>
      <xdr:col>7</xdr:col>
      <xdr:colOff>235913</xdr:colOff>
      <xdr:row>10</xdr:row>
      <xdr:rowOff>141817</xdr:rowOff>
    </xdr:to>
    <xdr:sp macro="" textlink="">
      <xdr:nvSpPr>
        <xdr:cNvPr id="37" name="Rounded Rectangle 36"/>
        <xdr:cNvSpPr/>
      </xdr:nvSpPr>
      <xdr:spPr>
        <a:xfrm>
          <a:off x="3020746" y="897468"/>
          <a:ext cx="1512000" cy="104351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359833</xdr:colOff>
      <xdr:row>5</xdr:row>
      <xdr:rowOff>137583</xdr:rowOff>
    </xdr:from>
    <xdr:to>
      <xdr:col>4</xdr:col>
      <xdr:colOff>190501</xdr:colOff>
      <xdr:row>7</xdr:row>
      <xdr:rowOff>52916</xdr:rowOff>
    </xdr:to>
    <xdr:sp macro="" textlink="">
      <xdr:nvSpPr>
        <xdr:cNvPr id="45" name="TextBox 44"/>
        <xdr:cNvSpPr txBox="1"/>
      </xdr:nvSpPr>
      <xdr:spPr>
        <a:xfrm>
          <a:off x="1587500" y="1037166"/>
          <a:ext cx="1058334"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Total</a:t>
          </a:r>
          <a:r>
            <a:rPr lang="en-IN" sz="1400" b="1"/>
            <a:t> </a:t>
          </a:r>
          <a:r>
            <a:rPr lang="en-IN" sz="1400" b="1">
              <a:solidFill>
                <a:schemeClr val="accent1"/>
              </a:solidFill>
            </a:rPr>
            <a:t>Views</a:t>
          </a:r>
        </a:p>
      </xdr:txBody>
    </xdr:sp>
    <xdr:clientData/>
  </xdr:twoCellAnchor>
  <xdr:twoCellAnchor>
    <xdr:from>
      <xdr:col>2</xdr:col>
      <xdr:colOff>253998</xdr:colOff>
      <xdr:row>7</xdr:row>
      <xdr:rowOff>169329</xdr:rowOff>
    </xdr:from>
    <xdr:to>
      <xdr:col>4</xdr:col>
      <xdr:colOff>402165</xdr:colOff>
      <xdr:row>10</xdr:row>
      <xdr:rowOff>137579</xdr:rowOff>
    </xdr:to>
    <xdr:sp macro="" textlink="youtube_data!O587">
      <xdr:nvSpPr>
        <xdr:cNvPr id="46" name="TextBox 45"/>
        <xdr:cNvSpPr txBox="1"/>
      </xdr:nvSpPr>
      <xdr:spPr>
        <a:xfrm>
          <a:off x="1481665" y="1428746"/>
          <a:ext cx="1375833"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62699F-C73A-49EE-8E81-2D2C24D5821A}" type="TxLink">
            <a:rPr lang="en-US" sz="2000" b="1" i="0" u="none" strike="noStrike">
              <a:solidFill>
                <a:srgbClr val="000000"/>
              </a:solidFill>
              <a:latin typeface="Calibri"/>
              <a:ea typeface="Calibri"/>
              <a:cs typeface="Calibri"/>
            </a:rPr>
            <a:pPr marL="0" indent="0"/>
            <a:t>4809.1 M</a:t>
          </a:fld>
          <a:endParaRPr lang="en-IN" sz="2000" b="1" i="0" u="none" strike="noStrike">
            <a:solidFill>
              <a:srgbClr val="000000"/>
            </a:solidFill>
            <a:latin typeface="Calibri"/>
            <a:ea typeface="Calibri"/>
            <a:cs typeface="Calibri"/>
          </a:endParaRPr>
        </a:p>
      </xdr:txBody>
    </xdr:sp>
    <xdr:clientData/>
  </xdr:twoCellAnchor>
  <xdr:twoCellAnchor>
    <xdr:from>
      <xdr:col>5</xdr:col>
      <xdr:colOff>214574</xdr:colOff>
      <xdr:row>5</xdr:row>
      <xdr:rowOff>141818</xdr:rowOff>
    </xdr:from>
    <xdr:to>
      <xdr:col>7</xdr:col>
      <xdr:colOff>31750</xdr:colOff>
      <xdr:row>7</xdr:row>
      <xdr:rowOff>116416</xdr:rowOff>
    </xdr:to>
    <xdr:sp macro="" textlink="">
      <xdr:nvSpPr>
        <xdr:cNvPr id="47" name="TextBox 46"/>
        <xdr:cNvSpPr txBox="1"/>
      </xdr:nvSpPr>
      <xdr:spPr>
        <a:xfrm>
          <a:off x="3283741" y="1041401"/>
          <a:ext cx="1044842" cy="334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Total</a:t>
          </a:r>
          <a:r>
            <a:rPr lang="en-IN" sz="1400" b="1"/>
            <a:t> </a:t>
          </a:r>
          <a:r>
            <a:rPr lang="en-IN" sz="1400" b="1">
              <a:solidFill>
                <a:schemeClr val="accent1"/>
              </a:solidFill>
            </a:rPr>
            <a:t>Likes</a:t>
          </a:r>
        </a:p>
      </xdr:txBody>
    </xdr:sp>
    <xdr:clientData/>
  </xdr:twoCellAnchor>
  <xdr:twoCellAnchor>
    <xdr:from>
      <xdr:col>5</xdr:col>
      <xdr:colOff>129906</xdr:colOff>
      <xdr:row>7</xdr:row>
      <xdr:rowOff>179914</xdr:rowOff>
    </xdr:from>
    <xdr:to>
      <xdr:col>7</xdr:col>
      <xdr:colOff>285748</xdr:colOff>
      <xdr:row>9</xdr:row>
      <xdr:rowOff>169331</xdr:rowOff>
    </xdr:to>
    <xdr:sp macro="" textlink="youtube_data!P587">
      <xdr:nvSpPr>
        <xdr:cNvPr id="48" name="TextBox 47"/>
        <xdr:cNvSpPr txBox="1"/>
      </xdr:nvSpPr>
      <xdr:spPr>
        <a:xfrm>
          <a:off x="3199073" y="1439331"/>
          <a:ext cx="1383508"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9D34F1-0680-4E7B-9ECA-EBF69488BE5C}" type="TxLink">
            <a:rPr lang="en-US" sz="2000" b="1" i="0" u="none" strike="noStrike">
              <a:solidFill>
                <a:srgbClr val="000000"/>
              </a:solidFill>
              <a:latin typeface="Calibri"/>
              <a:ea typeface="Calibri"/>
              <a:cs typeface="Calibri"/>
            </a:rPr>
            <a:pPr marL="0" indent="0"/>
            <a:t>128.8 M</a:t>
          </a:fld>
          <a:endParaRPr lang="en-IN" sz="2000" b="1" i="0" u="none" strike="noStrike">
            <a:solidFill>
              <a:srgbClr val="000000"/>
            </a:solidFill>
            <a:latin typeface="Calibri"/>
            <a:ea typeface="Calibri"/>
            <a:cs typeface="Calibri"/>
          </a:endParaRPr>
        </a:p>
      </xdr:txBody>
    </xdr:sp>
    <xdr:clientData/>
  </xdr:twoCellAnchor>
  <xdr:twoCellAnchor>
    <xdr:from>
      <xdr:col>7</xdr:col>
      <xdr:colOff>325965</xdr:colOff>
      <xdr:row>4</xdr:row>
      <xdr:rowOff>171451</xdr:rowOff>
    </xdr:from>
    <xdr:to>
      <xdr:col>9</xdr:col>
      <xdr:colOff>610298</xdr:colOff>
      <xdr:row>10</xdr:row>
      <xdr:rowOff>135467</xdr:rowOff>
    </xdr:to>
    <xdr:sp macro="" textlink="">
      <xdr:nvSpPr>
        <xdr:cNvPr id="39" name="Rounded Rectangle 38"/>
        <xdr:cNvSpPr/>
      </xdr:nvSpPr>
      <xdr:spPr>
        <a:xfrm>
          <a:off x="4622798" y="891118"/>
          <a:ext cx="1512000" cy="104351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423333</xdr:colOff>
      <xdr:row>5</xdr:row>
      <xdr:rowOff>152400</xdr:rowOff>
    </xdr:from>
    <xdr:to>
      <xdr:col>9</xdr:col>
      <xdr:colOff>480484</xdr:colOff>
      <xdr:row>7</xdr:row>
      <xdr:rowOff>74083</xdr:rowOff>
    </xdr:to>
    <xdr:sp macro="" textlink="">
      <xdr:nvSpPr>
        <xdr:cNvPr id="40" name="TextBox 39"/>
        <xdr:cNvSpPr txBox="1"/>
      </xdr:nvSpPr>
      <xdr:spPr>
        <a:xfrm>
          <a:off x="4720166" y="1051983"/>
          <a:ext cx="1284818" cy="281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Total</a:t>
          </a:r>
          <a:r>
            <a:rPr lang="en-IN" sz="1400" b="1"/>
            <a:t> </a:t>
          </a:r>
          <a:r>
            <a:rPr lang="en-IN" sz="1400" b="1">
              <a:solidFill>
                <a:schemeClr val="accent1"/>
              </a:solidFill>
            </a:rPr>
            <a:t>Channels</a:t>
          </a:r>
        </a:p>
      </xdr:txBody>
    </xdr:sp>
    <xdr:clientData/>
  </xdr:twoCellAnchor>
  <xdr:twoCellAnchor>
    <xdr:from>
      <xdr:col>8</xdr:col>
      <xdr:colOff>162982</xdr:colOff>
      <xdr:row>8</xdr:row>
      <xdr:rowOff>4229</xdr:rowOff>
    </xdr:from>
    <xdr:to>
      <xdr:col>9</xdr:col>
      <xdr:colOff>232831</xdr:colOff>
      <xdr:row>10</xdr:row>
      <xdr:rowOff>148162</xdr:rowOff>
    </xdr:to>
    <xdr:sp macro="" textlink="youtube_data!K587">
      <xdr:nvSpPr>
        <xdr:cNvPr id="41" name="TextBox 40"/>
        <xdr:cNvSpPr txBox="1"/>
      </xdr:nvSpPr>
      <xdr:spPr>
        <a:xfrm>
          <a:off x="5073649" y="1443562"/>
          <a:ext cx="683682" cy="503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1475EA-0C4D-40B2-BA89-6CC99EC2BE03}" type="TxLink">
            <a:rPr lang="en-US" sz="2000" b="1" i="0" u="none" strike="noStrike">
              <a:solidFill>
                <a:srgbClr val="000000"/>
              </a:solidFill>
              <a:latin typeface="Calibri"/>
              <a:ea typeface="Calibri"/>
              <a:cs typeface="Calibri"/>
            </a:rPr>
            <a:pPr marL="0" indent="0"/>
            <a:t>408</a:t>
          </a:fld>
          <a:endParaRPr lang="en-IN" sz="2000" b="1" i="0" u="none" strike="noStrike">
            <a:solidFill>
              <a:srgbClr val="000000"/>
            </a:solidFill>
            <a:latin typeface="Calibri"/>
            <a:ea typeface="Calibri"/>
            <a:cs typeface="Calibri"/>
          </a:endParaRPr>
        </a:p>
      </xdr:txBody>
    </xdr:sp>
    <xdr:clientData/>
  </xdr:twoCellAnchor>
  <xdr:twoCellAnchor>
    <xdr:from>
      <xdr:col>10</xdr:col>
      <xdr:colOff>129116</xdr:colOff>
      <xdr:row>4</xdr:row>
      <xdr:rowOff>165101</xdr:rowOff>
    </xdr:from>
    <xdr:to>
      <xdr:col>12</xdr:col>
      <xdr:colOff>413449</xdr:colOff>
      <xdr:row>10</xdr:row>
      <xdr:rowOff>129117</xdr:rowOff>
    </xdr:to>
    <xdr:sp macro="" textlink="">
      <xdr:nvSpPr>
        <xdr:cNvPr id="42" name="Rounded Rectangle 41"/>
        <xdr:cNvSpPr/>
      </xdr:nvSpPr>
      <xdr:spPr>
        <a:xfrm>
          <a:off x="6267449" y="884768"/>
          <a:ext cx="1512000" cy="104351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74082</xdr:colOff>
      <xdr:row>5</xdr:row>
      <xdr:rowOff>42334</xdr:rowOff>
    </xdr:from>
    <xdr:to>
      <xdr:col>13</xdr:col>
      <xdr:colOff>0</xdr:colOff>
      <xdr:row>8</xdr:row>
      <xdr:rowOff>31749</xdr:rowOff>
    </xdr:to>
    <xdr:sp macro="" textlink="">
      <xdr:nvSpPr>
        <xdr:cNvPr id="43" name="TextBox 42"/>
        <xdr:cNvSpPr txBox="1"/>
      </xdr:nvSpPr>
      <xdr:spPr>
        <a:xfrm>
          <a:off x="6212415" y="941917"/>
          <a:ext cx="1767418" cy="529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Avg Video Duration (mins)</a:t>
          </a:r>
        </a:p>
      </xdr:txBody>
    </xdr:sp>
    <xdr:clientData/>
  </xdr:twoCellAnchor>
  <xdr:twoCellAnchor>
    <xdr:from>
      <xdr:col>10</xdr:col>
      <xdr:colOff>135469</xdr:colOff>
      <xdr:row>8</xdr:row>
      <xdr:rowOff>8466</xdr:rowOff>
    </xdr:from>
    <xdr:to>
      <xdr:col>13</xdr:col>
      <xdr:colOff>74084</xdr:colOff>
      <xdr:row>10</xdr:row>
      <xdr:rowOff>156632</xdr:rowOff>
    </xdr:to>
    <xdr:sp macro="" textlink="youtube_data!S590">
      <xdr:nvSpPr>
        <xdr:cNvPr id="44" name="TextBox 43"/>
        <xdr:cNvSpPr txBox="1"/>
      </xdr:nvSpPr>
      <xdr:spPr>
        <a:xfrm>
          <a:off x="6273802" y="1447799"/>
          <a:ext cx="178011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CD9B1AA-E160-4445-A18F-51B77C9172D8}" type="TxLink">
            <a:rPr lang="en-US" sz="2000" b="1" i="0" u="none" strike="noStrike">
              <a:solidFill>
                <a:srgbClr val="000000"/>
              </a:solidFill>
              <a:latin typeface="Calibri"/>
              <a:ea typeface="Calibri"/>
              <a:cs typeface="Calibri"/>
            </a:rPr>
            <a:pPr marL="0" indent="0"/>
            <a:t>5 min 33 sec</a:t>
          </a:fld>
          <a:endParaRPr lang="en-US" sz="2000" b="1" i="0" u="none" strike="noStrike">
            <a:solidFill>
              <a:srgbClr val="000000"/>
            </a:solidFill>
            <a:latin typeface="Calibri"/>
            <a:ea typeface="Calibri"/>
            <a:cs typeface="Calibri"/>
          </a:endParaRPr>
        </a:p>
      </xdr:txBody>
    </xdr:sp>
    <xdr:clientData/>
  </xdr:twoCellAnchor>
  <xdr:twoCellAnchor editAs="oneCell">
    <xdr:from>
      <xdr:col>0</xdr:col>
      <xdr:colOff>266655</xdr:colOff>
      <xdr:row>28</xdr:row>
      <xdr:rowOff>42334</xdr:rowOff>
    </xdr:from>
    <xdr:to>
      <xdr:col>2</xdr:col>
      <xdr:colOff>93814</xdr:colOff>
      <xdr:row>33</xdr:row>
      <xdr:rowOff>84667</xdr:rowOff>
    </xdr:to>
    <xdr:pic>
      <xdr:nvPicPr>
        <xdr:cNvPr id="9" name="Picture 8">
          <a:hlinkClick xmlns:r="http://schemas.openxmlformats.org/officeDocument/2006/relationships" r:id="rId8"/>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66655" y="5080001"/>
          <a:ext cx="1054826" cy="941916"/>
        </a:xfrm>
        <a:prstGeom prst="rect">
          <a:avLst/>
        </a:prstGeom>
      </xdr:spPr>
    </xdr:pic>
    <xdr:clientData/>
  </xdr:twoCellAnchor>
  <xdr:twoCellAnchor editAs="oneCell">
    <xdr:from>
      <xdr:col>0</xdr:col>
      <xdr:colOff>319333</xdr:colOff>
      <xdr:row>13</xdr:row>
      <xdr:rowOff>86500</xdr:rowOff>
    </xdr:from>
    <xdr:to>
      <xdr:col>1</xdr:col>
      <xdr:colOff>560917</xdr:colOff>
      <xdr:row>18</xdr:row>
      <xdr:rowOff>42334</xdr:rowOff>
    </xdr:to>
    <xdr:pic>
      <xdr:nvPicPr>
        <xdr:cNvPr id="10" name="Picture 9">
          <a:hlinkClick xmlns:r="http://schemas.openxmlformats.org/officeDocument/2006/relationships" r:id="rId10"/>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19333" y="2425417"/>
          <a:ext cx="855417" cy="855417"/>
        </a:xfrm>
        <a:prstGeom prst="rect">
          <a:avLst/>
        </a:prstGeom>
      </xdr:spPr>
    </xdr:pic>
    <xdr:clientData/>
  </xdr:twoCellAnchor>
  <xdr:twoCellAnchor editAs="oneCell">
    <xdr:from>
      <xdr:col>0</xdr:col>
      <xdr:colOff>300000</xdr:colOff>
      <xdr:row>5</xdr:row>
      <xdr:rowOff>173000</xdr:rowOff>
    </xdr:from>
    <xdr:to>
      <xdr:col>1</xdr:col>
      <xdr:colOff>603251</xdr:colOff>
      <xdr:row>11</xdr:row>
      <xdr:rowOff>10584</xdr:rowOff>
    </xdr:to>
    <xdr:pic>
      <xdr:nvPicPr>
        <xdr:cNvPr id="11" name="Picture 10">
          <a:hlinkClick xmlns:r="http://schemas.openxmlformats.org/officeDocument/2006/relationships" r:id="rId12"/>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00000" y="1072583"/>
          <a:ext cx="917084" cy="917084"/>
        </a:xfrm>
        <a:prstGeom prst="rect">
          <a:avLst/>
        </a:prstGeom>
      </xdr:spPr>
    </xdr:pic>
    <xdr:clientData/>
  </xdr:twoCellAnchor>
  <xdr:twoCellAnchor editAs="oneCell">
    <xdr:from>
      <xdr:col>0</xdr:col>
      <xdr:colOff>304993</xdr:colOff>
      <xdr:row>20</xdr:row>
      <xdr:rowOff>135660</xdr:rowOff>
    </xdr:from>
    <xdr:to>
      <xdr:col>1</xdr:col>
      <xdr:colOff>553494</xdr:colOff>
      <xdr:row>25</xdr:row>
      <xdr:rowOff>98410</xdr:rowOff>
    </xdr:to>
    <xdr:pic>
      <xdr:nvPicPr>
        <xdr:cNvPr id="12" name="Picture 11">
          <a:hlinkClick xmlns:r="http://schemas.openxmlformats.org/officeDocument/2006/relationships" r:id="rId14"/>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04993" y="3830205"/>
          <a:ext cx="860410" cy="886387"/>
        </a:xfrm>
        <a:prstGeom prst="rect">
          <a:avLst/>
        </a:prstGeom>
      </xdr:spPr>
    </xdr:pic>
    <xdr:clientData/>
  </xdr:twoCellAnchor>
  <xdr:twoCellAnchor editAs="oneCell">
    <xdr:from>
      <xdr:col>0</xdr:col>
      <xdr:colOff>282501</xdr:colOff>
      <xdr:row>0</xdr:row>
      <xdr:rowOff>113166</xdr:rowOff>
    </xdr:from>
    <xdr:to>
      <xdr:col>1</xdr:col>
      <xdr:colOff>412752</xdr:colOff>
      <xdr:row>4</xdr:row>
      <xdr:rowOff>137583</xdr:rowOff>
    </xdr:to>
    <xdr:pic>
      <xdr:nvPicPr>
        <xdr:cNvPr id="13" name="Picture 12"/>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82501" y="113166"/>
          <a:ext cx="744084" cy="74408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5864.033428356481" createdVersion="6" refreshedVersion="6" minRefreshableVersion="3" recordCount="584">
  <cacheSource type="worksheet">
    <worksheetSource ref="A1:T585" sheet="youtube_data"/>
  </cacheSource>
  <cacheFields count="23">
    <cacheField name="video_id" numFmtId="0">
      <sharedItems count="581">
        <s v="gsJAlLOFBv0"/>
        <s v="ypicIkaiViM"/>
        <s v="1Nef8LPO-jo"/>
        <s v="lCHqmzynO-s"/>
        <s v="7uFrtqSwYzM"/>
        <s v="THw-wXt7wyM"/>
        <s v="uvG-WToQfU4"/>
        <s v="LZYfSYXY-go"/>
        <s v="jYcV7a098Yw"/>
        <s v="5fKkXFresYI"/>
        <s v="TaY-jRMbNpk"/>
        <s v="pKbr1LhfxXM"/>
        <s v="De7s-IB_DAw"/>
        <s v="cS0hLW8qulk"/>
        <s v="2ExXkdBkM78"/>
        <s v="RHtnrzct2RM"/>
        <s v="KArch4rjU_0"/>
        <s v="T-F-vVNVQ50"/>
        <s v="ZYIi81NCeU4"/>
        <s v="MBQBY9b6OAU"/>
        <s v="mkcgVN90zl0"/>
        <s v="QEJpZjg8GuA"/>
        <s v="94LDWSXT7HY"/>
        <s v="Uy7rP_rXzv4"/>
        <s v="eSucdOAIwrg"/>
        <s v="ewmRD0MacxI"/>
        <s v="W96a8svXo14"/>
        <s v="a_5btLCRR24"/>
        <s v="IOVKA9eBzkw"/>
        <s v="v4H2fTgHGuc"/>
        <s v="PBmrLVBH9OI"/>
        <s v="653lN9zARjc"/>
        <s v="tvNV2MweDJ0"/>
        <s v="SA980y3PcIM"/>
        <s v="s4ET7Vn3nz4"/>
        <s v="LPOLWKtU5cI"/>
        <s v="rbyud9N4zPM"/>
        <s v="efemIGFQ64M"/>
        <s v="nA6ZdAZqloc"/>
        <s v="Ad3HP6iRyUE"/>
        <s v="CxwXplBESgY"/>
        <s v="5upVC6YzQCE"/>
        <s v="jmStr5LUCeA"/>
        <s v="Pl7TYh055xY"/>
        <s v="fepKQej1DH0"/>
        <s v="QLROnFIQQvk"/>
        <s v="gkklrVa8amY"/>
        <s v="9H7v3aG2Exc"/>
        <s v="j4M47qLTeJ4"/>
        <s v="B5UKShUCx_Y"/>
        <s v="ppS6QMI5p88"/>
        <s v="JVPbMYC2JIQ"/>
        <s v="P-TANCVoHlc"/>
        <s v="pW6cVtjIwpY"/>
        <s v="VZGuI05udzk"/>
        <s v="nyjuAqhaPaE"/>
        <s v="xxVgTfq2Xkg"/>
        <s v="t3tPJBitduY"/>
        <s v="iatS86r1Hnk"/>
        <s v="-055GvEU7f0"/>
        <s v="HSGD3m4D-ko"/>
        <s v="BiZcyJPoDy0"/>
        <s v="qqeZ5Hcw1Tg"/>
        <s v="rT_bOEzCz74"/>
        <s v="2F6YD_xBi-4"/>
        <s v="xiv6IE915nc"/>
        <s v="UZ3g4vB-UAU"/>
        <s v="yOdTslFmmoA"/>
        <s v="CgzHTd8BNcE"/>
        <s v="69lvD0Myk6Y"/>
        <s v="pp6ZEEFu7R0"/>
        <s v="NCpwAnHWIk4"/>
        <s v="_IqkYJ7ItYg"/>
        <s v="fUEwoiC5AO0"/>
        <s v="_DQfMAnSZ5Y"/>
        <s v="ZrgFhEojipE"/>
        <s v="OPLkS9wLhow"/>
        <s v="b-9nGVd2xjA"/>
        <s v="8HHVCZ5Ya5c"/>
        <s v="IPhARlUO6NA"/>
        <s v="_J2zbtBiJh4"/>
        <s v="70k5uXcjUXg"/>
        <s v="4b84ZW4A3bc"/>
        <s v="mRH6KXqLcLE"/>
        <s v="jN3f_cq5WQI"/>
        <s v="T-HWQ4jQ2p4"/>
        <s v="ri_eqKBypaw"/>
        <s v="jE8C0FHWuks"/>
        <s v="8O036eqvpNI"/>
        <s v="9J4eS6I5_s0"/>
        <s v="xNU5QRra-3o"/>
        <s v="or7JOVi2vwU"/>
        <s v="8Bx6pg0j3I8"/>
        <s v="NGcUoRXBXRY"/>
        <s v="7bHs2SlUMNQ"/>
        <s v="KYhsFxN3jNo"/>
        <s v="sGI1H7VhJbc"/>
        <s v="AClfhmJYyNc"/>
        <s v="x54fK8BKLVk"/>
        <s v="OSCOQ6vnLwU"/>
        <s v="XOwxbB9X6aQ"/>
        <s v="g2_3jU7ysdc"/>
        <s v="hU4eMj23Aa8"/>
        <s v="Op_xFYWaKWc"/>
        <s v="rp6fxCrCtbg"/>
        <s v="GY9usnmuC0g"/>
        <s v="72O_2Wid1d8"/>
        <s v="g2x0tLg6mzk"/>
        <s v="DDD_5wDitto"/>
        <s v="iOCq_vONzaI"/>
        <s v="cWKTL81IxFs"/>
        <s v="A2Kj_ZfmoVo"/>
        <s v="dD3r2UkmJtg"/>
        <s v="G5IrhtQ5Sds"/>
        <s v="dnVo4jr19go"/>
        <s v="OhbphOxQ7ew"/>
        <s v="BOYYWTPaGNk"/>
        <s v="2vCBxgKktkg"/>
        <s v="XalhKVHFLSU"/>
        <s v="5eYTHiC55Bo"/>
        <s v="qkWVwqVoMGY"/>
        <s v="ZOj8cDqFTws"/>
        <s v="mChqRhQOvJ0"/>
        <s v="PbB5r2p3Sl4"/>
        <s v="iPJfSknuO8I"/>
        <s v="DENG7Q7VRgo"/>
        <s v="ahU946l6ZLw"/>
        <s v="ZjxiNW-6aPU"/>
        <s v="RM717Aj_VKQ"/>
        <s v="hUBSHHrkgqw"/>
        <s v="_vUUs5rrRAs"/>
        <s v="iz2sZfxkn2M"/>
        <s v="i2k6jHHzK4s"/>
        <s v="0N8kGDSBMEw"/>
        <s v="IVz9cpC-bPc"/>
        <s v="Cn7020nMstc"/>
        <s v="HpTax3ukTrE"/>
        <s v="Qh9lWfIcg08"/>
        <s v="zHnn-92jG_Q"/>
        <s v="fjo_mb1oSUA"/>
        <s v="BgR_F3ujanE"/>
        <s v="yYO3UstXI2M"/>
        <s v="tmUfzbmxHnI"/>
        <s v="lAnlIt8Ee3I"/>
        <s v="LdlLUogNYMw"/>
        <s v="zWzF4eQaKYs"/>
        <s v="D7Bevixm-Mo"/>
        <s v="0Fgk0LYVkNI"/>
        <s v="1NagraXOMsc"/>
        <s v="UrgqdJ6vtoY"/>
        <s v="4nVjPcVtv_w"/>
        <s v="xJHCo8OxNbc"/>
        <s v="o4jEHIGBR_U"/>
        <s v="TaZZOxYDfeA"/>
        <s v="g5-S3Uief-E"/>
        <s v="KvN3JXICzdM"/>
        <s v="UlCIc17u2ec"/>
        <s v="nM0Q6-vQuv4"/>
        <s v="h0xOdfMJTJI"/>
        <s v="wGBEjmdr6tw"/>
        <s v="Xy26ECyV3LA"/>
        <s v="RWbvNuEwXVc"/>
        <s v="DJHXrLqugcA"/>
        <s v="wO_0wNI0aBo"/>
        <s v="4qNVBYTGl9I"/>
        <s v="SzMiJFOa6w8"/>
        <s v="5VTvYuE6zVs"/>
        <s v="PFcqKDOjMzM"/>
        <s v="bvn7mH7l2Qs"/>
        <s v="Ms3a1hbZlaU"/>
        <s v="47gDOw_PNrw"/>
        <s v="IPptIw6-meQ"/>
        <s v="xXF6-C3XC2E"/>
        <s v="HtNXxoHl99Q"/>
        <s v="0cZ9AVA4oMs"/>
        <s v="g8DA2e0LoIw"/>
        <s v="Ec_nLzmdKWE"/>
        <s v="2XxA16p3mlo"/>
        <s v="VmqH41dydeI"/>
        <s v="Oyc9c1q0RRU"/>
        <s v="ICVuIjZ1OkY"/>
        <s v="yi3HfhbmZH8"/>
        <s v="o-I04OW5m9Q"/>
        <s v="bukk_V-EDYg"/>
        <s v="KFsddFc-sI4"/>
        <s v="rzFKuRWktCo"/>
        <s v="5JfK0PJQdes"/>
        <s v="KueWTlO8waE"/>
        <s v="dBKfH_Le4-k"/>
        <s v="cDUqtkKdVQg"/>
        <s v="OWuEY_1DZag"/>
        <s v="J3f3qZ3Jdvg"/>
        <s v="g9ch8yHthP4"/>
        <s v="44Hhtthevzs"/>
        <s v="F-rw1uvt11E"/>
        <s v="rmDj9uFUU8M"/>
        <s v="J9sWQ9M4u08"/>
        <s v="UpzCuKkveTI"/>
        <s v="EHNuwI74zew"/>
        <s v="8jg-zVxSHU0"/>
        <s v="EzUBS8dnNvE"/>
        <s v="OGzi18yM2tw"/>
        <s v="fGSJHn5wnC8"/>
        <s v="roTczpcXaYk"/>
        <s v="hmWoDINP7G4"/>
        <s v="T9TQ-rphLI4"/>
        <s v="R6sWmlyXmys"/>
        <s v="JK-Iayp5YNg"/>
        <s v="O7AdhjkYhtk"/>
        <s v="FmmMcgAp3UM"/>
        <s v="A702QDhqkUA"/>
        <s v="f4ggk7aYOeo"/>
        <s v="Ca8LMfZXKqU"/>
        <s v="qGLQq6tXTDk"/>
        <s v="arHTKC8ffPQ"/>
        <s v="SJBkTSSJGPQ"/>
        <s v="wCjHZoo1Iz8"/>
        <s v="CXJ5ZU7VVSc"/>
        <s v="znMoMAHg9Jo"/>
        <s v="8SIcDkceVsw"/>
        <s v="0Jt5I_tPkcs"/>
        <s v="F_5_iSPOEuw"/>
        <s v="1x34b3MNJKo"/>
        <s v="HI7XvaqtKe8"/>
        <s v="lJoJsyDiRKQ"/>
        <s v="gxA1907DZoY"/>
        <s v="WurAqmOVXao"/>
        <s v="ZLOhiGZZhVs"/>
        <s v="VI5T9tCR_RA"/>
        <s v="flY9daaR9Do"/>
        <s v="Fb-3wD-nDpM"/>
        <s v="WKe0VbuPZ0o"/>
        <s v="P9lRZcHiZQs"/>
        <s v="JUjCW_7g_Lg"/>
        <s v="K3uiMsqptOs"/>
        <s v="RiVSG1edaBE"/>
        <s v="IYLbIbMZ9IQ"/>
        <s v="F8rJmVHstkU"/>
        <s v="KUBAm5uynwo"/>
        <s v="Cwb9_4YdNyQ"/>
        <s v="1VFXj-Z8ShM"/>
        <s v="MBpIM7Ks-Tc"/>
        <s v="BLSyl4cbgwU"/>
        <s v="_0PQw3wrlEA"/>
        <s v="O2YoUbNZwNg"/>
        <s v="Ceqabjjgh8o"/>
        <s v="_YiJDk9H88o"/>
        <s v="0L-MBwlNVFI"/>
        <s v="LwVHl9NYvcA"/>
        <s v="wrJsExM8D-o"/>
        <s v="OcuYIlrG7ao"/>
        <s v="k-oDjfP6S4c"/>
        <s v="qU6EpfYB_nM"/>
        <s v="BajaLYzM59w"/>
        <s v="5GqfmmAQhQw"/>
        <s v="BVQQ5zm2J5E"/>
        <s v="t6-u1_kCFFw"/>
        <s v="T-mqg0w5O30"/>
        <s v="DkP-fDHg4lI"/>
        <s v="8QJ9Q-7_2VY"/>
        <s v="jTuHyikizdc"/>
        <s v="QC7H457gouY"/>
        <s v="kGHetIzO4CM"/>
        <s v="Cek-jl8sxUY"/>
        <s v="nViuTcPs7oE"/>
        <s v="biAwn7KI2IQ"/>
        <s v="SrvtYHM_G00"/>
        <s v="IDXkR8TH3x8"/>
        <s v="4fSLrhuqlr4"/>
        <s v="uLNnz3T8g34"/>
        <s v="tsfSwcl7mV0"/>
        <s v="njF0I_dwLGk"/>
        <s v="ZLm-j4LpPPE"/>
        <s v="vX9H1oHIB1s"/>
        <s v="Fj8bhXHnv9A"/>
        <s v="p5w0LklR0B4"/>
        <s v="YIpMApW9Q_o"/>
        <s v="W0qyTGt07XE"/>
        <s v="VE-lb1X92cw"/>
        <s v="Xs-0NOe2ft0"/>
        <s v="mvR_X93S_Yk"/>
        <s v="1RO1BzhzN4M"/>
        <s v="yf4UxBD5LrI"/>
        <s v="UFwbBBqWqsU"/>
        <s v="jyJfC1C3jJI"/>
        <s v="6CgINNm-zyE"/>
        <s v="6mz2p6feGvc"/>
        <s v="WUaSvnLpgY0"/>
        <s v="WxluSDC2ysE"/>
        <s v="VuG4BcghOSg"/>
        <s v="VTIkbboq3BQ"/>
        <s v="3hZgY0ha6gU"/>
        <s v="0njeBK53wwc"/>
        <s v="qVnPEJb7YMc"/>
        <s v="6VoGivV6M9Q"/>
        <s v="i5R1Yxh0Kc8"/>
        <s v="f9Doan3zDKA"/>
        <s v="YUvf1OILS1I"/>
        <e v="#NAME?"/>
        <s v="hz6oys4Eem4"/>
        <s v="9JCsox7C7ew"/>
        <s v="07OQ1uQ4-do"/>
        <s v="doJMDPCyl7A"/>
        <s v="ucbgAS-M-A8"/>
        <s v="6bSXorhy_eQ"/>
        <s v="yJSrX1uOjxs"/>
        <s v="qndVx4jOxz8"/>
        <s v="b2_rzbGibpo"/>
        <s v="hUbKhUBs6XI"/>
        <s v="9_wcmArr_u0"/>
        <s v="_qSmAtGPmrE"/>
        <s v="WTu9d5abQFI"/>
        <s v="0zjIQhmPJMA"/>
        <s v="G8v0C7ukblE"/>
        <s v="ryGQO8YVVsI"/>
        <s v="1799Rqn71A8"/>
        <s v="ub-Qr2U4DzA"/>
        <s v="bWaabrlHjZc"/>
        <s v="jC0ReUmjwsQ"/>
        <s v="fCMFEpLwO6g"/>
        <s v="b9wRXd0D44s"/>
        <s v="C4sPW9l3c9s"/>
        <s v="wJ1NSQSgVTE"/>
        <s v="D_DKWEQDLjk"/>
        <s v="YPZnXK_h3Qw"/>
        <s v="Oa0ZHfcalCM"/>
        <s v="3G90Z980lgU"/>
        <s v="zFT3YuNnF6g"/>
        <s v="4RcThoRG46c"/>
        <s v="c5eK89o0_Bg"/>
        <s v="GNTdmzT0CJs"/>
        <s v="eqkbs5Z3y-M"/>
        <s v="WJQfQA5yPY4"/>
        <s v="5lWrCLjIKBA"/>
        <s v="8pH9WyB7VBg"/>
        <s v="yLPrYrurOx8"/>
        <s v="12pGrEG30f8"/>
        <s v="zcVpPom546M"/>
        <s v="FRhfkq6AwG8"/>
        <s v="aIg5R-wQ74w"/>
        <s v="TWDtj99937I"/>
        <s v="skKsdBuMZQU"/>
        <s v="CqdWZilRcT0"/>
        <s v="_dlNUjfSBDk"/>
        <s v="kYOxf4vkKGU"/>
        <s v="kaH15O2YdJc"/>
        <s v="XBSTOfjc5nY"/>
        <s v="dxWb1Vd9aq8"/>
        <s v="kqC1HWYzXgA"/>
        <s v="rSTrXfu_vJw"/>
        <s v="d0OyImu-rqg"/>
        <s v="uW7zI_tm0Zc"/>
        <s v="42o4sDhe0SE"/>
        <s v="mFjE7H0DNrY"/>
        <s v="gII8WrA5h7c"/>
        <s v="AMUjlObFCno"/>
        <s v="1E3tv_3D95g"/>
        <s v="J0qKOnDJcgA"/>
        <s v="WDF7WowQ2Bo"/>
        <s v="UXDPKE86RTk"/>
        <s v="ltxH_JstZqY"/>
        <s v="WhIaIe_dIzs"/>
        <s v="CSF5dF9zYtw"/>
        <s v="QsCmLLTzXzY"/>
        <s v="Nl7aCUsWykg"/>
        <s v="pMqciQaZ9wA"/>
        <s v="tvsk4hzhcvg"/>
        <s v="twFO7qaGMxU"/>
        <s v="1MYFiWu-404"/>
        <s v="FN7QIDTG2-A"/>
        <s v="-R7hzowf2lM"/>
        <s v="a34ZpoKP7hg"/>
        <s v="sEErbR6J2sk"/>
        <s v="V1Hbm7EGIcY"/>
        <s v="VDzhIPsX8oA"/>
        <s v="RWSLYmImtrA"/>
        <s v="4uS32KGlFko"/>
        <s v="ap_dEYfbUNY"/>
        <s v="AvfYpj3Dr9Y"/>
        <s v="LC1PCXnirrQ"/>
        <s v="GMGlWCagymo"/>
        <s v="ouOayOIXguQ"/>
        <s v="LffOMAm_YUg"/>
        <s v="NlZUGIQqpJ4"/>
        <s v="jtZNjn4wIsA"/>
        <s v="xZQpf6qcwUs"/>
        <s v="cZypFRdPS9M"/>
        <s v="iCkJOLYlw7U"/>
        <s v="Tb1jvfOCcb8"/>
        <s v="rf3UyUiHM_c"/>
        <s v="pCCJeZQoUwI"/>
        <s v="0sSfAF65bsI"/>
        <s v="fKjTk756ddM"/>
        <s v="JTT67FSc8j8"/>
        <s v="lqYg0hLGCAg"/>
        <s v="78cX0yLJPMw"/>
        <s v="E2xmpFULoTY"/>
        <s v="Zc7uaA_3dII"/>
        <s v="WM7c_kPG4us"/>
        <s v="Ts_r-pE56So"/>
        <s v="Sx-hzdC0XGI"/>
        <s v="s9XS13zefN0"/>
        <s v="jX6AswjtxfU"/>
        <s v="d3daRYrEa8M"/>
        <s v="iyb38dzetRk"/>
        <s v="1UloeYdlFII"/>
        <s v="fV2ZzHx0UI0"/>
        <s v="9VvV1FUQ06Y"/>
        <s v="bQGRW2mXnmQ"/>
        <s v="YT4jWl-2Ojs"/>
        <s v="7w8jmw96ryA"/>
        <s v="yldrjxQvYjk"/>
        <s v="m0ViZDQuOrg"/>
        <s v="i7lh7MM3P-o"/>
        <s v="1eegd28NOck"/>
        <s v="LWz469u2oeo"/>
        <s v="cGBUZB8eOLI"/>
        <s v="DE9IchvpOPk"/>
        <s v="I8oMcMlItpU"/>
        <s v="P_iSmFeizDE"/>
        <s v="649PCPzqnBo"/>
        <s v="9JwMlW6BVhU"/>
        <s v="Y_rVgbZamdM"/>
        <s v="wQUD1-H1J1s"/>
        <s v="WkJ9LbOFoU0"/>
        <s v="SK6snd5Mwc4"/>
        <s v="5RDSkR8_AQ0"/>
        <s v="kqXfvqIzpgs"/>
        <s v="ab8MlBw_GBE"/>
        <s v="u-5jkjd-dUA"/>
        <s v="xybSilthYgs"/>
        <s v="Zrss8I4mvu4"/>
        <s v="5nKLu2CSxx8"/>
        <s v="7MTuSV8PUjE"/>
        <s v="6SqZBbLsuII"/>
        <s v="2rN0XTW8dU8"/>
        <s v="fit99d1qsbI"/>
        <s v="C2flXXXK2eY"/>
        <s v="uczl_P959t0"/>
        <s v="YLKQUy2A72U"/>
        <s v="yCs10fK5dxA"/>
        <s v="0YbBe8KW9ss"/>
        <s v="wLLty2GoAuU"/>
        <s v="vB2pUARNpyc"/>
        <s v="FcbP--wmgO4"/>
        <s v="wlVsBN6qn5Y"/>
        <s v="orJcARIxYT4"/>
        <s v="Q_03FWDBZG0"/>
        <s v="X7SJxF_JsNA"/>
        <s v="hpwoGjpYygI"/>
        <s v="8QZmnW9CobA"/>
        <s v="S3lrx-jVsng"/>
        <s v="Ay9RL5YQViA"/>
        <s v="tEI9t9lcRJo"/>
        <s v="OX7stGEMm7Y"/>
        <s v="csZuFHfaVoA"/>
        <s v="5o78816tZDo"/>
        <s v="ZYKWVNWCZUI"/>
        <s v="kUm0_3fg2gI"/>
        <s v="jGztGfRujSE"/>
        <s v="vyMCNtw23uQ"/>
        <s v="jssEK9oy-j8"/>
        <s v="rYrE-oli5_E"/>
        <s v="xNXKWAL0-zM"/>
        <s v="OPJWnoOhpTI"/>
        <s v="bqvp1UpCdRw"/>
        <s v="dhW4XFGQB4o"/>
        <s v="08JoSCHV9VY"/>
        <s v="_ZrjMqMsakU"/>
        <s v="acdM9a-zg5I"/>
        <s v="f-gkGYd9vAs"/>
        <s v="yxEupzz8mSY"/>
        <s v="kx_srXZec2w"/>
        <s v="qF1Fklf-rJw"/>
        <s v="vybLi25Q8Fw"/>
        <s v="1wwiaGkMQjM"/>
        <s v="jcc_8kyBXrA"/>
        <s v="yaY2tOvxG9I"/>
        <s v="yxTIv4YzTfg"/>
        <s v="CjSIHL7jmbM"/>
        <s v="520Gv9y17fc"/>
        <s v="CtPeROP9eEc"/>
        <s v="IZICZAZOEXM"/>
        <s v="KPnGKAEEgTU"/>
        <s v="KwTDM1nuDYg"/>
        <s v="zltBg1bUJjI"/>
        <s v="If0AhMPqx1g"/>
        <s v="iEpJwprxDdk"/>
        <s v="TZnW14QcnW0"/>
        <s v="cvjA-jXk94o"/>
        <s v="V5Cv-VMfwRQ"/>
        <s v="KBIXQ-jG9wQ"/>
        <s v="HX1LK1WU-Jw"/>
        <s v="6D4rsqxqSIc"/>
        <s v="aPeop6os33w"/>
        <s v="fBFwFyZbewo"/>
        <s v="rH3dHn3ILl8"/>
        <s v="3pZkKYhS0ek"/>
        <s v="iJYMzHVu58Y"/>
        <s v="2W5W0W6HD_4"/>
        <s v="9-Jmv2Kpm6w"/>
        <s v="h9Z4oGN89MU"/>
        <s v="ISU97qNFwq0"/>
        <s v="ASuYr52t5N4"/>
        <s v="FmKe7MyPNx8"/>
        <s v="3GIzZwQw4nc"/>
        <s v="cfOD9XJtiPo"/>
        <s v="5VWBLivhTRc"/>
        <s v="1Vs1_1vlABM"/>
        <s v="ip9Yy1dz5ew"/>
        <s v="hjDPKRXv-LU"/>
        <s v="nkDJM3Z8bmk"/>
        <s v="RR0bLaOGEKc"/>
        <s v="dKckaE9S5yo"/>
        <s v="aTdDvrf79TA"/>
        <s v="UlIU5LRMY6w"/>
        <s v="FhyAQZsws6s"/>
        <s v="PTjz11lURxE"/>
        <s v="hRHQgU5obiQ"/>
        <s v="pCqKf1r79m8"/>
        <s v="H0vfYzwh3kM"/>
        <s v="4aZDNO7c8Z8"/>
        <s v="B6jl1E0qMf4"/>
        <s v="NKY9L0mjW7Y"/>
        <s v="pN17MOfhZJk"/>
        <s v="vaMlqmi7X88"/>
        <s v="w7H8bzvLN2o"/>
        <s v="waDuvnJXC2o"/>
        <s v="qELnhFx-APc"/>
        <s v="C1NR1pVPbvA"/>
        <s v="faJYEduLpLo"/>
        <s v="mbzh5qfP0Js"/>
        <s v="qF8-uaQJuBQ"/>
        <s v="QM9j_qQZDnY"/>
        <s v="101eNM998nU"/>
        <s v="Wj3EN4CBkyo"/>
        <s v="MpK6NpObr60"/>
        <s v="qBtCS4HpU_4"/>
        <s v="wo-LhXuh6bw"/>
        <s v="ek8TVkDHOPs"/>
        <s v="f0WY5RU2Uwk"/>
        <s v="pFgPiR8Mi78"/>
        <s v="EEmWUq5eLJY"/>
        <s v="QHEkv-vkb2o"/>
        <s v="vORdelj7h_0"/>
        <s v="SbMbHtPATlk"/>
        <s v="TvKvlB5qPOg"/>
        <s v="k5s1cMNTmGs"/>
        <s v="gaKMywnji-A"/>
        <s v="i_aRhNcHryA"/>
        <s v="UGWqB6Ui58w"/>
        <s v="TPllyxrf2YU"/>
        <s v="xRtHEHfkCck"/>
        <s v="wSIvUyrp6_E"/>
        <s v="OsOR8G_mdwU"/>
        <s v="wBx7I2OU0mE"/>
        <s v="3dJ-ijjXtjI"/>
        <s v="vhzsq82MgIc"/>
        <s v="gsvxHJWnP_s"/>
        <s v="9HVDExvB-6Y"/>
        <s v="haoPXk5ZyDw"/>
        <s v="lTFS23UT1nI"/>
        <s v="dGdBM8Cjpko"/>
        <s v="O6UTxHn5RmA"/>
        <s v="Lqnf6c9B58I"/>
        <s v="MPvEP03HkMM"/>
        <s v="QkY2uHMNVFE"/>
        <s v="6KUd0csOsXY"/>
        <s v="xBpN_Mm-YLc"/>
        <s v="GMcoYBwg5n8"/>
        <s v="sfe8Clx2h5Q"/>
        <s v="xAGJ8dmlDVA"/>
        <s v="a3q3GXybiUA"/>
        <s v="9eIHEX_h2Uc"/>
        <s v="SUAfDj7iU6A"/>
        <s v="kLf6c8BerhE"/>
        <s v="jWiV4bWsDl4"/>
        <s v="pGtMbnxaXs8"/>
        <s v="2DaOJ1a0AYg"/>
        <s v="aO5HE6Q0jaM"/>
        <s v="Ukb8U5Ku4gA"/>
      </sharedItems>
    </cacheField>
    <cacheField name="Title" numFmtId="0">
      <sharedItems count="1078">
        <s v="TINY Tech That Actually Works"/>
        <s v="AI &amp; future of workforce: Andr..."/>
        <s v="5 ILLEGAL gadgets that will ge..."/>
        <s v="Overrated vs. Underrated Tech"/>
        <s v="APPLE Glass Revolutionizes AR ..."/>
        <s v="5 Tech Myths Busted!"/>
        <s v="Old Or New Technology?"/>
        <s v="Appleâ€™s THINNEST ever device..."/>
        <s v="Chinese Technology is LEADING ..."/>
        <s v="5 Times Tech has SAVED LIVES!"/>
        <s v="Huawei Mate XT Hands On! ðŸ”¥"/>
        <s v="Worlds smallest 4K headset ðŸ˜..."/>
        <s v="You're wasting money on Tech."/>
        <s v="The Future of Technology (2025..."/>
        <s v="ThinkPad or ThinkBad? Has Leno..."/>
        <s v="The latest Chinese technology ..."/>
        <s v="USB in USB #charger #technolog..."/>
        <s v="Coolest New Technologies of 20..."/>
        <s v="Is this the future of technolo..."/>
        <s v="I Tested Every YouTuber Tech P..."/>
        <s v="This Gadget BRICKS Your Phone!"/>
        <s v="Algorithms are breaking how we..."/>
        <s v="5 Most Extreme Tech Pranks! ðŸ..."/>
        <s v="Cleaning a Lenovo Legion lapto..."/>
        <s v="5 Most BRUTAL Tech Pranks Ever..."/>
        <s v="Top 3 Smartphone gadgets under..."/>
        <s v="The &quot;standard&quot; car charger is ..."/>
        <s v="50 Cent - Ayo Technology (feat..."/>
        <s v="New invention #scienceproject ..."/>
        <s v="The amazing, but unsettling fu..."/>
        <s v="Is this an iPhone KILLERðŸ˜³#t..."/>
        <s v="4 SPY gadgets to keep you Unde..."/>
        <s v="IOT Home Automation #arduino #..."/>
        <s v="ðŸ˜®MKBHD REVEALS HIS DREAM PH..."/>
        <s v="20 Coolest Tech at CES 2025"/>
        <s v="Worldâ€™s smallest computer #u..."/>
        <s v="Revolutionary carseat technolo..."/>
        <s v="5 Crazy Amazon tech finds you ..."/>
        <s v="I hate AI."/>
        <s v="My Perfect Value Everyday Tech..."/>
        <s v="ðŸ”¥Top Best Useful Car Gadget..."/>
        <s v="Replacing my 3080 with a 4090 ..."/>
        <s v="IOT Smart Parking, esp8266, Ar..."/>
        <s v="Overheating Alienware #gaming ..."/>
        <s v="I spent $10,000 on the crazies..."/>
        <s v="How Fast Is the World's Fastes..."/>
        <s v="The Most Futuristic Tech Of 20..."/>
        <s v="5 Most DANGEROUS Tech Products"/>
        <s v="My DREAM Everyday Tech!"/>
        <s v="DON'T EAT THE BATTERY #electro..."/>
        <s v="I Tried Meta's New Prototype A..."/>
        <s v="Microphone in your Earbud is A..."/>
        <s v="Technology isn't fun anymore"/>
        <s v="ðŸ”¥Top Best Useful Gadgets In..."/>
        <s v="What is Artificial Intelligenc..."/>
        <s v="New Toilet Technology! ðŸ¤£ðŸ˜..."/>
        <s v="Chinaâ€™s New Tech Shocks the ..."/>
        <s v="A bus that can even go into wa..."/>
        <s v="Brute Forcing An iPhone 5â€¦ #..."/>
        <s v="Portal Technology ðŸ¤”#magnet ..."/>
        <s v="I bought the STRONGEST Tech Ev..."/>
        <s v="Meanwhile Android ðŸ’€"/>
        <s v="NVIDIA unveils its most afford..."/>
        <s v="ðŸ§  Zuckerberg: DON'T just st..."/>
        <s v="30 year old IBM ThinkPad puts ..."/>
        <s v="This Technology Eliminates Con..."/>
        <s v="Playing With Technology ðŸ˜± #..."/>
        <s v="ChinaðŸ‡¨ðŸ‡³ is 50 years ahea..."/>
        <s v="Exploring the latest tech at C..."/>
        <s v="How Technology Changed the Kit..."/>
        <s v="Technology has gone too far #c..."/>
        <s v="Humanoid robot warns of AI dan..."/>
        <s v="viral ATM bike  security featu..."/>
        <s v="Technology Technologia  (origi..."/>
        <s v="My Previous Science Experiment..."/>
        <s v="The Birth of Computing: The Wo..."/>
        <s v="China, USA, and EU â€“ A Techn..."/>
        <s v="New Science Project #shorts #s..."/>
        <s v="Fastest WiFi EVER!"/>
        <s v="First Electric Highway Is Craz..."/>
        <s v="The Last Best Technology That ..."/>
        <s v="ðŸ˜± Top 3 Best Gadgets For St..."/>
        <s v="Top 3 best amazing cool gadget..."/>
        <s v="Chinese company utilizing AI t..."/>
        <s v="Technologia ðŸ˜²ðŸ’» #shorts #..."/>
        <s v="20 Future Technologies That Wi..."/>
        <s v="ATM coin bike technology short..."/>
        <s v="I spent $10,000 on Kickstarter..."/>
        <s v="Technology âŒ Technologia âœ…..."/>
        <s v="Gaming technology is getting i..."/>
        <s v="Essay on Technology #shorts #y..."/>
        <s v="The Worlds Smartest Glasses | ..."/>
        <s v="automation solution for machin..."/>
        <s v="Invention"/>
        <s v="Unboxing the Samsung S24 FE ðŸ..."/>
        <s v="I bought the World's RAREST Te..."/>
        <s v="Stunning Futuristic Tech #tech..."/>
        <s v="Closed captions on DVDs are ge..."/>
        <s v="They fixed the reason my phone..."/>
        <s v="Unique Technology of Japan ðŸ˜..."/>
        <s v="Katerine - Ayo Technology"/>
        <s v="China technology"/>
        <s v="China Advance Technology ðŸ˜±"/>
        <s v="ATM bike viral technology #vir..."/>
        <s v="Hi-Tech Beggar in China ðŸ‡¨ðŸ..."/>
        <s v="Most Expensive Smartphone Case..."/>
        <s v="Huawei Matebook Fold Ultimate ..."/>
        <s v="Crazy Gadgets Of China ðŸ¤¯"/>
        <s v="#science #roads road technolog..."/>
        <s v="trend of reel-ðŸ¤£ðŸ‘ˆðŸ˜²  te..."/>
        <s v="navy seal robot get technology..."/>
        <s v="How Neuralink chip work in fir..."/>
        <s v="Others unique technologya vs l..."/>
        <s v="Advanced High Speed Railway In..."/>
        <s v="Advanced Robotic World Of Chin..."/>
        <s v="3 Tech Myths BustedâŒ"/>
        <s v="iPhone 14 Deluzi~#Apple mobile..."/>
        <s v="ChatGPT &amp; Generative AI Explai..."/>
        <s v="ATM bike new feature shorts #f..."/>
        <s v="This Gadget can ZOOM Upto 200X..."/>
        <s v="I'm the best technology moment..."/>
        <s v="Past and Present | Technology ..."/>
        <s v="4 Unknown Tech Facts"/>
        <s v="3 Super Unique Gadgets! #short..."/>
        <s v="28 Inventions of the Future th..."/>
        <s v="Ultrasonic Humidifier Mist Mak..."/>
        <s v="This Robot Will Replace the Po..."/>
        <s v="Ic Reballing Tricks #mobilerep..."/>
        <s v="Apple Microchip CPU Under Micr..."/>
        <s v="Technologia âœ…  TechnologyâŒ"/>
        <s v="Technology âŒ  Technologia âœ..."/>
        <s v="Technology comedy videoðŸ˜… #s..."/>
        <s v="ONE UI 7 FINALLY #samsung #tec..."/>
        <s v="China Has Advanced Technology ..."/>
        <s v="Fake Floor on Chinese Building..."/>
        <s v="This Japanese Technology is Am..."/>
        <s v="TECHNOLOGYâŒ TECHNOLOGIAâœ… #..."/>
        <s v="TECHNOLOGY ORÄ°GÄ°NAL #technol..."/>
        <s v="IMPOSSIBLE ðŸ· ðŸ¥·  #freefir..."/>
        <s v="ATM bike new viral technology ..."/>
        <s v="I bought the CHEAPEST Tech in ..."/>
        <s v="Amazing Technology Of Japanese..."/>
        <s v="Pakistan Ki Technology ðŸ˜‚"/>
        <s v="Is it cool to HATE technology ..."/>
        <s v="Broken Flex Repair #mobilerepa..."/>
        <s v="iShowSpeed Impressed By Chinaâ..."/>
        <s v="Technologyia ðŸ˜‚ðŸ˜‚ðŸ˜‚ || N..."/>
        <s v="Military Technology ðŸ”¥ #shor..."/>
        <s v="Technology âŒ Technologia..âœ..."/>
        <s v="How much does B.TECH pay?"/>
        <s v="Friendship Samsung Digital Tec..."/>
        <s v="Top 20 New Technology Trends T..."/>
        <s v="Japanese next level technology..."/>
        <s v="Amazing Experiment with Arduin..."/>
        <s v="This is future technology 2d a..."/>
        <s v="what is Information technology"/>
        <s v="iPHONE 13 VS A36 #samsung #tec..."/>
        <s v="This is NOT a smartphoneðŸ¤”#t..."/>
        <s v="El producto chino MÃS DECEPCI..."/>
        <s v="Charge Your Phone In 2 Seconds"/>
        <s v="Ayo Technology"/>
        <s v="20 Emerging Technologies That ..."/>
        <s v="iOS 26 Features: Appleâ€™s Liq..."/>
        <s v="Japan next level technology ðŸ..."/>
        <s v="Samsung Galaxy S25 Edge HANDS ..."/>
        <s v="ðŸ”¥Top Best Useful student Ga..."/>
        <s v="New invention ðŸ‡®ðŸ‡³ #techno..."/>
        <s v="**CHINA IS LIVING IN THE FUTUR..."/>
        <s v="viral bike new technology #sho..."/>
        <s v="à¤¯à¥‡ à¤¹à¥ˆ Duniya à¤•à¤¾ à¤..."/>
        <s v="wait for endâ€¦â€¦ðŸ˜‚#funny #..."/>
        <s v="iShowSpeed Shocked By This Tec..."/>
        <s v="The lamb tail docking surgical..."/>
        <s v="à¤­à¤¾à¤°à¤¤ Vs à¤…à¤®à¥‡à¤°à¤..."/>
        <s v="IT vs. Computer Science Degree..."/>
        <s v="Free motion setup in progress ..."/>
        <s v="Alarm Lock for Home #home #tec..."/>
        <s v="Flywheel Free Energy?! #techno..."/>
        <s v="viral new technology money bik..."/>
        <s v="22 New Gadgets And Inventions ..."/>
        <s v="Crooked m2 slot on HP laptop m..."/>
        <s v="Unbelievable technology of CHI..."/>
        <s v="10 lines essay on Technology i..."/>
        <s v="viral ATM bike new feature sho..."/>
        <s v="Worldâ€™s smallest 4K headset ..."/>
        <s v="#UGREEN500W Desktop Charger is..."/>
        <s v="Others Technology Vs The Last ..."/>
        <s v="China Has Launched New Generat..."/>
        <s v="The Craziest City You Have Eve..."/>
        <s v="#memes #funny #technology #com..."/>
        <s v="Rocket Launcher | M4 Tech | #s..."/>
        <s v="China farming technology | pla..."/>
        <s v="15 AMAZING INVENTIONS THAT WIL..."/>
        <s v="I bought the most POINTLESS Te..."/>
        <s v="Magical Gadget ft Tech Master ..."/>
        <s v="Cleaning a Lenovo Yoga (tetanu..."/>
        <s v="The craziest technology ðŸ’€ #..."/>
        <s v="Building Your Own Tech Brand f..."/>
        <s v="Switch to Super Power ðŸ˜±ðŸ¤¯..."/>
        <s v="jio f320b charging ic bypass j..."/>
        <s v="Puse a prueba la resistencia d..."/>
        <s v="china smart roads and technolo..."/>
        <s v="Would you buy the Trump Phone?..."/>
        <s v="Fingerprint detector system wi..."/>
        <s v="VÃ­deo Original Technologhia  ..."/>
        <s v="Mind-Blowing ðŸ˜± Nano Technol..."/>
        <s v="Why do programmers have Rubber..."/>
        <s v="Pitaka Airtag Protective Case,..."/>
        <s v="#science  #technology #machine..."/>
        <s v="Such a cool piece of tech!! â..."/>
        <s v="This Drone has WINGS! #technol..."/>
        <s v="Cool Amazon tech gadgets"/>
        <s v="Ancient Lighting Technology? #..."/>
        <s v="Smart Invention With Shoes Â° ..."/>
        <s v="When Technology Becomes Art #M..."/>
        <s v="Broken Tracks Repair #mobilere..."/>
        <s v="Mini HD Wifi Security Camera -..."/>
        <s v="Elon Musk Tesla Robot Girlfrie..."/>
        <s v="Technology à¤•à¤¾ Gen-Z ðŸ¤¯ðŸ..."/>
        <s v="4 Cleaning Gadgets under â‚¹10..."/>
        <s v="2 à¤–à¤¤à¤°à¤¨à¤¾à¤• ðŸ“³ Phon..."/>
        <s v="OnePlus 13s Unboxing - Best Co..."/>
        <s v="Detachable Aeroplane technolog..."/>
        <s v="Unitree's G1 Humanoid Robots a..."/>
        <s v="CES 2025: 15 Best Tech Youâ€™l..."/>
        <s v="Top - 3 Amazing Gadgets For Ho..."/>
        <s v="Rs.1,50,000 Vs Rs.10,000 Phone..."/>
        <s v="Science and technology ðŸ—¿ sc..."/>
        <s v="Inspire Award Winning New Scie..."/>
        <s v="Pre-Egyptian Technology Left B..."/>
        <s v="This Technology Can Save Plane..."/>
        <s v="50 Cent - Ayo Technology (Lyri..."/>
        <s v="How We Came to Hate Technology"/>
        <s v="Generates electricity in both ..."/>
        <s v="Cleaning a Laptop that's GROSS..."/>
        <s v="Android vs apple #shorts"/>
        <s v="New SSD Missing! #tech #gaming..."/>
        <s v="Science and technology"/>
        <s v="$30 vs $300 Apple Watch!"/>
        <s v="ðŸ˜‚ðŸ˜‚ðŸ˜‚vivo zoom ðŸ˜‚ðŸ˜‚..."/>
        <s v="Tiny Gadget is Always Listenin..."/>
        <s v="High voltage converts low volt..."/>
        <s v="Future Technology | 60 Minutes..."/>
        <s v="Samsung Vs iPhone à¤•à¥Œà¤¨à¤¸..."/>
        <s v="high security lock #tech #anit..."/>
        <s v="latest technology #technology ..."/>
        <s v="Universal Pull Plate #Agricult..."/>
        <s v="ðŸ”¥ðŸ¤– #RobotPower Unitree G..."/>
        <s v="technology technology #comedy ..."/>
        <s v="Dangerous gadgets like teacher..."/>
        <s v="Physics illusionsðŸ¤¯ðŸ”¥/#fac..."/>
        <s v="I think I will buy this Elon m..."/>
        <s v="High voltage speaker reaction ..."/>
        <s v="23 Cool Gadgets And Inventions..."/>
        <s v="Drone giveaway ðŸ˜±ðŸ”¥#shortv..."/>
        <s v="#technology #engineering #amaz..."/>
        <s v="PRICE 600 ORDER NOW ðŸ‘†ðŸ‘†ðŸ..."/>
        <s v="WHAT IS AI ðŸ¤– ?"/>
        <s v="22000 mAh battery à¤µà¤¾à¤²à¤¾..."/>
        <s v="jio f220b audio ic bypass jump..."/>
        <s v="âš¡ï¸USB Fingerprint Reader -..."/>
        <s v="China ki drone technology shor..."/>
        <s v="Trick and Tools ðŸ”¥ðŸ’¯ #karm..."/>
        <s v="Real Life WORKING Iron Man Hel..."/>
        <s v="New technology ðŸ˜±ðŸ’¯"/>
        <s v="Humanoid robots work in factor..."/>
        <s v="how to change ordinary lights ..."/>
        <s v="Google Keep Tricks You Wish Yo..."/>
        <s v="What is a diode? #technology #..."/>
        <s v="Homemade trick to clean millet..."/>
        <s v="Future of AI: Robots Giving Bi..."/>
        <s v="The Evolution of Technology: A..."/>
        <s v="mini portable fan #tech #anite..."/>
        <s v="technologyðŸ˜ #freefire #funn..."/>
        <s v="Will FUTURE Technology Make Us..."/>
        <s v="300 â‚¹ vs 30000 â‚¹ Smart A.I..."/>
        <s v="TECHNOLOGIA FULL VIDEO 2025//S..."/>
        <s v="à¤œà¤¾à¤ªà¤¾à¤¨ à¤Ÿà¥‡à¤•à¥à¤..."/>
        <s v="Chinese Technology ðŸ™‰ AdvikJ..."/>
        <s v="Technology Meme | By Original ..."/>
        <s v="I bought the BIGGEST Tech in t..."/>
        <s v="Technology or Nature ðŸ¤« Watc..."/>
        <s v="I Tested Secret Technology"/>
        <s v="Technologia free fireðŸ¤£ #tec..."/>
        <s v="Budget Gaming PC build (fail) ..."/>
        <s v="technology technology ðŸ˜œðŸ˜‚..."/>
        <s v="Amazing Power Full Tractor Wor..."/>
        <s v="Technology âŽ Technologia âœ…..."/>
        <s v="WWDC 2025 - Rating every new A..."/>
        <s v="Why You Shouldn't Cook on a We..."/>
        <s v="Apple's AI Crisis: Explained!"/>
        <s v="Electric Crossing Gate â€¢ Dc ..."/>
        <s v="Apple Vision Pro à¤¸à¤¬à¤¸à¥‡ ..."/>
        <s v="respect ðŸ˜±ðŸ”¥ I non stop cy..."/>
        <s v="Museum Exhibit Reveals Enginee..."/>
        <s v="unknown planet ðŸ˜² 3d Special..."/>
        <s v="This Breakthrough Technology W..."/>
        <s v="Robots New Technology #robots ..."/>
        <s v="â‚¹4000000 à¤•à¤¾ Apple Vs Sup..."/>
        <s v="The mechanical switch is dead."/>
        <s v="nokia type c jack replace tips..."/>
        <s v="Sim Connector Repair Tips #sho..."/>
        <s v="Chinaâ€™s military unveils rob..."/>
        <s v="4 School Students GadgetsðŸ¤© ..."/>
        <s v="à´¸àµ‚à´ªàµà´ªàµ¼ à´•à´•àµà´..."/>
        <s v="à¤¯à¥‡ à¤¹à¥ˆà¤‚ à¤¸à¤¬à¤¸à¥‡ ..."/>
        <s v="Primitive Technology: Belt and..."/>
        <s v="Introduction to OpAmps #electr..."/>
        <s v="à¤¦à¤¿à¤²à¥à¤²à¥€ à¤šà¥‹à¤° à..."/>
        <s v="Technology Funny message ringt..."/>
        <s v="Gyro Sensor Based Mini Drone, ..."/>
        <s v="Me subÃ­ al metro con los Appl..."/>
        <s v="à¤¦à¥à¤¨à¤¿à¤¯à¤¾ à¤•à¥‡ à¤¸à..."/>
        <s v="iOS 26 is terrible."/>
        <s v="Unbelievable China's technolog..."/>
        <s v="Nuclear Power #technology"/>
        <s v="What do tech pioneers think ab..."/>
        <s v="iPhone 17 unboxing #iphone #te..."/>
        <s v="How to fix water damaged phone..."/>
        <s v="I tested every Celebrity Tech ..."/>
        <s v="The Neuralink Brain Chip | Elo..."/>
        <s v="New technology used in the wor..."/>
        <s v="( New ) Free internet 100% Wor..."/>
        <s v="&quot;Mind-Blowing&quot;- The Most Expen..."/>
        <s v="Design Pe confidence | Mini Vl..."/>
        <s v="duniya ki sabse ajib Bhains wa..."/>
        <s v="Samsung à¤¤à¥à¤®à¤¸à¥‡ à¤¨à¤¾..."/>
        <s v="Viral Haha Technology  and Tec..."/>
        <s v="technology #memes #funny"/>
        <s v="Technology âŒTechnologia âœ… ..."/>
        <s v="Das ist der extreme Budget Gam..."/>
        <s v="NOT a normal smartphoneðŸ¤”#te..."/>
        <s v="Robot Motherâ€™s Tender Moment..."/>
        <s v="I Got Saste Useful Gadgets ðŸ˜..."/>
        <s v="Ye Technology India se bahar n..."/>
        <s v="Repairing old 12v battery #exp..."/>
        <s v="#technology #garenafreefire"/>
        <s v="Top 15 Tech Finds of ALL TIME ..."/>
        <s v="20 INVENTIONS THAT WILL CHANGE..."/>
        <s v="R2 | Inside Rivianâ€™s Vehicle..."/>
        <s v="Why Europe Failed to Dominate ..."/>
        <s v="Technology of Free Fire ðŸ˜Ž: ..."/>
        <s v="technologya ðŸ¤£ðŸ¤£ #funny #c..."/>
        <s v="Google Now Protects YOU Like a..."/>
        <s v="Amazon mobile order cheythappo..."/>
        <s v="à¸§à¸´à¸˜à¸µà¸›à¸¥à¸¹à¸à¸žà¸·..."/>
        <s v="WWDC 2025: Everything Revealed..."/>
        <s v="WWDC 2025 Impressions: Liquid ..."/>
        <s v="O Teclado MagnÃ©tico Mais Lind..."/>
        <s v="TechnologyâŽ Technologiaâœ… T..."/>
        <s v="Digital Technology | The Inven..."/>
        <s v="411 I like ðŸ‘ this video #ne..."/>
        <s v="DIY Electronic Dice â€“ It Act..."/>
        <s v="USB touch light #tech #anitech..."/>
        <s v="Big Tech in panic mode... Did ..."/>
        <s v="TechnologyðŸ˜#ashudishu_6717 ..."/>
        <s v="à¹„à¸­à¹€à¸”à¸µà¸¢à¸”à¸µà¸¡à¸²..."/>
        <s v="Elon Musk and President Trump ..."/>
        <s v="Technology âŒ Technologia âœ…"/>
        <s v="TechnologyðŸ¥´ðŸ«  #bikelover ..."/>
        <s v="Gostou? Se inscreva no canal p..."/>
        <s v="Top 10 Emerging Technologies o..."/>
        <s v="#cricket #cricketshorts #techn..."/>
        <s v="Top 10 New Trending Technologi..."/>
        <s v="Viral Memes of 2024 | Part 2"/>
        <s v="#adityavlogs #adityaranjansir ..."/>
        <s v="Programming memes, only humor ..."/>
        <s v="Fingerprint sensor with Arduin..."/>
        <s v="à¸§à¸´à¸˜à¸µà¸«à¸§à¹ˆà¸²à¸™à¸›..."/>
        <s v="Poco 7550mAh Phone coming, Not..."/>
        <s v="mini solar plate for mobile ch..."/>
        <s v="Meta glassesðŸ˜Ž #meta #glasse..."/>
        <s v="I Tested 100 Years of Tech!"/>
        <s v="Race Highlights | 2025 Bommari..."/>
        <s v="iPhone 17 Pro Big News, POCO F..."/>
        <s v="I bought the Cheapest Tech on ..."/>
        <s v="à¹ƒà¸Šà¹‰à¸—à¸¸à¹ˆà¸™à¹„à¸›à¹€..."/>
        <s v="Tecnologia in Cricket #technol..."/>
        <s v="Instagram-à®²à¯ à®ªà¯à®¤à®¿à..."/>
        <s v="#freefireshorts  #new Bandar #..."/>
        <s v="Did you know ðŸ¤¯ #lifehacks #..."/>
        <s v="I Canâ€™t Believe I Care about..."/>
        <s v="The Most Dangerous Neodymium M..."/>
        <s v="I bought the Ultimate Survival..."/>
        <s v="Czy to w ogÃ³le potrzebne?#Å›m..."/>
        <s v="ðŸ“±ðŸ’» Â¿CambiarÃ­as tu Mac ..."/>
        <s v="Hyper X Gaming Mouse &amp; Gaming ..."/>
        <s v="à¦à¦‡ à¦›à§‹à¦Ÿ à¦›à¦¿à¦¦à§à..."/>
        <s v="vivo Y400 Pro is here - Stylis..."/>
        <s v="iOS 26 Features || Prasad Tech..."/>
        <s v="Mind-Blowing Construction Tech..."/>
        <s v="Japan Ki Technology |#shortvid..."/>
        <s v="Ha ha à¦à¦Ÿà¦¾ à¦¨à¦¾à¦•à¦¿ T..."/>
        <s v="4 Satisfying Gadgets  #gadgets..."/>
        <s v="#smartphone #technologykabaap ..."/>
        <s v="This is why I keep downgrading..."/>
        <s v="1 month without US tech giants"/>
        <s v="Why is Big Tech Slashing Jobs ..."/>
        <s v="Meibot in Lab  ðŸ¥¼ ðŸ”¬ #futu..."/>
        <s v="ATM bike viral shorts #technol..."/>
        <s v="Heavy Tractor Working In The F..."/>
        <s v="TECHNOLOGIA!!BOBY SHINGH!!CHOU..."/>
        <s v="Milow - Ayo Technology (Offici..."/>
        <s v="Ayo Yo Technology - Sunep Lemt..."/>
        <s v="EarBuds from China in 150rs ðŸ..."/>
        <s v="AMD Doesnâ€™t Give a F**K Eith..."/>
        <s v="à¦Ÿà§‡à¦•à¦¨à§‹à¦²à¦œà¦¿ vs à¦..."/>
        <s v="Bidi Ko Fuk Diya || à¤¬à¥€à¤¡à..."/>
        <s v="à¹€à¸„à¸£à¸·à¹ˆà¸­à¸‡à¸à¸£à¸­..."/>
        <s v="AgiBot Robotic Learning Datase..."/>
        <s v="50 Cent - Ayo Technology (Offi..."/>
        <s v="The Fan With no Moving Parts! ..."/>
        <s v="Teleportasi? Bisa atau enggak ..."/>
        <s v="#tecnologia acessÃ³rios para c..."/>
        <s v="How Pakistan Stole Nuclear B*m..."/>
        <s v="Galaxy S25 Edge and the Thin P..."/>
        <s v="damage bluetooth headphone con..."/>
        <s v="The BOLDEST boot technology cl..."/>
        <s v="Top 10 Technologies To Learn I..."/>
        <s v="à¦à¦‡ à¦¸à¦¿à¦¨à§à¦¡à¦¿à¦•à§..."/>
        <s v="Create a robot controlled by p..."/>
        <s v="#smartphone #howtomakepowerban..."/>
        <s v="POTENTE MÃQUINA #shorts #vira..."/>
        <s v="Future Technology According to..."/>
        <s v="NEW Apple CarPlay with iOS 26!..."/>
        <s v="The Next Big Thing in Semicond..."/>
        <s v="oneplus 13t black color #short..."/>
        <s v="15 Technologies That Will Chan..."/>
        <s v="tecno spark go 1 |@7,299 | bes..."/>
        <s v="20 BEST Things I saw in Vegas ..."/>
        <s v="Primitive Technology: Water po..."/>
        <s v="Excellent Technology! Top 10 A..."/>
        <s v="DeepSeek stole our tech... say..."/>
        <s v="100 Coolest Amazon Gadgets and..."/>
        <s v="#motoedge60stylus #iphone16pro..."/>
        <s v="14 most AWKWARD Tech Fails of ..."/>
        <s v="â‚¹4 Vs â‚¹4000 Satisfying Pro..."/>
        <s v="Forget the Switch 2... Get a S..."/>
        <s v="RRB NTPC 2025 ðŸ”¥ Science and..."/>
        <s v="15 June Enjine falure Technolo..."/>
        <s v="Technologia Original Video ðŸ˜..."/>
        <s v="The Hottest Bikes &amp; Pro Tech O..."/>
        <s v="Introducing Liquid Glass | App..."/>
        <s v="Grizzy &amp; the lemmings vs. Adva..."/>
        <s v="new technology drone use in fi..."/>
        <s v="NUBBIN UNBOXING #technology #t..."/>
        <s v="Ai à¦•à¦¿ à¦®à¦¾à¦¨à¦¬à¦¸à¦­à§..."/>
        <s v="10M technology #shorts #comedy..."/>
        <s v="iPhone 11 screen replacement #..."/>
        <s v="Primitive Technology: Iron kni..."/>
        <s v="Here's the iPhone 17 Pro | Fir..."/>
        <s v="Enjine falure TechnologyðŸ˜± #..."/>
        <s v="MY NEW TECH CHANNEL"/>
        <s v="3 Cool GadgetsðŸ”¥"/>
        <s v="Primitive Technology: Charcoal..."/>
        <s v="Feedback to EVERY Phone Brand ..."/>
        <s v="Linus Sebastian Shows Jimmy an..."/>
        <s v="Robotic &amp; Digital Animals Are ..."/>
        <s v="Technology Full Live Set @ Uni..."/>
        <s v="From ENIAC to Quantum Computer..."/>
        <s v="Robot ko kiss ðŸ‘„ kar liya ðŸ..."/>
        <s v="379 I like ðŸ‘ this video #ne..."/>
        <s v="The most *promising* tech from..."/>
        <s v="à¸£à¸±à¸šà¸ªà¸¡à¸±à¸„à¸£à¸„à¸™..."/>
        <s v="Raspberry Pi vs Arduino: The E..."/>
        <s v="My setup feels better than eve..."/>
        <s v="Better protect your safety#sci..."/>
        <s v="&quot;à¤­à¤µà¤¿à¤·à¥à¤¯ à¤•à¥€ à¤Ÿ..."/>
        <s v="Does NVIDIA FINALLY Have A Rea..."/>
        <s v="Bloomberg Business News Live"/>
        <s v="Vivo x200 ultra ðŸ”¥ Vivo x200..."/>
        <s v="Malaysia's Biggest Tech Mall h..."/>
        <s v="Android 16 Is FINALLY HERE â€“..."/>
        <s v="CES 2025 Las Vegas: Mind-Blowi..."/>
        <s v="China's slaughterbots show WW3..."/>
        <s v="5 Samsung features I BET you d..."/>
        <s v="Top 10 NEW Humanoid Robots of ..."/>
        <s v="Black Box Ki Khasiyat #tech #t..."/>
        <s v="BREAKING: Most Important Tech ..."/>
        <s v="OnePlus 13S Look and Specifica..."/>
        <s v="SDR: Radio Ka Naya Era #smartp..."/>
        <s v="How do Graphics Cards Work?  E..."/>
        <s v="Primitive Technology: Flywheel..."/>
        <s v="Lava feature Phone 2025 With D..."/>
        <s v="First Computer to QUANTUM COMP..."/>
        <s v="How the Next Big Solar Panel T..."/>
        <s v="OnePlus 13s Unboxing- Most Pow..."/>
        <s v="15 EMERGING TECHNOLOGIES THAT ..."/>
        <s v="CES 2025 - Best and WEIRDEST N..."/>
        <s v="Absolutely everything went wro..."/>
        <s v="Life in 2100 (à¤­à¤µà¤¿à¤·à¥à..."/>
        <s v="We Survived 100 Days In SKYBLO..."/>
        <s v="Innovative Healthcare: The Syn..."/>
        <s v="Bajaj Freedom 125 #bike #short..."/>
        <s v="Alcatel Phone comeback in Indi..."/>
        <s v="vivo T4 Ultra Unboxing &amp; First..."/>
        <s v="Instagram Important Settings ð..."/>
        <s v="#mobilephone #smartphone #ripa..."/>
        <s v="Impossible Technologies You Ca..."/>
        <s v="I TRIED 7 COOL GADGETS FROM SH..."/>
        <s v="polythene urine #facts #viralv..."/>
        <s v="Lost Your Phone? Do This ASAP!..."/>
        <s v="Why Investors Are Piling into ..."/>
        <s v="Japan's Expo 2025: Incredible ..."/>
        <s v="Foldable Laptop Magic?! Huawei..."/>
        <s v="DeepSeek Just CRUSHED Big Tech..."/>
        <s v="Huawei Maextro S800 â€“ Latest..."/>
        <s v="iPhone 17 is INSANE - 8 MAJOR ..."/>
        <s v="#smartphone #tech #technology ..."/>
        <s v="Japanese Farmers Harvest Expen..."/>
        <s v="Primitive Technology - Meet Fi..."/>
        <s v="China's Top 5 Manufacturing an..."/>
        <s v="12 AMAZING Tech Gadgets on Ama..."/>
        <s v="Primitive Technology: Re-smelt..."/>
        <s v="How to Transfer Files From Pho..."/>
        <s v="100â‚¹ VS 50000â‚¹ POWERBANK"/>
        <s v="Best Budget Liquid Cooler 2025..."/>
        <s v="Stealth Technology: How Milita..."/>
        <s v="vivo T4 Ultra Review in Telugu..."/>
        <s v="à¤†à¤ªà¤•à¤¾ SmartPhone à¤†à¤ª..."/>
        <s v="BEST Budget Tech - Gadgets to ..."/>
        <s v="World's First Triple Folding S..."/>
        <s v="Mummy ka Damad Banaungi ||à¤®à..."/>
        <s v="Alien Portals: Strange Artifac..."/>
        <s v="CÃ³mo cerrar sesiones de Googl..."/>
        <s v="China's Canton Fair 2025...Ame..."/>
        <s v="How a slinky falls in slow mot..."/>
        <s v="Apple's April 20th Event in 60..."/>
        <s v="The Witcher 4 - Tech Demo Cine..."/>
        <s v="vivo X200 Ultra Unboxing &amp; Fir..."/>
        <s v="Steering wheel #trending #mech..."/>
        <s v="Use full screen mode to improv..."/>
        <s v="iQOO Z10 &amp; Z10x Unboxing &amp; Fir..."/>
        <s v="iOS 26 Liquid Glass UI â€“ App..."/>
        <s v="Is Scaler School of Technology..."/>
        <s v="Apple iOS 26 is here - Android..."/>
        <s v="Motorola razr 60 ULTRA is here..."/>
        <s v="à¤•à¥à¤¯à¤¾ à¤¹à¥ˆ Hyperloop ..."/>
        <s v="garden reach shipbuilders shar..."/>
        <s v="#technology #car #tech #china"/>
        <s v="SEC 1 Information Technology I..."/>
        <s v="ALL IMPORTANT QUESTIONS IT TRE..."/>
        <s v="How to force restart your iPho..."/>
        <s v="How to Add a Page Border in Mi..."/>
        <s v="Strange Mysterious: Alien Reli..."/>
        <s v="This New Upcoming Phone - Will..."/>
        <s v="Samsung Galaxy M56 Unboxing &amp; ..."/>
        <s v="Brazo robÃ³tico ACEBOTT #short..."/>
        <s v="TrakinTech Presents India's Bi..."/>
        <s v="Modernising Monarchy: One Hund..."/>
        <s v="Japan Introdused The Most AMAZ..."/>
        <s v="à¤®à¥‹à¤Ÿà¤° à¤¸à¥‡ à¤›à¥‹à¤Ÿà..."/>
        <s v="I Played GTA 6 Before Launch !..."/>
        <s v="Puse a prueba estos rayos x pa..."/>
        <s v="Old Tech That Still Works  #fa..."/>
        <s v="iPhone lene vale ho to ruk jao..."/>
        <s v="Programming memes ðŸ˜‚ sub for..."/>
        <s v="How Technology Changed the Kitchen" u="1"/>
        <s v="à¹„à¸­à¹€à¸”à¸µà¸¢à¸”à¸µà¸¡à¸²à¸#technology #whatsappstatus  #yearofyou  #elephant  #anime #zoo #viralvideo" u="1"/>
        <s v="Japan Ki Technology |#shortvideo #japan" u="1"/>
        <s v="Flywheel Free Energy?! #technology #fake #funny" u="1"/>
        <s v="High voltage speaker reaction #project #experiment #tech" u="1"/>
        <s v="5 Most Extreme Tech Pranks! ðŸ‘º" u="1"/>
        <s v="I Canâ€™t Believe I Care about a Motorola Phoneâ€¦. - Motorola Razr Ultra (2025)" u="1"/>
        <s v="High voltage converts low voltage method | transformer #project #diy #tech" u="1"/>
        <s v="à¦à¦‡ à¦¸à¦¿à¦¨à§à¦¡à¦¿à¦•à§‡à¦Ÿ à¦•à¦¬à§‡ à¦¬à¦¨à§à¦§ à¦¹à¦¬à§‡ ? ðŸ¥²ðŸ˜­ #tech #technology #mobilerepair" u="1"/>
        <s v="iShowSpeed Shocked By This Technology In China ðŸ¤¯ðŸ”¥" u="1"/>
        <s v="China ki drone technology short video #china #drone #export #facts #shorts" u="1"/>
        <s v="( New ) Free internet 100% Working -  New Technology 2019" u="1"/>
        <s v="The most *promising* tech from CES 2025" u="1"/>
        <s v="Amazon mobile order cheythappol #ytshorts #travel #youtubeshorts #shots #shortsvi #technology #tech" u="1"/>
        <s v="I bought the Cheapest Tech on the internet." u="1"/>
        <s v="Malaysia's Biggest Tech Mall has EVERYTHING (Even 5090s)" u="1"/>
        <s v="how to change ordinary lights into dimming lights #light #technology #shorts" u="1"/>
        <s v="DeepSeek Just CRUSHED Big Tech AGAIN With JANUS PRO - New SHOCKING AI Model!" u="1"/>
        <s v="Technology âŒ Technologia âœ…ðŸ¤ª#shorts #shortvideos #technology" u="1"/>
        <s v="Is Scaler School of Technology Worth It? Fees, Degree, Campus Life â€“ All Your Doubts Answered" u="1"/>
        <s v="Elon Musk and President Trump Feud Impacts Tesla, SpaceX | Bloomberg Technology 6/5/2025" u="1"/>
        <s v="Smart Invention With Shoes Â° DC Motor #dcmotor #inventions #motor #tech #technology #ideas #shorts" u="1"/>
        <s v="This Gadget can ZOOM Upto 200X ðŸ¤­" u="1"/>
        <s v="NEW Apple CarPlay with iOS 26! | FIRST LOOK!" u="1"/>
        <s v="Did you know ðŸ¤¯ #lifehacks #technology #science" u="1"/>
        <s v="28 Inventions of the Future that will soon be Available to Everyone" u="1"/>
        <s v="Will FUTURE Technology Make Us HAPPY? (The Human Washing Machine) #short #shorts #youtuber #fitness" u="1"/>
        <s v="From ENIAC to Quantum Computers:The Evolution of Technology. #facts#uniquefacts#technology#computer" u="1"/>
        <s v="automation solution for machine design #mechanical #machinedesign #mechanism #automation #technology" u="1"/>
        <s v="This Technology Can Save Plane Crashes ðŸ˜±" u="1"/>
        <s v="Japan next level technology ðŸ¤¯ #japan #technology #fish #shorts" u="1"/>
        <s v="Appleâ€™s THINNEST ever device is RIDICULOUS!" u="1"/>
        <s v="Puse a prueba estos rayos x para ver a traves de las paredes &quot;Walabot&quot;" u="1"/>
        <s v="I bought the STRONGEST Tech Ever!" u="1"/>
        <s v="Military Technology ðŸ”¥ #shorts" u="1"/>
        <s v="Bajaj Freedom 125 #bike #shorts #bajaj #technology" u="1"/>
        <s v="Worldâ€™s smallest 4K headset ðŸ˜Ž #tech #vr #technology #virtualreality #insideout2" u="1"/>
        <s v="This Robot Will Replace the Police" u="1"/>
        <s v="Technologia Original Video ðŸ˜±" u="1"/>
        <s v="AMD Doesnâ€™t Give a F**K Either - Tech News June 8" u="1"/>
        <s v="Apple iOS 26 is here - Android is boring now?" u="1"/>
        <s v="#smartphone #technologykabaap #tech #vivov23price #unboxing #facts #technology #vivo #viral" u="1"/>
        <s v="â‚¹4000000 à¤•à¤¾ Apple Vs Super Clean #shorts  #gadgets" u="1"/>
        <s v="Amazing Power Full Tractor Work In The Field #tractor #farming #automobile #technology #shortvideo" u="1"/>
        <s v="Elon Musk Tesla Robot Girlfriend #shorts #tesla #technology #fyp #ai #viral #viralvideos #robots #AI" u="1"/>
        <s v="China's Canton Fair 2025...America is Done! (tariffs not working)" u="1"/>
        <s v="Absolutely everything went wrong - Intel $5,000 Extreme Tech Upgrade" u="1"/>
        <s v="Viral Haha Technology  and Technologia and tecnologia" u="1"/>
        <s v="SDR: Radio Ka Naya Era #smartphone #trending #technology #shorts #computer #tech #nvidia" u="1"/>
        <s v="Japanese Farmers Harvest Expensive Grapes This Way - Transporting Grapes | Agriculture Technology" u="1"/>
        <s v="Raspberry Pi vs Arduino: The Epic Battle That Changed Technology Forever" u="1"/>
        <s v="#science #roads road technology #technology" u="1"/>
        <s v="technology technology #comedy #funny #fun #memes #abrazkhan #unfrez #comedyfilms" u="1"/>
        <s v="How Neuralink chip work in first person ?" u="1"/>
        <s v="This Japanese Technology is AmazingðŸ˜± | Japan Technology #shorts #viral" u="1"/>
        <s v="Poco 7550mAh Phone coming, Nothing Phone 3 First look?, Oneplus nord 5 price , OPPO K13x coming" u="1"/>
        <s v="Motorola razr 60 ULTRA is here - The Next Level Phone ?" u="1"/>
        <s v="Fingerprint sensor with Arduino using Voice Alert. engineering #electronics #technology" u="1"/>
        <s v="Introducing Liquid Glass | Apple" u="1"/>
        <s v="ATM coin bike technology shorts #funny #technology #hacker #bike #youtubeshorts #viralshorts" u="1"/>
        <s v="Feedback to EVERY Phone Brand - With Technology Gyan !" u="1"/>
        <s v="WWDC 2025 - Rating every new Apple Software!" u="1"/>
        <s v="Better protect your safety#science #technology #sciencetechnology #shorts #viralvideo" u="1"/>
        <s v="Why Europe Failed to Dominate Tech" u="1"/>
        <s v="tecno spark go 1 |@7,299 | best smartphone under 7,000 |review |#bestsmartphoneunder10000" u="1"/>
        <s v="Top 10 New Trending Technologies To Learn in 2024 #appworks #top #technology #2024" u="1"/>
        <s v="à¤­à¤¾à¤°à¤¤ Vs à¤…à¤®à¥‡à¤°à¤¿à¤•à¤¾ à¤ªà¤¾à¤‡à¤ªà¤²à¤¾à¤‡à¤¨ à¤Ÿà¥‡à¤•à¥à¤¨à¥‹à¤²à¥‰à¤œà¥€! #shorts" u="1"/>
        <s v="The Evolution of Technology: A Journey with Jim Al-Khalili" u="1"/>
        <s v="#cricket #cricketshorts #technology#viral cricket video#shortvideo cricket viral video#technology #" u="1"/>
        <s v="Best Budget Liquid Cooler 2025 | Deepcool LE360 V2 Anti Leak Technology #deepcool #le360v2" u="1"/>
        <s v="IOT Smart Parking, esp8266, Arduino | best Engineering Project ever #ideas #trending #innovation" u="1"/>
        <s v="The Worlds Smartest Glasses | Even Realities G1 #EvenPartner" u="1"/>
        <s v="Museum Exhibit Reveals Engineering Secrets! ðŸ¤¯ #Mechanics #Technology #Science #HowItWorks #iotforge" u="1"/>
        <s v="high security lock #tech #anitech #gadgets #ytshorts" u="1"/>
        <s v="The lamb tail docking surgical table #education #machinery #interesting #technology #invention" u="1"/>
        <s v="I bought the BIGGEST Tech in the world." u="1"/>
        <s v="Technology âŒ Technologia âœ… #shorts #shortvideo #shortsfeed #technology #viralshort #funnyvideo #meme" u="1"/>
        <s v="Amazing Power Full Tractor Work In Field #tractor #farming #automobile #technology #shortvideo" u="1"/>
        <s v="Revolutionary carseat technology #china #shorts #tech" u="1"/>
        <s v="20 BEST Things I saw in Vegas at CES 2025!" u="1"/>
        <s v="TECHNOLOGY ORÄ°GÄ°NAL #technology #viralvideo #funny" u="1"/>
        <s v="Drone giveaway ðŸ˜±ðŸ”¥#shortvideo #shorts #technology #giveaway #viralshort #viralproducts #techtech" u="1"/>
        <s v="AgiBot Robotic Learning Dataset #technology" u="1"/>
        <s v="Worlds smallest 4K headset ðŸ˜Ž Visor.com #tech #vr #technology #virtualreality #coraline" u="1"/>
        <s v="ðŸ˜± Top 3 Best Gadgets For Students â— | #shorts #tamilfacts #officialfacts" u="1"/>
        <s v="ATM bike viral shorts #technology #atm #funny #hacker #viralvideo #bike  #youtubeshorts #newvideo" u="1"/>
        <s v="âš¡ï¸USB Fingerprint Reader - Best Laptop Gadget âš¡ï¸ #telugu #viral #shorts #india #trending #laptop" u="1"/>
        <s v="Rocket Launcher | M4 Tech | #shorts" u="1"/>
        <s v="Cleaning a Lenovo Legion laptop to fix overheating #tech #pc #technology #shorts" u="1"/>
        <s v="Digital Technology | The Invention of the QR Code? | Barcode Scanner | The Dr. Binocs Show" u="1"/>
        <s v="Technology or Nature ðŸ¤« Watch closely" u="1"/>
        <s v="ðŸ“±ðŸ’» Â¿CambiarÃ­as tu Mac por un iPad? #Tecnologia #AppleStore #iPadPro #iPadOS26 #ipadtips #crisapple" u="1"/>
        <s v="#science  #technology #machine #bus" u="1"/>
        <s v="ðŸ˜®MKBHD REVEALS HIS DREAM PHONE! #shorts" u="1"/>
        <s v="VÃ­deo Original Technologhia  #technology #meme" u="1"/>
        <s v="DON'T EAT THE BATTERY #electronics #battery #technology #funny" u="1"/>
        <s v="CES 2025: 15 Best Tech Youâ€™ll Actually Want!" u="1"/>
        <s v="Forget the Switch 2... Get a Steam Deck?" u="1"/>
        <s v="We Survived 100 Days In SKYBLOCK TECHNOLOGY In Minecraft Hardcore | Duo 100 Days" u="1"/>
        <s v="ðŸ”¥ðŸ¤– #RobotPower Unitree G1 Unleashes a 720Â° Tornado Kickâ€”100% Real, No Edits!  #robot  #humanoidrobot" u="1"/>
        <s v="navy seal robot get technology updates #robot #robots #robotics #technology #usa #robo" u="1"/>
        <s v="NOT a normal smartphoneðŸ¤”#tech" u="1"/>
        <s v="Tecnologia in Cricket #technology #memes #shorts #cricket #cricketshorts" u="1"/>
        <s v="Ai à¦•à¦¿ à¦®à¦¾à¦¨à¦¬à¦¸à¦­à§à¦¯à¦¤à¦¾à¦° à¦œà¦¨à§à¦¯ à¦­à§Ÿà¦‚à¦•à¦° | AFR Technology" u="1"/>
        <s v="USB in USB #charger #technology #electronic #funny" u="1"/>
        <s v="Top 10 Emerging Technologies of 2025 (According to Science)" u="1"/>
        <s v="Bidi Ko Fuk Diya || à¤¬à¥€à¤¡à¤¼à¥€ à¤•à¥‹ à¤«à¥‚à¤• à¤¦à¤¿à¤¯à¤¾ || New Nagpuri Song 2025 || Avinash Nayak|| Avinash &amp; Harsha" u="1"/>
        <s v="Most Expensive Smartphone Cases!" u="1"/>
        <s v="à¤¯à¥‡ à¤¹à¥ˆ Duniya à¤•à¤¾ à¤¸à¤¬à¤¸à¥‡ à¤–à¤¤à¤°à¤¨à¤¾à¤• PhoneðŸ˜˜ Samsung S25Ultra" u="1"/>
        <s v="Life in 2100 (à¤­à¤µà¤¿à¤·à¥à¤¯ à¤®à¥‡à¤‚ à¤§à¤°à¤¤à¥€ à¤•à¤¾ à¤¨à¤¯à¤¾ à¤°à¥‚à¤ª)" u="1"/>
        <s v="à¸§à¸´à¸˜à¸µà¸›à¸¥à¸¹à¸à¸žà¸·à¸Šà¹à¸šà¸šà¹ƒà¸«à¸¡à¹ˆ #technology #whatsappstatus  #yearofyou  #elephant  #anime #zoo #viralvideo" u="1"/>
        <s v="mini portable fan #tech #anitech #gadgets #ytshorts" u="1"/>
        <s v="Technology Funny message ringtone|| cute message notification tone #ringtones" u="1"/>
        <s v="new technology drone use in fireðŸ˜²ðŸ˜Š#technology #facts #tech #techno #technogamerz #shortfeed #drone" u="1"/>
        <s v="ThinkPad or ThinkBad? Has Lenovo ruined the best laptop ever made? #tech #pc #technology #shorts" u="1"/>
        <s v="vivo T4 Ultra Unboxing &amp; First Look âš¡D9300+, 100X Zoom &amp; 90W Charging @ â‚¹34,999*" u="1"/>
        <s v="mini solar plate for mobile charging #tech #anitech #gadgets #ytshorts" u="1"/>
        <s v="Ayo Yo Technology - Sunep Lemtur Ft. Kunotolly Sumi #Nagamese Song #northeastindia #northeastmusic" u="1"/>
        <s v="#motoedge60stylus #iphone16promax #iphone16 #short #shorts #funny #funnyvideo #tech #technology" u="1"/>
        <s v="Technology âŒ Technologia âœ… Free fire new trick ðŸ”¥ #shorts #trending#viralvideo#trollface #freefire" u="1"/>
        <s v="Science and technology ðŸ—¿ science test #alberteinstein #science #sigma #physics#science test" u="1"/>
        <s v="Top 20 New Technology Trends That Will Define the Future" u="1"/>
        <s v="12 AMAZING Tech Gadgets on Amazon That Will CHANGE Your Life" u="1"/>
        <s v="#adityavlogs #adityaranjansir #ssc #teacher #technology #motivation" u="1"/>
        <s v="China's Top 5 Manufacturing and Mass Production Videos | by @miracleprocess" u="1"/>
        <s v="Grizzy &amp; the lemmings vs. Advanced Technology | 25' Compilation ðŸ»ðŸ¹ Cartoon for Kids" u="1"/>
        <s v="ATM bike new feature shorts #funny #youtubeshorts #hacker #bikeride #technology #experiment" u="1"/>
        <s v="NUBBIN UNBOXING #technology #techunboxing #unboxing #ytshorts #shorts #newtechnology #blackmirror" u="1"/>
        <s v="china smart roads and technologyðŸ˜² #china #technology #facts #knowledge #road #hindi #shorts" u="1"/>
        <s v="NVIDIA unveils its most affordable tiny supercomputer" u="1"/>
        <s v="Technology âŽ Technologia âœ… #shorts #memes #funnymemes #viralmemes" u="1"/>
        <s v="The amazing, but unsettling future of technology..." u="1"/>
        <s v="Essay on Technology #shorts #youtubeshorts #technology #tech #science #internet #essay #innovation" u="1"/>
        <s v="30 year old IBM ThinkPad puts modern #tech to shame #pc #technology #shorts" u="1"/>
        <s v="Is it cool to HATE technology now?" u="1"/>
        <s v="BEST Budget Tech - Gadgets to Save You Money!" u="1"/>
        <s v="AI &amp; future of workforce: Andrew Yang on how the technology will impact jobs" u="1"/>
        <s v="Such a cool piece of tech!! â¤ï¸ @DJI Official #dji #camera #technology" u="1"/>
        <s v="Generates electricity in both directions Â° DC Motor #dcmotor #tech #shorts" u="1"/>
        <s v="15 June Enjine falure TechnologyðŸ˜± #automobile #shorte #technology #shorte #ytshorts #mechanic" u="1"/>
        <s v="TechnologyðŸ˜#ashudishu_6717 #reels #shorts #technology #prank #tricks #sunglasses #funny #fyp #like" u="1"/>
        <s v="I Tried Meta's New Prototype AR Glasses" u="1"/>
        <s v="Overheating Alienware #gaming laptop (this is BAD) #tech #pc #technology #shorts" u="1"/>
        <s v="USB touch light #tech #anitech #gadgets #ytshorts" u="1"/>
        <s v="Tiny Gadget is Always Listening..." u="1"/>
        <s v="Technology has gone too far #comedy #music #parody of Video Killed The Radio Star by The Buggles" u="1"/>
        <s v="Future Technology | 60 Minutes Marathon" u="1"/>
        <s v="I Tested Every YouTuber Tech Product" u="1"/>
        <s v="Primitive Technology: Flywheel blower smelt/Monsoon begins" u="1"/>
        <s v="Broken Flex Repair #mobilerepair #technology" u="1"/>
        <s v="A bus that can even go into water #technology" u="1"/>
        <s v="This Breakthrough Technology Will Power Everything â€” And Nobodyâ€™s Noticing It" u="1"/>
        <s v="wait for endâ€¦â€¦ðŸ˜‚#funny #trend #comedy #pani #nal #kuchbhiyar #technology" u="1"/>
        <s v="When Technology Becomes Art #Meibot #future #robot #art #tech #technology" u="1"/>
        <s v="5 Most BRUTAL Tech Pranks Ever!" u="1"/>
        <s v="Future of AI: Robots Giving Birth in Hospitals? ðŸ¥ðŸ‘¶ #robots #robot" u="1"/>
        <s v="trend of reel-ðŸ¤£ðŸ‘ˆðŸ˜²  technology ðŸ˜  #minivlog #viralvideo #facts #funny #technology #shortvideo" u="1"/>
        <s v="Samsung à¤¤à¥à¤®à¤¸à¥‡ à¤¨à¤¾ ho payega ðŸ˜£ðŸ˜‚ #viral #trending #technology #gadgets #shorts #samsung #new #tech" u="1"/>
        <s v="China Has Launched New Generation Transport SHOCKING The US" u="1"/>
        <s v="What is Artificial Intelligence? Types &amp; Uses #shorts #aritificialintelligence #technology #ai" u="1"/>
        <s v="4 SPY gadgets to keep you Undercover!" u="1"/>
        <s v="à¤•à¥à¤¯à¤¾ à¤¹à¥ˆ Hyperloop | Virgin Hyperloop | Hyperloop Technology | Mumbai Pune Hyperloop" u="1"/>
        <s v="oneplus 13t black color #shorts #short #technology #mobile #unboxing" u="1"/>
        <s v="What do tech pioneers think about the AI revolution? - BBC World Service" u="1"/>
        <s v="First Computer to QUANTUM COMPUTERS - Full Technology Evolution Explained" u="1"/>
        <s v="vivo X200 Ultra Unboxing &amp; First Look âš¡ This Is It! R.I.P. DSLR ðŸª¦" u="1"/>
        <s v="technology technology ðŸ˜œðŸ˜‚ #comedy #shorts #shortfeed #videos #thecrazycomedy" u="1"/>
        <s v="DeepSeek stole our tech... says OpenAI" u="1"/>
        <s v="10 lines essay on Technology in English!! Technology essay writing!! Essay on Technology!!" u="1"/>
        <s v="Unbelievable technology of CHINA ( à¤šà¥€à¤¨ à¤•à¥€ à¤…à¤¦à¤­à¥à¤¤ à¤–à¥‡à¤¤à¥€ )" u="1"/>
        <s v="IOT Home Automation #arduino #project #iot #technology #ytshorts #ideas" u="1"/>
        <s v="Technologyia ðŸ˜‚ðŸ˜‚ðŸ˜‚ || New Trend â˜ ï¸ || #technology #funny #memes" u="1"/>
        <s v="4 Satisfying Gadgets  #gadgets #shorts" u="1"/>
        <s v="à¤®à¥‹à¤Ÿà¤° à¤¸à¥‡ à¤›à¥‹à¤Ÿà¤¾ à¤œà¤¨à¤°à¥‡à¤Ÿà¤° à¤•à¥ˆà¤¸à¥‡ à¤¬à¤¨à¤¾à¤¤à¥‡ à¤¹à¥ˆà¤‚ | How to make 220v generator with 555 motor | Hacker JP" u="1"/>
        <s v="Modernising Monarchy: One Hundred Years of Technology" u="1"/>
        <s v="Technology à¤•à¤¾ Gen-Z ðŸ¤¯ðŸ˜‚ | #viral #trending #shorts #technology #new #tech #soundbar #gadgets #vlog" u="1"/>
        <s v="SEC 1 Information Technology Important Question l Semester 1 sec paper information questions answer" u="1"/>
        <s v="RRB NTPC 2025 ðŸ”¥ Science and Technology | ISRO and DRDO | EXPLAINED by Jeet Rana Sir" u="1"/>
        <s v="Alarm Lock for Home #home #technology #trending #ytshorts" u="1"/>
        <s v="à¤¦à¤¿à¤²à¥à¤²à¥€ à¤šà¥‹à¤° à¤¬à¤¾à¤œà¤¾à¤° Gadgets 500RS ONLYðŸ˜±" u="1"/>
        <s v="The Evolution of Technology: A Generational Journey" u="1"/>
        <s v="#smartphone #tech #technology #unboxing #gadgets #automobile #dramatech #technologygadgets" u="1"/>
        <s v="iOS 26 Liquid Glass UI â€“ Appleâ€™s Most Stunning Redesign Yet!" u="1"/>
        <s v="à¹€à¸„à¸£à¸·à¹ˆà¸­à¸‡à¸à¸£à¸­à¸à¸‚à¹‰à¸²à¸§#technology #whatsappstatus  #yearofyou  #elephant  #anime #zoo #viralvideo" u="1"/>
        <s v="Teleportasi? Bisa atau enggak sih sebenernya? #teleport #teleportation #tech #technology" u="1"/>
        <s v="I bought the most POINTLESS Tech on the internet." u="1"/>
        <s v="Top 10 Technologies To Learn In 2025 | Top Trending Technologies To Learn In 2025 | Simplilearn" u="1"/>
        <s v="Instagram-à®²à¯ à®ªà¯à®¤à®¿à®¯ features ðŸ”¥| New insta feature | App Tamil #tech #technology #techtamil #apptamil" u="1"/>
        <s v="How to Add a Page Border in Microsoft Word? | short" u="1"/>
        <s v="Gostou? Se inscreva no canal para mais conteÃºdos #tech #technology #computador #shorts" u="1"/>
        <s v="Humanoid robot warns of AI dangers" u="1"/>
        <s v="Technologia free fireðŸ¤£ #technology #freefire #meme #trending" u="1"/>
        <s v="Enjine falure TechnologyðŸ˜± #automobile #shorte #technology #shorte #ytshort  #mechanic #engine" u="1"/>
        <s v="Enjine falure TechnologyðŸ˜± #automobile #shorte #technology #shorte #ytshorts #mechanic #engine" u="1"/>
        <s v="jio f220b audio ic bypass jumper #shorts #technology ##trending #viralvideo #electrical" u="1"/>
        <s v="2 à¤–à¤¤à¤°à¤¨à¤¾à¤• ðŸ“³ Phone Gadgets Comparison ðŸ’ª #shorts  #gadgets" u="1"/>
        <s v="ðŸ”¥Top Best Useful student Gadgets In The World | Amazon Gadgets #gadgets" u="1"/>
        <s v="Broken Tracks Repair #mobilerepair #technology" u="1"/>
        <s v="I'm the best technology moment â˜ ï¸" u="1"/>
        <s v="Amazing Technology Of Japanese Engineer'sðŸ˜±||#shorts" u="1"/>
        <s v="Milow - Ayo Technology (Official Music Video)" u="1"/>
        <s v="New invention ðŸ‡®ðŸ‡³ #technology #dcmotor #diy #shorts" u="1"/>
        <s v="Mummy ka Damad Banaungi ||à¤®à¤®à¥à¤®à¥€ à¤•à¤¾ à¤¦à¤¾à¤®à¤¾à¤¦ à¤¬à¤¨à¤¾à¤Šà¤‚à¤—à¥€ ||Shilpa Xalxo &amp;MahavirOraon||New Nagpuri Video2025" u="1"/>
        <s v="Playing With Technology ðŸ˜± #science #technology #viralvideo" u="1"/>
        <s v="technologya ðŸ¤£ðŸ¤£ #funny #comedy #automobile #smartphone #fun #shortvideos #technology #foryou #song" u="1"/>
        <s v="How Fast Is the World's Fastest Supercomputer?" u="1"/>
        <s v="WWDC 2025 Impressions: Liquid Glass!" u="1"/>
        <s v="Amazing Power Full Tractor Work In The Field  #tractor #farming #automobile #technology #shortvideo" u="1"/>
        <s v="20 INVENTIONS THAT WILL CHANGE THE WORLD" u="1"/>
        <s v="New Toilet Technology! ðŸ¤£ðŸ˜‚ (best animation memes) #shorts" u="1"/>
        <s v="My Perfect Value Everyday Tech!" u="1"/>
        <s v="à¦Ÿà§‡à¦•à¦¨à§‹à¦²à¦œà¦¿ vs à¦¬à§Œà¦®à¦¾ ðŸ˜‚ðŸ¤£ #shorts #comedy #sasurivsbouma #funny #technology #trending #viralvideo" u="1"/>
        <s v="China farming technology | plastic botal #technology #shorts" u="1"/>
        <s v="OnePlus 13s Unboxing - Best Compact Flagship? ðŸ¤” #Tech #Shorts #Unboxing" u="1"/>
        <s v="Fingerprint detector system with Arduino | LEDs status engineering #electronics #technology" u="1"/>
        <s v="damage bluetooth headphone convert a bluetooth receiver for old home theater #technology #ideas #diy" u="1"/>
        <s v="50 Cent - Ayo Technology (feat. Justin Timberlake &amp; Timbaland)" u="1"/>
        <s v="CES 2025 - Best and WEIRDEST New Tech" u="1"/>
        <s v="5 ILLEGAL gadgets that will get you ARRESTED" u="1"/>
        <s v="15 EMERGING TECHNOLOGIES THAT WILL CHANGE THE FUTURE" u="1"/>
        <s v="TECHNOLOGYâŒ TECHNOLOGIAâœ… #freefireâ€‹ #funnyâ€‹ #shortsâ€‹ #garenafreefire ##freefiremax #shortsfeed #yt" u="1"/>
        <s v="This is why I keep downgrading my phones - Samsung A36" u="1"/>
        <s v="14 most AWKWARD Tech Fails of all time" u="1"/>
        <s v="Top 10 NEW Humanoid Robots of 2025 (Updated)" u="1"/>
        <s v="Apple Microchip CPU Under Microscope ðŸ”¬" u="1"/>
        <s v="Robot Motherâ€™s Tender Moment with Her Baby #tech #future #technology #meibot #cute #2050" u="1"/>
        <s v="Closed captions on DVDs are getting left behind" u="1"/>
        <s v="New technology used in the world #shorts" u="1"/>
        <s v="Innovative Healthcare: The Synergy of Technology and Business Operations" u="1"/>
        <s v="The Last Best Technology That Ruined My Life ðŸ’€" u="1"/>
        <s v="ðŸ”¥Top Best Useful Car Gadgets In The World | Amazon Gadgets #gadgets" u="1"/>
        <s v="Ultrasonic Humidifier Mist Maker box | #technology #invention #DIYProjects #hacks #ideas" u="1"/>
        <s v="WWDC 2025: Everything Revealed in 9 Minutes" u="1"/>
        <s v="#mobilephone #smartphone #ripair #automobile #tech #technology" u="1"/>
        <s v="What is a diode? #technology #electronics #engineering" u="1"/>
        <s v="Others Technology Vs The Last One â˜ ï¸ | #edit #technology #lifehack #idea #usa #trollface #newyork" u="1"/>
        <s v="Das ist der extreme Budget Gaming Pc fÃ¼r unter 300â‚¬. #technology #gaming #pcbuild" u="1"/>
        <s v="BREAKING: Most Important Tech Discovery of 2025: Molecular Electronics Will Transform Your Devices" u="1"/>
        <s v="Black Box Ki Khasiyat #tech #trending_shorts #technology #breaking_news #short_viral #youtube_short" u="1"/>
        <s v="Steering wheel #trending #mechanic #technology #machine #agriculture @@jbmechanics" u="1"/>
        <s v="Vivo x200 ultra ðŸ”¥ Vivo x200 ultra review ðŸ¤¯ #vivox200ultra #smartphone #tech #shorts" u="1"/>
        <s v="**CHINA IS LIVING IN THE FUTURE  Part-1 ðŸ¤¯ðŸ’¯ #china #travel #chinatravel #technology #ashortaday" u="1"/>
        <s v="China, USA, and EU â€“ A Technological Comparison That Will Shock You! ðŸš€ðŸ¤–" u="1"/>
        <s v="Alcatel Phone comeback in India - ExpectationðŸ—¿ Vs Reality?" u="1"/>
        <s v="#tecnologia acessÃ³rios para criaÃ§Ã£o de conteÃºdo baratos" u="1"/>
        <s v="#smartphone #howtomakepowerbankathome #experiment #diy #tech #gadgets #iphone #technology" u="1"/>
        <s v="Unitree's G1 Humanoid Robots are Running Now" u="1"/>
        <s v="ðŸ”¥Top Best Useful Gadgets In The World | Amazon Gadgets #gadgets" u="1"/>
        <s v="Gaming technology is getting insane ðŸ’€ðŸŽ®" u="1"/>
        <s v="iPhone 17 is INSANE - 8 MAJOR New Leak Updates!" u="1"/>
        <s v="#smartphone #tech #technology #automobile #facts #experiment #evolution #ambani #edit" u="1"/>
        <s v="Hi-Tech Beggar in China ðŸ‡¨ðŸ‡³ #technology #china" u="1"/>
        <s v="IMPOSSIBLE ðŸ· ðŸ¥·  #freefire #tondaegamer #edit @anff_live #technology" u="1"/>
        <s v="ChatGPT &amp; Generative AI Explained: How Does It Work? #shorts #chatgpt #generativeai" u="1"/>
        <s v="CÃ³mo cerrar sesiones de Google en otros dispositivos ðŸ”’#seguridad #shorts" u="1"/>
        <s v="World's First Triple Folding Smartphone !" u="1"/>
        <s v="I Played GTA 6 Before Launch ! *Exclusive*" u="1"/>
        <s v="Programming memes ðŸ˜‚ sub for more ðŸ–¥ï¸ðŸ‘¾#tech #technology #techtok #fyp #software #code #ai #coding" u="1"/>
        <s v="Pre-Egyptian Technology Left By an Advanced Civilization That Disappeared" u="1"/>
        <s v="Switch to Super Power ðŸ˜±ðŸ¤¯ #viral #trending #technology #shorts #gadgets #gaming #new #tech #ninja" u="1"/>
        <s v="Is this an iPhone KILLERðŸ˜³#tech" u="1"/>
        <s v="I think I will buy this Elon musk robot" u="1"/>
        <s v="Would you buy the Trump Phone?#technology #tech #iphone #apple #phone" u="1"/>
        <s v="Trick and Tools ðŸ”¥ðŸ’¯ #karmanwalavoice #tricks #workout #jugar #technology #tips #shorts #short #youtub" u="1"/>
        <s v="Top - 3 Amazing Gadgets For Home ðŸ˜±" u="1"/>
        <s v="Huawei Maextro S800 â€“ Latest and Most Comprehensive Cutting-Edge Technology Showcase | Luxury Sedan" u="1"/>
        <s v="Design Pe confidence | Mini Vlog 76  #device #technology #tech #electronics #educationalgadgets" u="1"/>
        <s v="Past and Present | Technology Then and Now" u="1"/>
        <s v="5 Crazy Amazon tech finds you NeedðŸ˜±#tech  #amazonfinds" u="1"/>
        <s v="379 I like ðŸ‘ this video #new #technology #jcb #shorts #trending #viral #video #ytshorts #music" u="1"/>
        <s v="Unique Technology of Japan ðŸ˜± #shorts #science" u="1"/>
        <s v="APPLE Glass Revolutionizes AR Experience Forever!" u="1"/>
        <s v="Exploring the latest tech at CES 2025" u="1"/>
        <s v="Why Investors Are Piling into African Startups" u="1"/>
        <s v="Hyper X Gaming Mouse &amp; Gaming Controller !! ðŸ˜ðŸ”¥ #hyperx #tech" u="1"/>
        <s v="The Neuralink Brain Chip | Elon Musk's Futuristic Technology | Superhumans | The Dr. Binocs Show" u="1"/>
        <s v="50 Cent - Ayo Technology (Lyrics) ft. Justin Timberlake" u="1"/>
        <s v="PRICE 600 ORDER NOW ðŸ‘†ðŸ‘†ðŸ‘†ðŸ‘† #smartphone #tech #technology #tablet #celltalk #smartphone #pakistan #1m" u="1"/>
        <s v="15 AMAZING INVENTIONS THAT WILL CHANGE YOUR LIFE" u="1"/>
        <s v="They fixed the reason my phone broke! #CES2024" u="1"/>
        <s v="Worldâ€™s smallest computer #unknownfacts #tech #shorts" u="1"/>
        <s v="ðŸ˜‚ðŸ˜‚ðŸ˜‚vivo zoom ðŸ˜‚ðŸ˜‚ðŸ˜‚ #technology #smartphone #mobilephotography #tech #techalert #mobilephone #youtube" u="1"/>
        <s v="à¤†à¤ªà¤•à¤¾ SmartPhone à¤†à¤ªà¤•à¥€ à¤œà¤¾à¤¨ à¤­à¥€ à¤²à¥‡ à¤¸à¤•à¤¤à¤¾ à¤¹à¥ˆ ðŸ”¥ #pwttech #mobile #technology #youtube #bimari" u="1"/>
        <s v="This is NOT a smartphoneðŸ¤”#tech" u="1"/>
        <s v="This is future technology 2d animation #shorts" u="1"/>
        <s v="TECHNOLOGIA!!BOBY SHINGH!!CHOUDHURI &amp; BEBO!!BOBY SINGH OFFICIAL!!" u="1"/>
        <s v="TrakinTech Presents India's Biggest Tech Roundtable 2024 âš¡ï¸ #IBTR2024" u="1"/>
        <s v="Google Now Protects YOU Like a VIP! #smartphone #technology #google #tips #shorts #howto #tricks" u="1"/>
        <s v="Robotic &amp; Digital Animals Are Saving Real Wildlife â€” What a Crazy Technology! #shorts #shortsmode" u="1"/>
        <s v="Coolest New Technologies of 2025" u="1"/>
        <s v="Apple Vision Pro à¤¸à¤¬à¤¸à¥‡ à¤®à¤¹à¤‚à¤—à¤¾ à¤šà¤¶à¥à¤®à¤¾ ðŸ˜± #shorts #apple" u="1"/>
        <s v="How to Transfer Files From Phones to Computer Wirelessly" u="1"/>
        <s v="50 Cent - Ayo Technology (Official Music Video) ft. Justin Timberlake" u="1"/>
        <s v="Puse a prueba la resistencia de mi iPhone 16 Pro Max #tech #technology #tecnologia #apple #iphone" u="1"/>
        <s v="POTENTE MÃQUINA #shorts #viral #ingenio #creativo #maquinas #cortadoras #metales #technology" u="1"/>
        <s v="Dangerous gadgets like teachers ðŸ¤£ || #shorts #unboxing" u="1"/>
        <s v="Worldâ€™s smallest 4K headset ðŸ˜Ž Visor.com #visor #4k #tech #technology #AIMR #vr #virtualreality" u="1"/>
        <s v="viral bike new technology #shorts #funny #viral #bikeride #technology #hacker #youtubeshorts #short" u="1"/>
        <s v="Top 15 Tech Finds of ALL TIME #shorts #justicebuys #products #amazonfinds" u="1"/>
        <s v="Rs.1,50,000 Vs Rs.10,000 Phone Display #shorts #gadgets" u="1"/>
        <s v="Meibot in Lab  ðŸ¥¼ ðŸ”¬ #future #tech #technology ##meibot #robot #2050" u="1"/>
        <s v="This New Upcoming Phone - Will Be the King of April" u="1"/>
        <s v="How a slinky falls in slow motion #shorts" u="1"/>
        <s v="I TRIED 7 COOL GADGETS FROM SHARK TANK" u="1"/>
        <s v="Linus Sebastian Shows Jimmy and Bad Bunny Some Mind-Blowing Technology (Extended) | The Tonight Show" u="1"/>
        <s v="How do Graphics Cards Work?  Exploring GPU Architecture" u="1"/>
        <s v="ChinaðŸ‡¨ðŸ‡³ is 50 years ahead of all countries #china #technology" u="1"/>
        <s v="iPhone 11 screen replacement #iphone11 #screenreplacement ##repair #tech #technology" u="1"/>
        <s v="iQOO Z10 &amp; Z10x Unboxing &amp; First Look âš¡7300mAh, SD 7s Gen 3 @â‚¹19,999*" u="1"/>
        <s v="100 Coolest Amazon Gadgets and Inventions" u="1"/>
        <s v="Samsung Vs iPhone à¤•à¥Œà¤¨à¤¸à¤¾ à¤¹à¥‹à¤¤à¤¾ à¤¹à¥ˆ fast charge ðŸ˜±" u="1"/>
        <s v="OnePlus 13S Look and Specifications #oneplus13s #smartphone #tech #yt #shorts #oneplus #shortsfeed" u="1"/>
        <s v="This Technology Eliminates Congestion" u="1"/>
        <s v="22 New Gadgets And Inventions ( 2025 ) That You Will Want to Buy" u="1"/>
        <s v="The craziest technology ðŸ’€ #edit" u="1"/>
        <s v="O Teclado MagnÃ©tico Mais Lindo E BARATO! #gaming #keyboard #gamer #technology #tech #unboxing #pc" u="1"/>
        <s v="The Witcher 4 - Tech Demo Cinematic | State of Unreal 2025" u="1"/>
        <s v="ONE UI 7 FINALLY #samsung #tech #samsunggalaxy #android #technology #techtok #technews" u="1"/>
        <s v="Top 3 Smartphone gadgets under â‚¹50||ðŸ”¥ðŸ¤¯ #shorts #gadgets #viralvideo #ytshorts" u="1"/>
        <s v="I bought the CHEAPEST Tech in India!" u="1"/>
        <s v="Why is Big Tech Slashing Jobs in 2025? | Vantage with Palki Sharma | N18G" u="1"/>
        <s v="Algorithms are breaking how we think" u="1"/>
        <s v="Unbelievable China's technology in Bike ( à¤‡à¤¸ à¤¬à¤¾à¤‡à¤• à¤•à¤¾ à¤à¤•à¥à¤¸à¤¿à¤¡à¥‡à¤‚à¤Ÿ à¤¨à¤¹à¥€ à¤¹à¥‹à¤—à¤¾ )" u="1"/>
        <s v="Gyro Sensor Based Mini Drone, New Science Project #shorts #science #technology #trending" u="1"/>
        <s v="Free motion setup in progress | Techwala | Desi perpetual motion system | #generator #machine" u="1"/>
        <s v="à¤¯à¥‡ à¤¹à¥ˆà¤‚ à¤¸à¤¬à¤¸à¥‡ à¤¸à¤¸à¥à¤¤à¥‡ Cool gadgets...#shorts" u="1"/>
        <s v="#UGREEN500W Desktop Charger is a LIFESAVER #tech #pc #technology #UGREEN #shorts" u="1"/>
        <s v="Lava feature Phone 2025 With D2M Technology Launching Soon" u="1"/>
        <s v="First Electric Highway Is Crazy" u="1"/>
        <s v="Technology âŒ Technologia..âœ… #shorts #funny #technology #trending" u="1"/>
        <s v="&quot;à¤­à¤µà¤¿à¤·à¥à¤¯ à¤•à¥€ à¤Ÿà¥‡à¤•à¥à¤¨à¥‹à¤²à¥‰à¤œà¥€ à¤œà¥‹ à¤¸à¤¬à¤•à¥à¤› à¤¬à¤¦à¤² à¤¦à¥‡à¤—à¥€! ðŸš€ðŸ¤¯&quot; | #shorts #technology #future #trending" u="1"/>
        <s v="Impossible Technologies You Can Actually Own!" u="1"/>
        <s v="My Previous Science Experiment #shorts #science #technology #trending" u="1"/>
        <s v="iOS 26 Features || Prasad Tech In Telugu ||" u="1"/>
        <s v="Universal Pull Plate #Agricultural #Machinery #smartwork #technology #goodtools #short" u="1"/>
        <s v="Future Technology According to the Imagination â€–Virus Collection #45" u="1"/>
        <s v="Japanese next level technology #shorts" u="1"/>
        <s v="Technology comedy videoðŸ˜… #shorts #funny #surajpkcomedy #ytshorts" u="1"/>
        <s v="#freefireshorts  #new Bandar #technology" u="1"/>
        <s v="Instagram Important Settings ðŸ¤¯ #viralshort #shortsvideo #techtech #technology" u="1"/>
        <s v="CES 2025 Las Vegas: Mind-Blowing AI tech we saw on Day 2 [4K video]" u="1"/>
        <s v="OnePlus 13s Unboxing- Most Powerful Chotu Flagship !" u="1"/>
        <s v="ðŸ§  Zuckerberg: DON'T just start a company!                      #technology #business #tech #startup" u="1"/>
        <s v="Cleaning a Lenovo Yoga (tetanus edition) #tech #pc #technology #shorts #laptop" u="1"/>
        <s v="The Most Futuristic Tech Of 2025....." u="1"/>
        <s v="Worlds smallest 4K headset ðŸ˜Ž Visor.com #tech #vr #technology #virtualreality #squidgame" u="1"/>
        <s v="Technology Full Live Set @ Universo Paralello 2022 / 2023" u="1"/>
        <s v="New Science Project #shorts #science #technology #trending" u="1"/>
        <s v="Create a robot controlled by phone using raspberry Pi.#robotics #ece #technology #ai  #reels" u="1"/>
        <s v="IT vs. Computer Science Degrees: Which One Is Right for You?" u="1"/>
        <s v="Race Highlights | 2025 Bommarito 500 from World Wide Technology Raceway | INDYCAR SERIES" u="1"/>
        <s v="The Future of Technology (2025+)" u="1"/>
        <s v="Technology of Free Fire ðŸ˜Ž: The Funniest Shorts You Can't Miss! ðŸ˜±ðŸ˜‚ #shorts" u="1"/>
        <s v="Robots New Technology #robots #shorts #science" u="1"/>
        <s v="Primitive Technology: Re-smelting previously made iron" u="1"/>
        <s v="Mind-Blowing Construction Techniques And Technology - The Future of Building" u="1"/>
        <s v="Heavy Tractor Working In The Field #tractor #automobile #technology #agriculture #viral #shorts #ai" u="1"/>
        <s v="Others unique technologya vs last one â˜ ï¸ | #trollface #skulledit #technology" u="1"/>
        <s v="Friendship Samsung Digital Technology Folding Screen Samsung Official Refurbished Phones" u="1"/>
        <s v="Amazing Experiment with Arduino Nano | Flappy Bird Game #diyprojects #arduino #3dprinting #tech" u="1"/>
        <s v="The Hottest Bikes &amp; Pro Tech Of The Giro dâ€™Italia 2025" u="1"/>
        <s v="technology âŒ TECHNOLOGIA âœ… ORIGINAL Teknologia Arab Meme Compilation" u="1"/>
        <s v="Is this the future of technology?! Humane AI looks INSANE! ðŸ¤¯" u="1"/>
        <s v="I bought the World's RAREST Tech!" u="1"/>
        <s v="This Drone has WINGS! #technology #engineering #drone" u="1"/>
        <s v="What is Artificial Intelligence With Full Information? â€“ [Hindi] â€“ Quick Support" u="1"/>
        <s v="Portal Technology ðŸ¤”#magnet #power  #diy #technology #amazing #explore #china #energy #army #human" u="1"/>
        <s v="TechnologyâŽ Technologiaâœ… Technologia original video #shortsfeed #viralshorts #comedy #funnyshorts" u="1"/>
        <s v="Electric Crossing Gate â€¢ Dc Motor | #tech #shortvideo #dcmotorproject" u="1"/>
        <s v="Primitive Technology: Iron knife made from bacteria" u="1"/>
        <s v="Galaxy S25 Edge and the Thin Phone Problem" u="1"/>
        <s v="Apple's April 20th Event in 60 seconds #Shorts" u="1"/>
        <s v="polythene urine #facts #viralvideo #knowledge #technology" u="1"/>
        <s v="Chinese company utilizing AI to create robots #technologynews #international #tech" u="1"/>
        <s v="Technologia ðŸ˜²ðŸ’» #shorts #technology #laptopsetup" u="1"/>
        <s v="Japan Introdused The Most AMAZING Robots at OSAKA EXPO 2025!" u="1"/>
        <s v="Primitive Technology: Water powered forge blower" u="1"/>
        <s v="Building Your Own Tech Brand from China's Electronics" u="1"/>
        <s v="How to fix water damaged phone #shorts #lifehacks #technology" u="1"/>
        <s v="The latest Chinese technology trends are amazing" u="1"/>
        <s v="iPHONE 13 VS A36 #samsung #tech #technology #android #samsunggalaxy #technology #technews #techtok" u="1"/>
        <s v="Does NVIDIA FINALLY Have A Real Competitor? China's Tech Giant Huawei Readies Ascend 910D AI Chip" u="1"/>
        <s v="Use full screen mode to improve your YouTube viewing experience" u="1"/>
        <s v="Lost Your Phone? Do This ASAP! #gadgets360 #androidphone #techreels #tech #technology #lostphone" u="1"/>
        <s v="20 Future Technologies That Will Redefine Existence" u="1"/>
        <s v="vivo T4 Ultra Review in Telugu || Prasad Tech in Telugu ||" u="1"/>
        <s v="The Next Big Thing in Semiconductors is Finally Here!" u="1"/>
        <s v="El producto chino MÃS DECEPCIONANTE de todos #tecnologia #tech #gadgets #pc #teclado" u="1"/>
        <s v="Japan's Expo 2025: Incredible Robots and Future Technologies | Future is NOW | Tech News" u="1"/>
        <s v="jio f320b charging ic bypass jumper #shorts #technology #trending #viralvideo #electrical" u="1"/>
        <s v="How the Next Big Solar Panel Tech is Already Here" u="1"/>
        <s v="R2 | Inside Rivianâ€™s Vehicle Design Studio &amp; Technology Labs" u="1"/>
        <s v="iShowSpeed Impressed By Chinaâ€™s Technology ï¿¼ðŸ¤¯" u="1"/>
        <s v="The Craziest City You Have Ever Seen" u="1"/>
        <s v="Introduction to OpAmps #electronics #science #technology #funny" u="1"/>
        <s v="Chinaâ€™s military unveils robot dogs armed with rifles" u="1"/>
        <s v="à¦à¦‡ à¦›à§‹à¦Ÿ à¦›à¦¿à¦¦à§à¦°à¦—à§à¦²à§‹à¦‡ à¦¬à¦¦à¦²à§‡ à¦¦à¦¿à¦šà§à¦›à§‡ à¦œà¦¾à¦ªà¦¾à¦¨à§‡à¦° à¦°à¦¾à¦¸à§à¦¤à¦¾à¦—à§à¦²à§‹! Perforated Roads Technology #road #shorts" u="1"/>
        <s v="iPhone 17 Pro Big News, POCO F7 Specs, Nothing Phone (3),OriginOS Coming?,Galaxy M36 Launch-#TTN1685" u="1"/>
        <s v="I spent $10,000 on the craziest TRANSPARENT Tech." u="1"/>
        <s v="à¤œà¤¾à¤ªà¤¾à¤¨ à¤Ÿà¥‡à¤•à¥à¤¨à¥‹à¤²à¥‰à¤œà¥€ à¤®à¥‡à¤‚ à¤•à¤¿à¤¤à¤¨à¤¾ à¤†à¤—à¥‡ à¤¹à¥ˆà¤‚? ðŸ¤” | India vs Japan technology ðŸ¤¯ðŸ¤¯ |" u="1"/>
        <s v="garden reach shipbuilders share latest news ðŸ”¥ zen technologies share latest news" u="1"/>
        <s v="iPhone 17 unboxing #iphone #technology #tricks #skills #learning" u="1"/>
        <s v="Ancient Lighting Technology? #shorts #egypt #technology" u="1"/>
        <s v="5 Samsung features I BET you didn't know!" u="1"/>
        <s v="The Most Dangerous Neodymium Magnets on Earth #science #facts" u="1"/>
        <s v="Meta glassesðŸ˜Ž #meta #glasses #ai #metaglasses #new #technology #india #foryou" u="1"/>
        <s v="Technology âŒTechnologia âœ… #shorts#funny #comedy #funnyvideo #comedy#reels #technology #trending" u="1"/>
        <s v="The BOLDEST boot technology claims EVER (some worked, some sucked)" u="1"/>
        <s v="Primitive Technology: Belt and pulley blower" u="1"/>
        <s v="Microphone in your Earbud is Amazing Technology" u="1"/>
        <s v="I spent $10,000 on Kickstarter Tech." u="1"/>
        <s v="Budget Gaming PC build (fail) #tech #pc #technology #shorts" u="1"/>
        <s v="Chinaâ€™s New Tech Shocks the U.S.  â€” The World Will Never Be the Same!" u="1"/>
        <s v="Stealth Technology: How Military Vehicles Become Invisible | FD Engineering" u="1"/>
        <s v="Advanced High Speed Railway In China  #railway #technology" u="1"/>
        <s v="411 I like ðŸ‘ this video #new #technology #jcb #machine #shorts #trending #viralvideo #ytshorts" u="1"/>
        <s v="iPhone lene vale ho to ruk jao #smartphone #s24ultra #tech #s23ultra #technology #samsungs23ultra" u="1"/>
        <s v="Detachable Aeroplane technology! #science #facts" u="1"/>
        <s v="à¤¦à¥à¤¨à¤¿à¤¯à¤¾ à¤•à¥‡ à¤¸à¤¬à¤¸à¥‡ à¤–à¤¼à¤¤à¤°à¤¨à¤¾à¤• IPL Gadgets #shorts  #gadgets" u="1"/>
        <s v="viral ATM bike new feature shorts #funny #technology #hacker #bikeride #youtubeshorts #viralshorts" u="1"/>
        <s v="Replacing my 3080 with a 4090 for 4K #gaming. #tech #pc #technology #shorts" u="1"/>
        <s v="Technology Funny message ringtone|| cute message notification tone #ringtonesâ€‹#loveringtone #rington" u="1"/>
        <s v="Brute Forcing An iPhone 5â€¦ #technology" u="1"/>
        <s v="unknown planet ðŸ˜² 3d Special effects | 3d animation | future technology imagination" u="1"/>
        <s v="ALL IMPORTANT QUESTIONS IT TRENDS AND TECHNOLOGIES | PGDCA 2ND SEM IMPORTANT QUESTIONS" u="1"/>
        <s v="New SSD Missing! #tech #gamingcomputer #techtips #gaminglaptop #laptop #repair #gamingpc #pcbuild" u="1"/>
        <s v="Crooked m2 slot on HP laptop makes me uncomfortable, #technology #tech #computer #shorts" u="1"/>
        <s v="SEC 1 information Technology important questions long videoà¥¤ Computer ka Arth paribhasha karya" u="1"/>
        <s v="I bought the Ultimate Survival Tech" u="1"/>
        <s v="Pitaka Airtag Protective Case, integrated 4 useful gadgets, very Awesome Product #shorts" u="1"/>
        <s v="Humanoid robots work in factories in S China" u="1"/>
        <s v="Huawei Matebook Fold Ultimate Edition, Foldable Laptop is coming. #huaweimatebookfold" u="1"/>
        <s v="Chinese Technology ðŸ™‰ AdvikJourney #china #technology #viralvideo #trending #travel #shorts" u="1"/>
        <s v="New invention #scienceproject #inventions #technology #tech #shorts" u="1"/>
        <s v="Stunning Futuristic Tech #tech #technology #meibot #future #robot #2050 #shorts" u="1"/>
        <s v="Ic Reballing Tricks #mobilerepair #technology" u="1"/>
        <s v="viral ATM bike  security feature shorts #funny #bikeride #bike #youtubeshorts #technology #shorts" u="1"/>
        <s v="Android 16 Is FINALLY HERE â€“ Crazy AI Features !" u="1"/>
        <s v="Strange Mysterious: Alien Relics and Technology From Mankind's Ancient Future" u="1"/>
        <s v="23 Cool Gadgets And Inventions ( 2025 ) You Can Buy Now" u="1"/>
        <s v="Inspire Award Winning New Science Project #shorts #science #technology #trending #experiment" u="1"/>
        <s v="What is artificial intelligence? ðŸ¤” Explained in a minute #TechInAminute #shorts #technology #ai" u="1"/>
        <s v="Real Life WORKING Iron Man Helmet ðŸ˜ #funny #technology #tech" u="1"/>
        <s v="20 Emerging Technologies That Will Change The World" u="1"/>
        <s v="How Pakistan Stole Nuclear B*mb Technology? | Professor Of How" u="1"/>
        <s v="China Has Advanced Technology To Make Anything Fast ðŸ˜³ !!!" u="1"/>
        <s v="Unboxing the Samsung S24 FE ðŸ˜Ž #asmr #samsung #s24fe #spigen #tech" u="1"/>
        <s v="Technology Meme | By Original Version||#shorts #funny" u="1"/>
        <s v="vivo Y400 Pro is here - Stylish &amp; premium phone @22,499*" u="1"/>
        <s v="10M technology #shorts #comedy #viralvideo #shortvideo #trending #youtubeshorts #ytshorts #video" u="1"/>
        <s v="4 School Students GadgetsðŸ¤© #shorts" u="1"/>
        <s v="Why You Shouldn't Cook on a Wet Stone?#tech #technology #interesting #shorts" u="1"/>
        <s v="Worlds smallest 4K headset ðŸ˜Ž Visor.com #tech #vr #technology #virtualreality #insideout2" u="1"/>
        <s v="4 Cleaning Gadgets under â‚¹100!" u="1"/>
        <s v="&quot;Mind-Blowing&quot;- The Most Expensive Umbrella ðŸ¤¯ðŸ¤¯" u="1"/>
        <s v="Excellent Technology! Top 10 Amazing Mass Production Factories With the Most Views" u="1"/>
        <s v="Google Keep Tricks You Wish You Knew Earlier! ðŸ˜³âœ¨ #smartphone #technology #google #tips #shorts #tech" u="1"/>
        <s v="Technology Technologia  (original video)" u="1"/>
        <s v="Magical Gadget ft Tech Master #shorts  #youtubeshorts" u="1"/>
        <s v="Fake Floor on Chinese Building ðŸ«¨ðŸ«¨ #china #technology #building" u="1"/>
        <s v="Physics illusionsðŸ¤¯ðŸ”¥/#facts #science" u="1"/>
        <s v="I tested every Celebrity Tech product!" u="1"/>
        <s v="The Fan With no Moving Parts! #science #technology" u="1"/>
        <s v="nokia type c jack replace tips #shorts #technology #trending #viralvideo #electrical" u="1"/>
        <s v="Me subÃ­ al metro con los Apple Vision Pro #apple #mexico #tech #technology #reto #challenge" u="1"/>
        <s v="Sim Connector Repair Tips #shorts #technology #trending #viralvideo #electrical" u="1"/>
        <s v="Foldable Laptop Magic?! Huawei MateBook Fold Ultimate Design Unboxing" u="1"/>
        <s v="How to force restart your iPhone #shorts" u="1"/>
        <s v="I Got Saste Useful Gadgets ðŸ˜§ Under 100rs #shorts" u="1"/>
        <s v="Alien Portals: Strange Artifacts, Devices and Technology" u="1"/>
        <s v="TECHNOLOGIA FULL VIDEO 2025//SINGER AVINASH NAYAK//NEW NAGPURI VIDEO #avinash_nayak" u="1"/>
        <s v="ATM bike viral technology #viralshorts #bikelover #bikeride #technology #comedy #youtubeshorts #new" u="1"/>
        <s v="300 â‚¹ vs 30000 â‚¹ Smart A.I Robot ðŸ¤– #tech #technology #funny #robot #ai" u="1"/>
        <s v="Technology âŒ  Technologia âœ”ï¸  #technology #freefire #trick #freefiremax #tf2inayat" u="1"/>
        <s v="iOS 26 Features: Appleâ€™s Liquid Glass, Visual Intelligence and More | WSJ" u="1"/>
        <s v="viral new technology money bike shorts #experiment #bikelover #bikeride #juice #trendingshorts #new" u="1"/>
        <s v="TechnologyðŸ¥´ðŸ«  #bikelover #bikers #technology #foryou #foryoupage #risk #video #viral" u="1"/>
        <s v="EarBuds from China in 150rs ðŸ”¥ #tech #coolgadgets #unboxing" u="1"/>
        <s v="Ye Technology India se bahar nahi Jani chahiye II CCTV camera meme template #shorts #shortsvideo" u="1"/>
        <s v="Big Tech in panic mode... Did DeepSeek R1 just pop the AI bubble?" u="1"/>
        <s v="ATM bike new viral technology #funny #bikeride #technology #motorcycle #viralshorts #youtubeshorts" u="1"/>
        <s v="â‚¹4 Vs â‚¹4000 Satisfying Products #shorts #gadgets" u="1"/>
        <s v="à¸§à¸´à¸˜à¸µà¸«à¸§à¹ˆà¸²à¸™à¸›à¸¸à¹‹à¸¢à¹à¸šà¸šà¹ƒà¸«à¸¡à¹ˆ #technology #whatsappstatus  #yearofyou  #elephant  #anime #zoo #viralvideo" u="1"/>
        <s v="#memes #funny #technology #comedy #song" u="1"/>
        <s v="Old Tech That Still Works  #facts #sciencefacts #smartphone #whatif #technology #science" u="1"/>
        <s v="technologyðŸ˜ #freefire #funny #memesguru2 #automobile #memehub" u="1"/>
        <s v="Robot ko kiss ðŸ‘„ kar liya ðŸ˜#robot #femalerobots #shorts #technology #sciencefacts" u="1"/>
        <s v="Advanced Robotic World Of China ðŸ˜¯" u="1"/>
        <s v="Samsung Galaxy S25 Edge HANDS ON!" u="1"/>
        <s v="Primitive Technology: Charcoal retort experiment" u="1"/>
        <s v="15 Technologies That Will Change The World" u="1"/>
        <s v="Top 3 best amazing cool gadgets ðŸ”¥ðŸ¤¯|| #shorts #gadgets #unboxing" u="1"/>
        <s v="Homemade trick to clean milletðŸ˜¯ #technology #millet" u="1"/>
        <s v="Why do programmers have Rubber Ducks!?ðŸ‘©â€ðŸ’» #technology #programming #software #career #productivity" u="1"/>
        <s v="respect ðŸ˜±ðŸ”¥ I non stop cycling #experiment #science #tiktok" u="1"/>
        <s v="#technology #engineering #amazing" u="1"/>
        <s v="Repairing old 12v battery #experiment #experimnent #electronic #battery #viralvideo #technology#tech" u="1"/>
        <s v="à¸£à¸±à¸šà¸ªà¸¡à¸±à¸„à¸£à¸„à¸™à¸”à¸³à¸™à¸²Â #technology #whatsappstatus  #yearofyou  #elephant  #anime #zoo #viralvideo" u="1"/>
        <s v="Cleaning a Laptop that's GROSS and overheating (HUGE Alienware FAIL) #pc #tech #technology #shorts" u="1"/>
        <s v="Ha ha à¦à¦Ÿà¦¾ à¦¨à¦¾à¦•à¦¿ TechnologyðŸ˜‚ðŸ˜‚à¦¸à§‡à¦‡ à¦¹à¦¾à¦¸à¦¿à¦° à¦­à¦¿à¦¡à¦¿à¦“ ðŸ˜‚ #funny #comedy #comedyvideos #shorts" u="1"/>
        <s v="China's slaughterbots show WW3 would kill us all." u="1"/>
        <s v="duniya ki sabse ajib Bhains wali police ðŸƒðŸ˜± | #science #technology #shortvideo" u="1"/>
        <s v="The Birth of Computing: The World's First Computer!&quot;#shorts" u="1"/>
        <s v="Czy to w ogÃ³le potrzebne?#Å›mieszne #technology #wiedza #ciekawostki #bezpieczeÅ„stwo #smartphone" u="1"/>
        <s v="My setup feels better than ever" u="1"/>
        <s v="à´¸àµ‚à´ªàµà´ªàµ¼ à´•à´•àµà´•àµ‚à´¸àµ|Smart toilet #technology #smartgadgets" u="1"/>
        <s v="The &quot;standard&quot; car charger is usually overkillâ€”but your electrician might not know that" u="1"/>
        <s v="Programming memes, only humor #jokes #fy #fyp #tech #soft #software #code #it #technology #git" u="1"/>
        <s v="Samsung Galaxy M56 Unboxing &amp; First Lookâš¡SlimmestðŸ“±, GG Victus+, 6Y Updates @â‚¹24,999*" u="1"/>
        <s v="DIY Electronic Dice â€“ It Actually Works! #DIY #electronics #soldering #tech #shorts #technology" u="1"/>
        <s v="Mini HD Wifi Security Camera - Product Link in Comments! #technology #gadgets #viral" u="1"/>
        <s v="22000 mAh battery à¤µà¤¾à¤²à¤¾ à¥žà¥‹à¤¨  ðŸ¤¯ The Unihertz Tank #shorts #youtubeshorts" u="1"/>
        <s v="Chinese Technology is LEADING the World - SNEC 2025 Expo" u="1"/>
        <s v="à¹ƒà¸Šà¹‰à¸—à¸¸à¹ˆà¸™à¹„à¸›à¹€à¸¥à¸¢ #technology #whatsappstatus  #yearofyou  #elephant  #anime #zoo #viralvideo" u="1"/>
        <s v="Mind-Blowing ðŸ˜± Nano Technology - The Future You Won't Believe! ðŸŒŸ" u="1"/>
        <s v="Brazo robÃ³tico ACEBOTT #shorts #bernardotutoriales #electronica #technology #roboticarm #tech #diy" u="1"/>
        <s v="iPhone 14 Deluzi~#Apple mobile phone #iphone #digital technology #Apple second phone" u="1"/>
        <s v="latest technology #technology #technologia #tech #amazing #foryou #shorts #smartphone #automobile" u="1"/>
        <s v="3 Super Unique Gadgets! #shorts" u="1"/>
        <s v="Primitive Technology - Meet Fish In The Lake Cacth And Cooking" u="1"/>
        <s v="Here's the iPhone 17 Pro | First Look" u="1"/>
      </sharedItems>
    </cacheField>
    <cacheField name="Description" numFmtId="0">
      <sharedItems/>
    </cacheField>
    <cacheField name="published_date" numFmtId="14">
      <sharedItems count="582">
        <s v="2025-05-02T17:37:10Z"/>
        <s v="2025-06-18T12:39:53Z"/>
        <s v="2022-11-01T11:00:06Z"/>
        <s v="2024-07-08T18:04:31Z"/>
        <s v="2024-12-22T16:49:00Z"/>
        <s v="2022-10-02T19:40:14Z"/>
        <s v="2024-07-17T19:15:02Z"/>
        <s v="2024-01-04T15:32:23Z"/>
        <s v="2025-06-19T10:07:23Z"/>
        <s v="2022-10-15T08:25:08Z"/>
        <s v="2024-09-29T13:28:57Z"/>
        <s v="2024-08-15T04:59:00Z"/>
        <s v="2025-05-21T09:03:41Z"/>
        <s v="2024-12-22T03:30:14Z"/>
        <s v="2024-03-20T15:46:57Z"/>
        <s v="2021-10-18T21:51:15Z"/>
        <s v="2024-05-12T17:37:14Z"/>
        <s v="2025-01-20T14:00:28Z"/>
        <s v="2023-06-20T03:53:41Z"/>
        <s v="2025-04-14T11:18:58Z"/>
        <s v="2025-02-21T14:57:07Z"/>
        <s v="2025-02-22T17:04:13Z"/>
        <s v="2023-04-26T16:44:18Z"/>
        <s v="2024-09-06T20:13:48Z"/>
        <s v="2024-03-06T17:39:55Z"/>
        <s v="2024-12-10T10:30:15Z"/>
        <s v="2025-06-15T16:59:11Z"/>
        <s v="2016-06-25T15:34:29Z"/>
        <s v="2024-09-10T13:23:57Z"/>
        <s v="2025-01-03T17:38:04Z"/>
        <s v="2024-12-08T21:36:50Z"/>
        <s v="2022-09-09T15:07:05Z"/>
        <s v="2024-08-31T15:46:53Z"/>
        <s v="2023-07-14T12:33:24Z"/>
        <s v="2025-01-13T17:01:03Z"/>
        <s v="2023-05-03T12:30:10Z"/>
        <s v="2024-01-26T05:45:01Z"/>
        <s v="2023-09-29T21:07:48Z"/>
        <s v="2025-02-14T18:00:43Z"/>
        <s v="2025-05-28T14:40:48Z"/>
        <s v="2024-10-17T12:10:54Z"/>
        <s v="2023-09-19T00:54:11Z"/>
        <s v="2024-05-29T19:19:18Z"/>
        <s v="2024-07-12T20:25:07Z"/>
        <s v="2025-06-06T13:36:27Z"/>
        <s v="2024-01-20T16:02:43Z"/>
        <s v="2025-03-06T10:09:46Z"/>
        <s v="2022-03-14T12:51:10Z"/>
        <s v="2024-06-12T11:41:07Z"/>
        <s v="2024-07-16T16:06:11Z"/>
        <s v="2024-09-28T16:34:40Z"/>
        <s v="2023-12-20T22:45:51Z"/>
        <s v="2025-02-28T21:14:50Z"/>
        <s v="2024-09-01T10:07:32Z"/>
        <s v="2024-01-10T15:33:15Z"/>
        <s v="2025-03-21T16:01:03Z"/>
        <s v="2025-05-22T14:41:23Z"/>
        <s v="2025-04-28T00:01:00Z"/>
        <s v="2023-02-11T00:28:32Z"/>
        <s v="2024-06-21T14:12:54Z"/>
        <s v="2025-01-10T07:34:36Z"/>
        <s v="2024-03-21T12:23:27Z"/>
        <s v="2024-12-25T18:31:43Z"/>
        <s v="2024-12-18T18:00:46Z"/>
        <s v="2023-05-29T14:18:55Z"/>
        <s v="2023-11-08T22:46:26Z"/>
        <s v="2024-12-20T15:00:30Z"/>
        <s v="2024-09-06T16:02:44Z"/>
        <s v="2024-02-26T15:23:17Z"/>
        <s v="2025-01-06T16:18:04Z"/>
        <s v="2024-10-04T10:07:20Z"/>
        <s v="2025-03-03T15:35:29Z"/>
        <s v="2025-01-30T09:30:21Z"/>
        <s v="2023-06-01T19:38:34Z"/>
        <s v="2025-05-20T17:05:06Z"/>
        <s v="2025-03-30T14:02:31Z"/>
        <s v="2023-05-12T01:30:12Z"/>
        <s v="2024-10-18T05:29:17Z"/>
        <s v="2025-03-13T11:14:10Z"/>
        <s v="2023-04-28T01:30:04Z"/>
        <s v="2023-04-05T13:00:33Z"/>
        <s v="2024-07-01T14:00:06Z"/>
        <s v="2025-04-24T07:55:00Z"/>
        <s v="2024-10-27T06:40:02Z"/>
        <s v="2024-10-11T08:00:36Z"/>
        <s v="2024-06-18T16:17:35Z"/>
        <s v="2025-03-30T15:04:15Z"/>
        <s v="2025-02-08T14:00:53Z"/>
        <s v="2025-05-25T17:19:04Z"/>
        <s v="2025-05-15T12:48:05Z"/>
        <s v="2025-04-03T06:20:26Z"/>
        <s v="2024-10-01T05:24:11Z"/>
        <s v="2025-02-12T17:43:14Z"/>
        <s v="2024-08-25T00:13:38Z"/>
        <s v="2024-02-01T16:23:44Z"/>
        <s v="2024-05-12T09:44:02Z"/>
        <s v="2024-10-03T23:13:28Z"/>
        <s v="2024-07-04T10:38:25Z"/>
        <s v="2025-06-20T16:39:53Z"/>
        <s v="2025-05-27T15:18:23Z"/>
        <s v="2024-01-10T19:38:36Z"/>
        <s v="2024-05-13T16:05:54Z"/>
        <s v="2009-03-30T14:05:42Z"/>
        <s v="2022-05-13T04:36:07Z"/>
        <s v="2024-11-30T16:30:16Z"/>
        <s v="2025-04-23T15:35:07Z"/>
        <s v="2025-03-29T06:01:05Z"/>
        <s v="2025-01-25T10:28:54Z"/>
        <s v="2023-11-13T06:45:00Z"/>
        <s v="2025-05-19T15:47:21Z"/>
        <s v="2024-08-26T17:15:24Z"/>
        <s v="2024-07-22T07:34:03Z"/>
        <s v="2024-06-01T06:38:20Z"/>
        <s v="2025-03-29T17:14:10Z"/>
        <s v="2025-06-04T13:01:14Z"/>
        <s v="2024-07-02T00:42:51Z"/>
        <s v="2025-05-02T09:00:03Z"/>
        <s v="2024-11-08T12:33:34Z"/>
        <s v="2025-01-12T18:00:22Z"/>
        <s v="2024-10-10T15:48:47Z"/>
        <s v="2025-06-20T12:30:18Z"/>
        <s v="2024-11-04T12:30:35Z"/>
        <s v="2025-04-13T16:35:44Z"/>
        <s v="2024-05-25T14:43:01Z"/>
        <s v="2025-05-07T09:45:42Z"/>
        <s v="2017-12-16T15:25:23Z"/>
        <s v="2021-11-02T05:00:01Z"/>
        <s v="2023-01-24T13:55:01Z"/>
        <s v="2023-12-31T12:01:04Z"/>
        <s v="2025-06-08T11:04:37Z"/>
        <s v="2024-12-11T15:00:50Z"/>
        <s v="2025-03-18T06:01:36Z"/>
        <s v="2024-09-11T23:00:32Z"/>
        <s v="2025-04-02T10:53:04Z"/>
        <s v="2025-04-05T06:11:20Z"/>
        <s v="2025-04-08T04:36:25Z"/>
        <s v="2025-06-20T19:06:02Z"/>
        <s v="2025-03-08T03:30:13Z"/>
        <s v="2025-02-07T11:42:11Z"/>
        <s v="2024-08-31T02:45:01Z"/>
        <s v="2025-05-29T02:15:57Z"/>
        <s v="2025-03-22T05:03:57Z"/>
        <s v="2025-05-28T09:21:31Z"/>
        <s v="2025-06-04T16:39:55Z"/>
        <s v="2024-02-25T16:03:59Z"/>
        <s v="2024-09-26T13:58:24Z"/>
        <s v="2025-05-28T07:50:42Z"/>
        <s v="2025-06-17T13:00:01Z"/>
        <s v="2025-04-24T10:30:43Z"/>
        <s v="2025-04-02T16:20:03Z"/>
        <s v="2025-03-14T02:35:45Z"/>
        <s v="2024-05-17T17:26:17Z"/>
        <s v="2025-04-20T06:35:00Z"/>
        <s v="2023-05-12T10:13:54Z"/>
        <s v="2025-04-15T12:08:25Z"/>
        <s v="2024-11-27T13:00:31Z"/>
        <s v="2024-09-29T13:35:40Z"/>
        <s v="2024-02-20T06:30:38Z"/>
        <s v="2022-05-27T07:07:04Z"/>
        <s v="2024-08-03T21:00:40Z"/>
        <s v="2025-06-18T19:00:25Z"/>
        <s v="2024-08-25T15:29:58Z"/>
        <s v="2025-06-12T01:45:38Z"/>
        <s v="2025-01-15T15:30:20Z"/>
        <s v="2019-01-09T06:45:39Z"/>
        <s v="2024-02-17T11:00:31Z"/>
        <s v="2025-06-10T00:47:46Z"/>
        <s v="2024-10-01T03:22:46Z"/>
        <s v="2025-05-13T00:08:29Z"/>
        <s v="2024-09-20T09:23:46Z"/>
        <s v="2025-06-11T12:14:42Z"/>
        <s v="2024-07-27T11:55:51Z"/>
        <s v="2025-06-07T15:36:51Z"/>
        <s v="2025-01-23T06:50:00Z"/>
        <s v="2025-06-20T13:33:19Z"/>
        <s v="2025-04-01T14:28:05Z"/>
        <s v="2024-11-27T20:00:09Z"/>
        <s v="2025-04-14T15:43:29Z"/>
        <s v="2024-09-26T07:02:08Z"/>
        <s v="2024-04-21T13:45:01Z"/>
        <s v="2025-03-10T15:06:52Z"/>
        <s v="2024-07-28T16:39:34Z"/>
        <s v="2023-05-17T01:30:16Z"/>
        <s v="2025-03-18T16:09:34Z"/>
        <s v="2025-04-06T20:02:00Z"/>
        <s v="2023-04-12T12:28:00Z"/>
        <s v="2024-05-15T19:17:53Z"/>
        <s v="2024-12-19T13:05:34Z"/>
        <s v="2025-05-11T16:50:41Z"/>
        <s v="2024-07-17T12:52:30Z"/>
        <s v="2025-06-16T16:29:17Z"/>
        <s v="2025-05-05T10:00:35Z"/>
        <s v="2024-12-30T22:00:24Z"/>
        <s v="2024-02-22T16:00:06Z"/>
        <s v="2025-03-23T13:00:42Z"/>
        <s v="2022-05-18T15:24:08Z"/>
        <s v="2024-10-20T03:30:18Z"/>
        <s v="2024-02-28T16:14:27Z"/>
        <s v="2024-08-24T10:47:38Z"/>
        <s v="2023-03-31T13:25:00Z"/>
        <s v="2024-01-13T12:35:53Z"/>
        <s v="2025-06-15T13:00:39Z"/>
        <s v="2023-12-06T08:34:08Z"/>
        <s v="2025-01-27T08:47:51Z"/>
        <s v="2025-06-14T15:27:01Z"/>
        <s v="2025-06-20T16:17:46Z"/>
        <s v="2025-05-31T13:34:13Z"/>
        <s v="2025-06-20T21:43:58Z"/>
        <s v="2025-05-25T16:00:38Z"/>
        <s v="2025-03-29T02:46:20Z"/>
        <s v="2024-08-13T20:48:01Z"/>
        <s v="2022-06-22T17:55:59Z"/>
        <s v="2022-08-15T16:10:34Z"/>
        <s v="2024-04-19T05:14:16Z"/>
        <s v="2025-06-17T21:41:04Z"/>
        <s v="2023-12-10T10:43:56Z"/>
        <s v="2022-08-16T18:39:24Z"/>
        <s v="2024-08-30T03:54:29Z"/>
        <s v="2024-09-23T07:31:18Z"/>
        <s v="2025-06-14T16:18:14Z"/>
        <s v="2025-06-19T09:47:45Z"/>
        <s v="2022-10-30T12:06:27Z"/>
        <s v="2025-01-11T07:05:48Z"/>
        <s v="2024-11-27T05:30:12Z"/>
        <s v="2024-11-01T08:06:23Z"/>
        <s v="2023-04-27T08:15:01Z"/>
        <s v="2025-06-02T06:31:59Z"/>
        <s v="2024-09-15T14:30:19Z"/>
        <s v="2025-02-03T21:47:21Z"/>
        <s v="2025-01-11T14:00:43Z"/>
        <s v="2024-07-16T07:28:40Z"/>
        <s v="2024-10-23T12:43:49Z"/>
        <s v="2024-10-04T03:10:00Z"/>
        <s v="2025-02-02T01:30:10Z"/>
        <s v="2024-03-21T16:30:05Z"/>
        <s v="2025-06-17T04:00:29Z"/>
        <s v="2024-04-28T09:05:34Z"/>
        <s v="2022-11-27T07:51:35Z"/>
        <s v="2025-02-01T18:00:23Z"/>
        <s v="2022-06-24T13:24:08Z"/>
        <s v="2025-01-26T12:42:48Z"/>
        <s v="2024-08-18T21:47:03Z"/>
        <s v="2025-01-18T16:55:03Z"/>
        <s v="2025-06-18T02:57:24Z"/>
        <s v="2021-09-23T15:17:52Z"/>
        <s v="2023-03-19T09:46:20Z"/>
        <s v="2025-06-14T05:20:33Z"/>
        <s v="2024-05-22T16:53:17Z"/>
        <s v="2024-12-20T10:12:09Z"/>
        <s v="2024-05-26T11:00:42Z"/>
        <s v="2024-01-29T14:05:00Z"/>
        <s v="2025-06-13T11:40:18Z"/>
        <s v="2025-06-16T05:29:51Z"/>
        <s v="2023-07-20T18:00:08Z"/>
        <s v="2025-03-04T05:22:35Z"/>
        <s v="2025-04-20T04:17:12Z"/>
        <s v="2024-08-24T12:26:00Z"/>
        <s v="2024-03-31T18:25:00Z"/>
        <s v="2024-12-22T00:28:32Z"/>
        <s v="2025-04-27T08:10:21Z"/>
        <s v="2025-04-09T20:05:13Z"/>
        <s v="2025-06-01T03:29:27Z"/>
        <s v="2025-06-20T11:01:32Z"/>
        <s v="2025-05-24T14:49:42Z"/>
        <s v="2025-05-26T11:38:29Z"/>
        <s v="2024-10-23T07:00:02Z"/>
        <s v="2024-03-18T14:00:20Z"/>
        <s v="2025-06-18T15:27:00Z"/>
        <s v="2024-04-03T12:37:51Z"/>
        <s v="2025-01-07T10:17:21Z"/>
        <s v="2025-06-19T16:43:48Z"/>
        <s v="2023-08-18T15:25:45Z"/>
        <s v="2025-06-20T03:42:23Z"/>
        <s v="2024-06-18T11:03:08Z"/>
        <s v="2025-06-14T13:06:29Z"/>
        <s v="2025-06-18T10:30:38Z"/>
        <s v="2023-08-31T13:30:30Z"/>
        <s v="2024-09-29T07:52:23Z"/>
        <s v="2025-03-19T11:01:40Z"/>
        <s v="2024-09-04T23:30:06Z"/>
        <s v="2025-06-14T12:02:36Z"/>
        <s v="2025-05-02T17:23:35Z"/>
        <s v="2025-06-14T22:44:27Z"/>
        <s v="2024-02-27T15:52:55Z"/>
        <s v="2023-09-01T11:09:22Z"/>
        <s v="2025-05-10T00:30:11Z"/>
        <s v="2023-12-13T13:30:02Z"/>
        <s v="2024-10-08T13:21:04Z"/>
        <s v="2025-05-29T03:55:53Z"/>
        <s v="2021-12-04T16:18:16Z"/>
        <s v="2025-06-06T04:05:16Z"/>
        <s v="2025-05-22T23:00:09Z"/>
        <s v="2025-04-27T05:04:00Z"/>
        <s v="2024-03-24T02:08:18Z"/>
        <s v="2025-04-01T12:04:55Z"/>
        <s v="2025-06-16T05:45:02Z"/>
        <s v="2024-12-28T12:00:53Z"/>
        <s v="2025-06-10T03:31:02Z"/>
        <s v="2025-06-19T13:51:13Z"/>
        <s v="2025-03-29T02:41:29Z"/>
        <s v="2025-01-25T04:40:09Z"/>
        <s v="2024-02-07T13:00:00Z"/>
        <s v="2024-04-13T13:47:23Z"/>
        <s v="2025-06-20T22:51:57Z"/>
        <s v="2022-08-15T01:22:05Z"/>
        <s v="2025-06-12T16:36:41Z"/>
        <s v="2025-01-28T13:01:12Z"/>
        <s v="2024-03-12T14:15:02Z"/>
        <s v="2025-06-14T12:52:12Z"/>
        <s v="2025-06-13T15:27:01Z"/>
        <s v="2025-06-19T15:27:00Z"/>
        <s v="2024-06-06T19:04:46Z"/>
        <s v="2024-09-23T13:30:02Z"/>
        <s v="2025-06-19T07:12:36Z"/>
        <s v="2022-12-02T07:15:02Z"/>
        <s v="2025-06-05T22:08:49Z"/>
        <s v="2025-05-09T16:01:57Z"/>
        <s v="2023-11-22T13:30:14Z"/>
        <s v="2025-05-28T10:40:00Z"/>
        <s v="2023-05-25T01:30:10Z"/>
        <s v="2025-06-18T04:46:17Z"/>
        <s v="2024-04-15T14:33:00Z"/>
        <s v="2025-06-16T18:44:16Z"/>
        <s v="2024-09-14T12:33:41Z"/>
        <s v="2024-06-23T05:30:17Z"/>
        <s v="2024-08-10T11:00:31Z"/>
        <s v="2025-06-15T16:55:45Z"/>
        <s v="2022-08-08T17:29:34Z"/>
        <s v="2024-10-05T10:52:18Z"/>
        <s v="2024-03-08T12:30:31Z"/>
        <s v="2024-10-16T13:30:46Z"/>
        <s v="2019-05-26T10:23:43Z"/>
        <s v="2024-07-19T13:00:28Z"/>
        <s v="2025-06-14T13:30:05Z"/>
        <s v="2025-06-06T17:00:18Z"/>
        <s v="2024-11-16T05:30:19Z"/>
        <s v="2025-03-27T20:08:18Z"/>
        <s v="2025-05-14T06:46:14Z"/>
        <s v="2025-04-20T00:39:52Z"/>
        <s v="2025-06-20T15:15:35Z"/>
        <s v="2024-10-18T15:21:46Z"/>
        <s v="2025-06-17T16:35:09Z"/>
        <s v="2023-08-17T08:37:00Z"/>
        <s v="2025-04-05T06:03:46Z"/>
        <s v="2025-06-06T15:39:45Z"/>
        <s v="2025-06-11T13:11:45Z"/>
        <s v="2024-08-19T17:19:11Z"/>
        <s v="2024-07-14T13:00:56Z"/>
        <s v="2025-06-11T19:59:26Z"/>
        <s v="2025-05-04T14:27:14Z"/>
        <s v="2025-03-30T02:30:32Z"/>
        <s v="2025-05-13T12:42:45Z"/>
        <s v="2025-04-22T06:25:00Z"/>
        <s v="2025-06-14T14:26:48Z"/>
        <s v="2025-06-20T14:01:11Z"/>
        <s v="2025-06-09T18:35:14Z"/>
        <s v="2025-06-10T05:55:54Z"/>
        <s v="2025-06-18T15:27:04Z"/>
        <s v="2025-06-03T05:30:14Z"/>
        <s v="2025-05-02T10:52:42Z"/>
        <s v="2025-05-02T12:30:50Z"/>
        <s v="2025-06-20T13:35:17Z"/>
        <s v="2025-06-08T13:42:46Z"/>
        <s v="2025-06-16T11:23:48Z"/>
        <s v="2025-01-27T19:27:11Z"/>
        <s v="2025-06-20T04:29:06Z"/>
        <s v="2025-06-19T03:30:40Z"/>
        <s v="2025-06-06T21:03:27Z"/>
        <s v="2025-06-07T18:54:30Z"/>
        <s v="2025-06-19T17:16:19Z"/>
        <s v="2025-06-20T16:33:00Z"/>
        <s v="2024-12-05T20:56:32Z"/>
        <s v="2025-05-26T04:20:32Z"/>
        <s v="2024-03-05T05:12:48Z"/>
        <s v="2024-12-18T15:30:14Z"/>
        <s v="2025-06-03T23:44:26Z"/>
        <s v="2025-06-20T06:58:15Z"/>
        <s v="2025-05-25T09:00:08Z"/>
        <s v="2025-06-20T05:30:15Z"/>
        <s v="2025-06-14T14:54:05Z"/>
        <s v="2025-06-06T08:02:40Z"/>
        <s v="2025-06-19T11:56:48Z"/>
        <s v="2025-06-20T09:12:31Z"/>
        <s v="2025-05-17T15:30:21Z"/>
        <s v="2025-06-16T03:39:05Z"/>
        <s v="2025-06-16T12:31:11Z"/>
        <s v="2025-04-01T12:33:01Z"/>
        <s v="2025-06-20T10:01:30Z"/>
        <s v="2025-06-20T04:30:26Z"/>
        <s v="2025-06-09T13:43:12Z"/>
        <s v="2025-06-18T10:57:41Z"/>
        <s v="2025-06-16T02:21:30Z"/>
        <s v="2025-06-15T11:59:11Z"/>
        <s v="2025-06-14T20:01:50Z"/>
        <s v="2025-03-17T14:30:33Z"/>
        <s v="2025-02-22T13:24:28Z"/>
        <s v="2025-06-20T10:13:33Z"/>
        <s v="2025-06-18T00:08:17Z"/>
        <s v="2025-05-27T07:02:23Z"/>
        <s v="2025-06-19T04:30:30Z"/>
        <s v="2025-06-20T09:00:59Z"/>
        <s v="2025-06-20T06:31:32Z"/>
        <s v="2025-06-11T04:30:35Z"/>
        <s v="2025-06-19T18:00:39Z"/>
        <s v="2020-11-07T10:34:26Z"/>
        <s v="2023-10-07T00:30:02Z"/>
        <s v="2025-06-20T06:07:44Z"/>
        <s v="2024-07-08T15:48:07Z"/>
        <s v="2025-06-19T10:40:45Z"/>
        <s v="2025-04-28T20:11:16Z"/>
        <s v="2025-05-04T11:16:39Z"/>
        <s v="2025-05-28T18:25:00Z"/>
        <s v="2025-06-18T16:50:24Z"/>
        <s v="2025-06-19T16:38:38Z"/>
        <s v="2025-06-20T05:06:17Z"/>
        <s v="2025-05-21T01:00:06Z"/>
        <s v="2025-06-18T04:38:49Z"/>
        <s v="2009-04-18T21:06:33Z"/>
        <s v="2020-08-23T08:30:13Z"/>
        <s v="2024-11-25T12:47:38Z"/>
        <s v="2025-06-08T07:05:16Z"/>
        <s v="2025-05-27T11:30:17Z"/>
        <s v="2025-06-18T04:30:17Z"/>
        <s v="2025-04-27T10:56:13Z"/>
        <s v="2025-06-20T04:30:25Z"/>
        <s v="2025-06-09T13:07:44Z"/>
        <s v="2009-06-17T05:30:22Z"/>
        <s v="2025-01-30T00:00:28Z"/>
        <s v="2025-04-15T14:30:01Z"/>
        <s v="2025-06-20T08:18:10Z"/>
        <s v="2025-06-13T20:04:04Z"/>
        <s v="2025-05-18T04:41:12Z"/>
        <s v="2025-05-30T16:18:04Z"/>
        <s v="2025-06-19T13:15:20Z"/>
        <s v="2025-06-19T12:30:17Z"/>
        <s v="2024-10-16T14:30:01Z"/>
        <s v="2025-06-20T09:01:09Z"/>
        <s v="2025-05-17T17:58:02Z"/>
        <s v="2025-06-06T02:50:11Z"/>
        <s v="2025-06-14T01:33:01Z"/>
        <s v="2021-09-29T09:20:20Z"/>
        <s v="2025-06-14T07:15:00Z"/>
        <s v="2025-03-19T22:22:40Z"/>
        <s v="2025-04-29T20:51:26Z"/>
        <s v="2024-06-17T12:00:21Z"/>
        <s v="2024-09-06T05:00:38Z"/>
        <s v="2025-01-11T17:15:50Z"/>
        <s v="2025-03-06T21:32:12Z"/>
        <s v="2024-11-11T12:15:01Z"/>
        <s v="2025-01-29T20:47:22Z"/>
        <s v="2024-05-21T17:30:00Z"/>
        <s v="2025-05-25T01:30:30Z"/>
        <s v="2024-05-30T10:22:03Z"/>
        <s v="2024-04-30T13:09:12Z"/>
        <s v="2025-06-15T11:00:40Z"/>
        <s v="2025-06-02T14:01:03Z"/>
        <s v="2025-06-16T11:22:07Z"/>
        <s v="2025-05-20T09:01:36Z"/>
        <s v="2025-05-31T08:00:59Z"/>
        <s v="2025-06-09T18:52:36Z"/>
        <s v="2025-05-04T10:01:21Z"/>
        <s v="2025-05-25T13:27:43Z"/>
        <s v="2025-04-09T16:26:25Z"/>
        <s v="2025-05-11T13:41:11Z"/>
        <s v="2025-06-20T03:49:38Z"/>
        <s v="2025-05-10T11:05:42Z"/>
        <s v="2022-06-30T21:15:14Z"/>
        <s v="2025-02-14T00:47:23Z"/>
        <s v="2025-06-19T12:30:50Z"/>
        <s v="2024-04-27T11:39:10Z"/>
        <s v="2023-11-29T13:15:06Z"/>
        <s v="2025-05-01T21:33:02Z"/>
        <s v="2025-06-20T03:30:47Z"/>
        <s v="2025-05-10T15:37:11Z"/>
        <s v="2025-01-14T05:25:00Z"/>
        <s v="2025-05-02T14:27:29Z"/>
        <s v="2023-01-18T21:00:11Z"/>
        <s v="2025-05-04T14:01:18Z"/>
        <s v="2025-06-16T05:55:07Z"/>
        <s v="2025-06-13T23:30:11Z"/>
        <s v="2025-01-14T18:32:04Z"/>
        <s v="2025-06-20T00:45:01Z"/>
        <s v="2025-06-02T16:26:39Z"/>
        <s v="2025-06-01T12:07:56Z"/>
        <s v="2025-05-22T15:15:04Z"/>
        <s v="2025-04-03T11:39:58Z"/>
        <s v="2025-04-28T07:07:24Z"/>
        <s v="2024-10-18T14:53:08Z"/>
        <s v="2025-05-09T11:15:07Z"/>
        <s v="2025-04-14T17:00:51Z"/>
        <s v="2025-05-21T05:03:32Z"/>
        <s v="2025-04-09T13:00:27Z"/>
        <s v="2025-01-09T08:08:55Z"/>
        <s v="2024-12-22T17:57:45Z"/>
        <s v="2025-06-08T14:00:01Z"/>
        <s v="2025-02-27T16:44:55Z"/>
        <s v="2025-03-15T16:02:48Z"/>
        <s v="2025-06-15T13:30:05Z"/>
        <s v="2025-05-08T12:30:51Z"/>
        <s v="2025-06-04T12:42:23Z"/>
        <s v="2025-05-13T11:49:22Z"/>
        <s v="2024-10-19T13:27:23Z"/>
        <s v="2025-02-06T21:34:18Z"/>
        <s v="2025-04-29T18:40:16Z"/>
        <s v="2025-01-14T15:04:54Z"/>
        <s v="2024-10-08T12:16:50Z"/>
        <s v="2025-06-05T07:05:37Z"/>
        <s v="2024-04-23T12:00:04Z"/>
        <s v="2025-01-10T17:30:00Z"/>
        <s v="2022-05-26T17:01:10Z"/>
        <s v="2024-08-08T13:50:25Z"/>
        <s v="2024-08-24T09:28:40Z"/>
        <s v="2025-05-28T16:12:58Z"/>
        <s v="2025-05-01T11:28:36Z"/>
        <s v="2025-06-07T14:31:35Z"/>
        <s v="2025-06-11T06:30:00Z"/>
        <s v="2025-06-04T10:30:31Z"/>
        <s v="2025-06-02T14:28:33Z"/>
        <s v="2025-05-02T14:00:39Z"/>
        <s v="2025-03-18T12:30:43Z"/>
        <s v="2025-05-28T11:21:41Z"/>
        <s v="2025-05-04T13:23:16Z"/>
        <s v="2022-04-07T13:27:33Z"/>
        <s v="2025-04-19T13:00:31Z"/>
        <s v="2025-05-20T00:11:28Z"/>
        <s v="2025-01-29T00:06:39Z"/>
        <s v="2024-12-29T13:06:21Z"/>
        <s v="2025-05-30T16:01:08Z"/>
        <s v="2025-06-02T14:01:24Z"/>
        <s v="2025-05-14T02:16:36Z"/>
        <s v="2025-02-10T09:00:11Z"/>
        <s v="2023-02-10T11:00:35Z"/>
        <s v="2024-02-18T17:00:36Z"/>
        <s v="2025-06-09T12:55:43Z"/>
        <s v="2025-04-03T21:32:27Z"/>
        <s v="2019-05-30T12:32:54Z"/>
        <s v="2024-05-18T04:30:10Z"/>
        <s v="2025-05-23T04:59:17Z"/>
        <s v="2025-03-07T14:00:53Z"/>
        <s v="2025-06-02T17:19:01Z"/>
        <s v="2025-06-19T14:45:58Z"/>
        <s v="2025-05-20T15:54:53Z"/>
        <s v="2025-05-18T14:35:17Z"/>
        <s v="2024-10-16T18:07:06Z"/>
        <s v="2025-04-28T01:37:06Z"/>
        <s v="2024-11-08T05:00:01Z"/>
        <s v="2022-05-02T14:33:49Z"/>
        <s v="2025-04-21T10:48:18Z"/>
        <s v="2021-07-19T20:48:32Z"/>
        <s v="2021-04-21T00:49:58Z"/>
        <s v="2025-06-03T13:42:02Z"/>
        <s v="2025-05-07T11:36:27Z"/>
        <s v="2025-06-02T10:05:00Z"/>
        <s v="2022-12-21T18:54:42Z"/>
        <s v="2025-04-11T06:45:17Z"/>
        <s v="2025-06-09T22:54:15Z"/>
        <s v="2025-04-24T14:03:04Z"/>
        <s v="2025-06-10T12:56:53Z"/>
        <s v="2025-05-13T06:31:55Z"/>
        <s v="2020-11-16T16:44:06Z"/>
        <s v="2025-06-06T07:32:23Z"/>
        <s v="2025-06-10T05:45:33Z"/>
        <s v="2025-05-28T15:36:24Z"/>
        <s v="2025-04-26T10:31:11Z"/>
        <s v="2025-05-25T13:43:15Z"/>
        <s v="2022-01-31T08:57:01Z"/>
        <s v="2021-11-28T11:06:49Z"/>
        <s v="2024-11-11T22:02:54Z"/>
        <s v="2025-03-25T14:39:27Z"/>
        <s v="2025-04-18T11:45:21Z"/>
        <s v="2025-04-15T01:30:11Z"/>
        <s v="2024-12-23T06:30:06Z"/>
        <s v="2023-11-29T22:46:30Z"/>
        <s v="2025-05-28T16:18:11Z"/>
        <s v="2025-04-19T13:00:12Z"/>
        <s v="2021-07-04T12:24:00Z"/>
        <s v="2025-04-01T18:28:31Z"/>
        <s v="2022-05-03T22:23:10Z"/>
        <s v="2025-06-20T05:15:19Z"/>
        <s v="2025-06-19T13:39:44Z"/>
        <s v="2025-06-20T02:00:02Z"/>
        <s v="2025-06-19T15:16:47Z"/>
      </sharedItems>
      <fieldGroup par="20"/>
    </cacheField>
    <cacheField name="Real Date" numFmtId="14">
      <sharedItems containsSemiMixedTypes="0" containsNonDate="0" containsDate="1" containsString="0" minDate="2009-03-30T00:00:00" maxDate="2025-06-21T00:00:00" count="322">
        <d v="2025-05-02T00:00:00"/>
        <d v="2025-06-18T00:00:00"/>
        <d v="2022-11-01T00:00:00"/>
        <d v="2024-07-08T00:00:00"/>
        <d v="2024-12-22T00:00:00"/>
        <d v="2022-10-02T00:00:00"/>
        <d v="2024-07-17T00:00:00"/>
        <d v="2024-01-04T00:00:00"/>
        <d v="2025-06-19T00:00:00"/>
        <d v="2022-10-15T00:00:00"/>
        <d v="2024-09-29T00:00:00"/>
        <d v="2024-08-15T00:00:00"/>
        <d v="2025-05-21T00:00:00"/>
        <d v="2024-03-20T00:00:00"/>
        <d v="2021-10-18T00:00:00"/>
        <d v="2024-05-12T00:00:00"/>
        <d v="2025-01-20T00:00:00"/>
        <d v="2023-06-20T00:00:00"/>
        <d v="2025-04-14T00:00:00"/>
        <d v="2025-02-21T00:00:00"/>
        <d v="2025-02-22T00:00:00"/>
        <d v="2023-04-26T00:00:00"/>
        <d v="2024-09-06T00:00:00"/>
        <d v="2024-03-06T00:00:00"/>
        <d v="2024-12-10T00:00:00"/>
        <d v="2025-06-15T00:00:00"/>
        <d v="2016-06-25T00:00:00"/>
        <d v="2024-09-10T00:00:00"/>
        <d v="2025-01-03T00:00:00"/>
        <d v="2024-12-08T00:00:00"/>
        <d v="2022-09-09T00:00:00"/>
        <d v="2024-08-31T00:00:00"/>
        <d v="2023-07-14T00:00:00"/>
        <d v="2025-01-13T00:00:00"/>
        <d v="2023-05-03T00:00:00"/>
        <d v="2024-01-26T00:00:00"/>
        <d v="2023-09-29T00:00:00"/>
        <d v="2025-02-14T00:00:00"/>
        <d v="2025-05-28T00:00:00"/>
        <d v="2024-10-17T00:00:00"/>
        <d v="2023-09-19T00:00:00"/>
        <d v="2024-05-29T00:00:00"/>
        <d v="2024-07-12T00:00:00"/>
        <d v="2025-06-06T00:00:00"/>
        <d v="2024-01-20T00:00:00"/>
        <d v="2025-03-06T00:00:00"/>
        <d v="2022-03-14T00:00:00"/>
        <d v="2024-06-12T00:00:00"/>
        <d v="2024-07-16T00:00:00"/>
        <d v="2024-09-28T00:00:00"/>
        <d v="2023-12-20T00:00:00"/>
        <d v="2025-02-28T00:00:00"/>
        <d v="2024-09-01T00:00:00"/>
        <d v="2024-01-10T00:00:00"/>
        <d v="2025-03-21T00:00:00"/>
        <d v="2025-05-22T00:00:00"/>
        <d v="2025-04-28T00:00:00"/>
        <d v="2023-02-11T00:00:00"/>
        <d v="2024-06-21T00:00:00"/>
        <d v="2025-01-10T00:00:00"/>
        <d v="2024-03-21T00:00:00"/>
        <d v="2024-12-25T00:00:00"/>
        <d v="2024-12-18T00:00:00"/>
        <d v="2023-05-29T00:00:00"/>
        <d v="2023-11-08T00:00:00"/>
        <d v="2024-12-20T00:00:00"/>
        <d v="2024-02-26T00:00:00"/>
        <d v="2025-01-06T00:00:00"/>
        <d v="2024-10-04T00:00:00"/>
        <d v="2025-03-03T00:00:00"/>
        <d v="2025-01-30T00:00:00"/>
        <d v="2023-06-01T00:00:00"/>
        <d v="2025-05-20T00:00:00"/>
        <d v="2025-03-30T00:00:00"/>
        <d v="2023-05-12T00:00:00"/>
        <d v="2024-10-18T00:00:00"/>
        <d v="2025-03-13T00:00:00"/>
        <d v="2023-04-28T00:00:00"/>
        <d v="2023-04-05T00:00:00"/>
        <d v="2024-07-01T00:00:00"/>
        <d v="2025-04-24T00:00:00"/>
        <d v="2024-10-27T00:00:00"/>
        <d v="2024-10-11T00:00:00"/>
        <d v="2024-06-18T00:00:00"/>
        <d v="2025-02-08T00:00:00"/>
        <d v="2025-05-25T00:00:00"/>
        <d v="2025-05-15T00:00:00"/>
        <d v="2025-04-03T00:00:00"/>
        <d v="2024-10-01T00:00:00"/>
        <d v="2025-02-12T00:00:00"/>
        <d v="2024-08-25T00:00:00"/>
        <d v="2024-02-01T00:00:00"/>
        <d v="2024-10-03T00:00:00"/>
        <d v="2024-07-04T00:00:00"/>
        <d v="2025-06-20T00:00:00"/>
        <d v="2025-05-27T00:00:00"/>
        <d v="2024-05-13T00:00:00"/>
        <d v="2009-03-30T00:00:00"/>
        <d v="2022-05-13T00:00:00"/>
        <d v="2024-11-30T00:00:00"/>
        <d v="2025-04-23T00:00:00"/>
        <d v="2025-03-29T00:00:00"/>
        <d v="2025-01-25T00:00:00"/>
        <d v="2023-11-13T00:00:00"/>
        <d v="2025-05-19T00:00:00"/>
        <d v="2024-08-26T00:00:00"/>
        <d v="2024-07-22T00:00:00"/>
        <d v="2024-06-01T00:00:00"/>
        <d v="2025-06-04T00:00:00"/>
        <d v="2024-07-02T00:00:00"/>
        <d v="2024-11-08T00:00:00"/>
        <d v="2025-01-12T00:00:00"/>
        <d v="2024-10-10T00:00:00"/>
        <d v="2024-11-04T00:00:00"/>
        <d v="2025-04-13T00:00:00"/>
        <d v="2024-05-25T00:00:00"/>
        <d v="2025-05-07T00:00:00"/>
        <d v="2017-12-16T00:00:00"/>
        <d v="2021-11-02T00:00:00"/>
        <d v="2023-01-24T00:00:00"/>
        <d v="2023-12-31T00:00:00"/>
        <d v="2025-06-08T00:00:00"/>
        <d v="2024-12-11T00:00:00"/>
        <d v="2025-03-18T00:00:00"/>
        <d v="2024-09-11T00:00:00"/>
        <d v="2025-04-02T00:00:00"/>
        <d v="2025-04-05T00:00:00"/>
        <d v="2025-04-08T00:00:00"/>
        <d v="2025-03-08T00:00:00"/>
        <d v="2025-02-07T00:00:00"/>
        <d v="2025-05-29T00:00:00"/>
        <d v="2025-03-22T00:00:00"/>
        <d v="2024-02-25T00:00:00"/>
        <d v="2024-09-26T00:00:00"/>
        <d v="2025-06-17T00:00:00"/>
        <d v="2025-03-14T00:00:00"/>
        <d v="2024-05-17T00:00:00"/>
        <d v="2025-04-20T00:00:00"/>
        <d v="2025-04-15T00:00:00"/>
        <d v="2024-11-27T00:00:00"/>
        <d v="2024-02-20T00:00:00"/>
        <d v="2022-05-27T00:00:00"/>
        <d v="2024-08-03T00:00:00"/>
        <d v="2025-06-12T00:00:00"/>
        <d v="2025-01-15T00:00:00"/>
        <d v="2019-01-09T00:00:00"/>
        <d v="2024-02-17T00:00:00"/>
        <d v="2025-06-10T00:00:00"/>
        <d v="2025-05-13T00:00:00"/>
        <d v="2024-09-20T00:00:00"/>
        <d v="2025-06-11T00:00:00"/>
        <d v="2024-07-27T00:00:00"/>
        <d v="2025-06-07T00:00:00"/>
        <d v="2025-01-23T00:00:00"/>
        <d v="2025-04-01T00:00:00"/>
        <d v="2024-04-21T00:00:00"/>
        <d v="2025-03-10T00:00:00"/>
        <d v="2024-07-28T00:00:00"/>
        <d v="2023-05-17T00:00:00"/>
        <d v="2025-04-06T00:00:00"/>
        <d v="2023-04-12T00:00:00"/>
        <d v="2024-05-15T00:00:00"/>
        <d v="2024-12-19T00:00:00"/>
        <d v="2025-05-11T00:00:00"/>
        <d v="2025-06-16T00:00:00"/>
        <d v="2025-05-05T00:00:00"/>
        <d v="2024-12-30T00:00:00"/>
        <d v="2024-02-22T00:00:00"/>
        <d v="2025-03-23T00:00:00"/>
        <d v="2022-05-18T00:00:00"/>
        <d v="2024-10-20T00:00:00"/>
        <d v="2024-02-28T00:00:00"/>
        <d v="2024-08-24T00:00:00"/>
        <d v="2023-03-31T00:00:00"/>
        <d v="2024-01-13T00:00:00"/>
        <d v="2023-12-06T00:00:00"/>
        <d v="2025-01-27T00:00:00"/>
        <d v="2025-06-14T00:00:00"/>
        <d v="2025-05-31T00:00:00"/>
        <d v="2024-08-13T00:00:00"/>
        <d v="2022-06-22T00:00:00"/>
        <d v="2022-08-15T00:00:00"/>
        <d v="2024-04-19T00:00:00"/>
        <d v="2023-12-10T00:00:00"/>
        <d v="2022-08-16T00:00:00"/>
        <d v="2024-08-30T00:00:00"/>
        <d v="2024-09-23T00:00:00"/>
        <d v="2022-10-30T00:00:00"/>
        <d v="2025-01-11T00:00:00"/>
        <d v="2024-11-01T00:00:00"/>
        <d v="2023-04-27T00:00:00"/>
        <d v="2025-06-02T00:00:00"/>
        <d v="2024-09-15T00:00:00"/>
        <d v="2025-02-03T00:00:00"/>
        <d v="2024-10-23T00:00:00"/>
        <d v="2025-02-02T00:00:00"/>
        <d v="2024-04-28T00:00:00"/>
        <d v="2022-11-27T00:00:00"/>
        <d v="2025-02-01T00:00:00"/>
        <d v="2022-06-24T00:00:00"/>
        <d v="2025-01-26T00:00:00"/>
        <d v="2024-08-18T00:00:00"/>
        <d v="2025-01-18T00:00:00"/>
        <d v="2021-09-23T00:00:00"/>
        <d v="2023-03-19T00:00:00"/>
        <d v="2024-05-22T00:00:00"/>
        <d v="2024-05-26T00:00:00"/>
        <d v="2024-01-29T00:00:00"/>
        <d v="2025-06-13T00:00:00"/>
        <d v="2023-07-20T00:00:00"/>
        <d v="2025-03-04T00:00:00"/>
        <d v="2024-03-31T00:00:00"/>
        <d v="2025-04-27T00:00:00"/>
        <d v="2025-04-09T00:00:00"/>
        <d v="2025-06-01T00:00:00"/>
        <d v="2025-05-24T00:00:00"/>
        <d v="2025-05-26T00:00:00"/>
        <d v="2024-03-18T00:00:00"/>
        <d v="2024-04-03T00:00:00"/>
        <d v="2025-01-07T00:00:00"/>
        <d v="2023-08-18T00:00:00"/>
        <d v="2023-08-31T00:00:00"/>
        <d v="2025-03-19T00:00:00"/>
        <d v="2024-09-04T00:00:00"/>
        <d v="2024-02-27T00:00:00"/>
        <d v="2023-09-01T00:00:00"/>
        <d v="2025-05-10T00:00:00"/>
        <d v="2023-12-13T00:00:00"/>
        <d v="2024-10-08T00:00:00"/>
        <d v="2021-12-04T00:00:00"/>
        <d v="2024-03-24T00:00:00"/>
        <d v="2024-12-28T00:00:00"/>
        <d v="2024-02-07T00:00:00"/>
        <d v="2024-04-13T00:00:00"/>
        <d v="2025-01-28T00:00:00"/>
        <d v="2024-03-12T00:00:00"/>
        <d v="2024-06-06T00:00:00"/>
        <d v="2022-12-02T00:00:00"/>
        <d v="2025-06-05T00:00:00"/>
        <d v="2025-05-09T00:00:00"/>
        <d v="2023-11-22T00:00:00"/>
        <d v="2023-05-25T00:00:00"/>
        <d v="2024-04-15T00:00:00"/>
        <d v="2024-09-14T00:00:00"/>
        <d v="2024-06-23T00:00:00"/>
        <d v="2024-08-10T00:00:00"/>
        <d v="2022-08-08T00:00:00"/>
        <d v="2024-10-05T00:00:00"/>
        <d v="2024-03-08T00:00:00"/>
        <d v="2024-10-16T00:00:00"/>
        <d v="2019-05-26T00:00:00"/>
        <d v="2024-07-19T00:00:00"/>
        <d v="2024-11-16T00:00:00"/>
        <d v="2025-03-27T00:00:00"/>
        <d v="2025-05-14T00:00:00"/>
        <d v="2023-08-17T00:00:00"/>
        <d v="2024-08-19T00:00:00"/>
        <d v="2024-07-14T00:00:00"/>
        <d v="2025-05-04T00:00:00"/>
        <d v="2025-04-22T00:00:00"/>
        <d v="2025-06-09T00:00:00"/>
        <d v="2025-06-03T00:00:00"/>
        <d v="2024-12-05T00:00:00"/>
        <d v="2024-03-05T00:00:00"/>
        <d v="2025-05-17T00:00:00"/>
        <d v="2025-03-17T00:00:00"/>
        <d v="2020-11-07T00:00:00"/>
        <d v="2023-10-07T00:00:00"/>
        <d v="2009-04-18T00:00:00"/>
        <d v="2020-08-23T00:00:00"/>
        <d v="2024-11-25T00:00:00"/>
        <d v="2009-06-17T00:00:00"/>
        <d v="2025-05-18T00:00:00"/>
        <d v="2025-05-30T00:00:00"/>
        <d v="2021-09-29T00:00:00"/>
        <d v="2025-04-29T00:00:00"/>
        <d v="2024-06-17T00:00:00"/>
        <d v="2024-11-11T00:00:00"/>
        <d v="2025-01-29T00:00:00"/>
        <d v="2024-05-21T00:00:00"/>
        <d v="2024-05-30T00:00:00"/>
        <d v="2024-04-30T00:00:00"/>
        <d v="2022-06-30T00:00:00"/>
        <d v="2024-04-27T00:00:00"/>
        <d v="2023-11-29T00:00:00"/>
        <d v="2025-05-01T00:00:00"/>
        <d v="2025-01-14T00:00:00"/>
        <d v="2023-01-18T00:00:00"/>
        <d v="2025-01-09T00:00:00"/>
        <d v="2025-02-27T00:00:00"/>
        <d v="2025-03-15T00:00:00"/>
        <d v="2025-05-08T00:00:00"/>
        <d v="2024-10-19T00:00:00"/>
        <d v="2025-02-06T00:00:00"/>
        <d v="2024-04-23T00:00:00"/>
        <d v="2022-05-26T00:00:00"/>
        <d v="2024-08-08T00:00:00"/>
        <d v="2022-04-07T00:00:00"/>
        <d v="2025-04-19T00:00:00"/>
        <d v="2024-12-29T00:00:00"/>
        <d v="2025-02-10T00:00:00"/>
        <d v="2023-02-10T00:00:00"/>
        <d v="2024-02-18T00:00:00"/>
        <d v="2019-05-30T00:00:00"/>
        <d v="2024-05-18T00:00:00"/>
        <d v="2025-05-23T00:00:00"/>
        <d v="2025-03-07T00:00:00"/>
        <d v="2022-05-02T00:00:00"/>
        <d v="2025-04-21T00:00:00"/>
        <d v="2021-07-19T00:00:00"/>
        <d v="2021-04-21T00:00:00"/>
        <d v="2022-12-21T00:00:00"/>
        <d v="2025-04-11T00:00:00"/>
        <d v="2020-11-16T00:00:00"/>
        <d v="2025-04-26T00:00:00"/>
        <d v="2022-01-31T00:00:00"/>
        <d v="2021-11-28T00:00:00"/>
        <d v="2025-03-25T00:00:00"/>
        <d v="2025-04-18T00:00:00"/>
        <d v="2024-12-23T00:00:00"/>
        <d v="2021-07-04T00:00:00"/>
        <d v="2022-05-03T00:00:00"/>
      </sharedItems>
      <fieldGroup par="22" base="4">
        <rangePr groupBy="months" startDate="2009-03-30T00:00:00" endDate="2025-06-21T00:00:00"/>
        <groupItems count="14">
          <s v="&lt;30-03-2009"/>
          <s v="Jan"/>
          <s v="Feb"/>
          <s v="Mar"/>
          <s v="Apr"/>
          <s v="May"/>
          <s v="Jun"/>
          <s v="Jul"/>
          <s v="Aug"/>
          <s v="Sep"/>
          <s v="Oct"/>
          <s v="Nov"/>
          <s v="Dec"/>
          <s v="&gt;21-06-2025"/>
        </groupItems>
      </fieldGroup>
    </cacheField>
    <cacheField name="Year" numFmtId="0">
      <sharedItems containsSemiMixedTypes="0" containsString="0" containsNumber="1" containsInteger="1" minValue="2009" maxValue="2025"/>
    </cacheField>
    <cacheField name="Month" numFmtId="0">
      <sharedItems/>
    </cacheField>
    <cacheField name="Year_Month" numFmtId="0">
      <sharedItems count="55">
        <s v="2025-05"/>
        <s v="2025-06"/>
        <s v="2022-11"/>
        <s v="2024-07"/>
        <s v="2024-12"/>
        <s v="2022-10"/>
        <s v="2024-01"/>
        <s v="2024-09"/>
        <s v="2024-08"/>
        <s v="2024-03"/>
        <s v="2021-10"/>
        <s v="2024-05"/>
        <s v="2025-01"/>
        <s v="2023-06"/>
        <s v="2025-04"/>
        <s v="2025-02"/>
        <s v="2023-04"/>
        <s v="2016-06"/>
        <s v="2022-09"/>
        <s v="2023-07"/>
        <s v="2023-05"/>
        <s v="2023-09"/>
        <s v="2024-10"/>
        <s v="2025-03"/>
        <s v="2022-03"/>
        <s v="2024-06"/>
        <s v="2023-12"/>
        <s v="2023-02"/>
        <s v="2023-11"/>
        <s v="2024-02"/>
        <s v="2009-03"/>
        <s v="2022-05"/>
        <s v="2024-11"/>
        <s v="2017-12"/>
        <s v="2021-11"/>
        <s v="2023-01"/>
        <s v="2019-01"/>
        <s v="2024-04"/>
        <s v="2023-03"/>
        <s v="2022-06"/>
        <s v="2022-08"/>
        <s v="2021-09"/>
        <s v="2023-08"/>
        <s v="2021-12"/>
        <s v="2022-12"/>
        <s v="2019-05"/>
        <s v="2020-11"/>
        <s v="2023-10"/>
        <s v="2009-04"/>
        <s v="2020-08"/>
        <s v="2009-06"/>
        <s v="2022-04"/>
        <s v="2021-07"/>
        <s v="2021-04"/>
        <s v="2022-01"/>
      </sharedItems>
    </cacheField>
    <cacheField name="Days_Since_Published" numFmtId="0">
      <sharedItems containsSemiMixedTypes="0" containsString="0" containsNumber="1" containsInteger="1" minValue="36" maxValue="5962"/>
    </cacheField>
    <cacheField name="channel_id" numFmtId="0">
      <sharedItems/>
    </cacheField>
    <cacheField name="channel_title" numFmtId="0">
      <sharedItems count="408">
        <s v="Mrwhosetheboss"/>
        <s v="CNBC Television"/>
        <s v="Gohar Khan"/>
        <s v="Digifix"/>
        <s v="Sambucha"/>
        <s v="Living in China"/>
        <s v="We Tech"/>
        <s v="Immersed"/>
        <s v="Rohit Ramani "/>
        <s v="Salem Techsperts"/>
        <s v="World New News every day"/>
        <s v="ElectroBOOM"/>
        <s v="YouFact Tech"/>
        <s v="Will Bowers"/>
        <s v="Technology Connections"/>
        <s v="v3 facts "/>
        <s v="The Real G Music TV"/>
        <s v="Mr. Deshi Inventor "/>
        <s v="Fireship"/>
        <s v="JMTech"/>
        <s v="Mrwhosetheboss Plus"/>
        <s v="XiLiR Technologies"/>
        <s v="Creative Savant"/>
        <s v="Cybernews"/>
        <s v="Paritolkks"/>
        <s v="Ashley Dudarenok"/>
        <s v="Linus Tech Tips"/>
        <s v="TECH WITH AR"/>
        <s v="Cleo Abram"/>
        <s v="TechWiser"/>
        <s v="Breaking Taps"/>
        <s v="Drew Gooden"/>
        <s v="PanaceaTutor"/>
        <s v="Avenu Animations"/>
        <s v="Top 10 Discoveries Official"/>
        <s v="SEO Tech"/>
        <s v="MDrepairs"/>
        <s v="Mad Science Dept"/>
        <s v=" ZQotiz Edits"/>
        <s v="Cheddar"/>
        <s v="Renji Bijoy"/>
        <s v="Tech Moments"/>
        <s v="YeFacts"/>
        <s v="Surajit Thinks"/>
        <s v="CraftsFlare"/>
        <s v="Matt Storer"/>
        <s v="TRT World"/>
        <s v="mcm sanjay"/>
        <s v="KYRGYZ USTA"/>
        <s v="VMK Technical Power"/>
        <s v="The History Hub"/>
        <s v="Gulbahar Technical"/>
        <s v="Dhruv Rathee Shorts"/>
        <s v="BTX TROLL"/>
        <s v="Official Facts"/>
        <s v="WQAD News 8"/>
        <s v="Helping Bro"/>
        <s v="Future Business Tech"/>
        <s v="The Fivengers"/>
        <s v="BucketJosh"/>
        <s v="Easy to Learn &amp; Write"/>
        <s v="Kyle Krueger"/>
        <s v="makinerz"/>
        <s v="ProShorts 101"/>
        <s v="Spigen"/>
        <s v="Meibot"/>
        <s v="MyMusic"/>
        <s v="Nishu Rider 001"/>
        <s v="The Facts Usa"/>
        <s v="Jax Zone"/>
        <s v="On Road Indian"/>
        <s v="Tech Master"/>
        <s v="SmartphoneFan"/>
        <s v="Rich Baba"/>
        <s v="Vigyan Recharge"/>
        <s v="Ajju_vlogs855"/>
        <s v="Daily Planetz"/>
        <s v="Adhik Gyan"/>
        <s v="Unique Troll"/>
        <s v="yummyfarm"/>
        <s v="DigZen"/>
        <s v="TechBurner Shorts"/>
        <s v="AK Tech Shorts"/>
        <s v="Error Makes Clever"/>
        <s v="Tech Master Shorts"/>
        <s v="The Goat Saga"/>
        <s v="Astrolabe"/>
        <s v="MostTechy Shorts"/>
        <s v="TechIN"/>
        <s v="Technical chahal 1M"/>
        <s v="ideal institute aligarh"/>
        <s v="Learn Something New"/>
        <s v="Manoj Saru"/>
        <s v="TF2 iNAYAT"/>
        <s v="Suraj pk comedy"/>
        <s v="ryan"/>
        <s v="Echelon world"/>
        <s v="Edward Factz"/>
        <s v="Phonix FF"/>
        <s v="sfrvsubhan"/>
        <s v="ANFF LIVE"/>
        <s v="Jsinfo shorts"/>
        <s v="Bobby Ustad"/>
        <s v="Asmongold TV  "/>
        <s v="Ironaldox"/>
        <s v="Kashan Rehmani Vlogs"/>
        <s v="Spark Animasyon "/>
        <s v="Broke Brothers"/>
        <s v="Trendy Tech Review Show"/>
        <s v="AI Uncovered"/>
        <s v="FactsZilla"/>
        <s v="The Wrench"/>
        <s v="VFX HD"/>
        <s v="Easy to write"/>
        <s v="YANPOL"/>
        <s v="50 Cent - Topic"/>
        <s v="The Wall Street Journal"/>
        <s v="BornToFly22"/>
        <s v="Karl Conrad"/>
        <s v="Thanks Invention"/>
        <s v="Khushi Sharma"/>
        <s v="Prabhat gaupale"/>
        <s v="SpeedNaldo7"/>
        <s v="Scitech-Time"/>
        <s v="Factops"/>
        <s v="Monash Information Technology"/>
        <s v="Techà¤µà¤¾à¤²à¤¾"/>
        <s v="Tech Guru Kaka"/>
        <s v="Future Tech"/>
        <s v="Tip Top Knowledge"/>
        <s v="Fuljhuri Writing "/>
        <s v="Jimy Project"/>
        <s v="Beyond Discovery"/>
        <s v="@Ak_balliawala_0.2"/>
        <s v="M4 Tech"/>
        <s v="Afzal k Fact "/>
        <s v="FuturisticTech"/>
        <s v="RandomMangos"/>
        <s v="Suprans"/>
        <s v="Mahadev Tyagi"/>
        <s v="DKP REPAIR"/>
        <s v="Sami Pec"/>
        <s v="ÑÑ”Ð¼Ñ”Ð¼Ð²Ñ”Ñ me "/>
        <s v="JDAWGTV"/>
        <s v="Upload Ideas With Itamar"/>
        <s v="TVS VIDROS"/>
        <s v="PodcastClips"/>
        <s v="Coding with Lewis"/>
        <s v="Tech way"/>
        <s v="thejunglebadger"/>
        <s v="Ziroth"/>
        <s v="Out Of The Box"/>
        <s v="Megalithic Marvels (Derek Olson)"/>
        <s v="MaviGadget"/>
        <s v="Elon Musk_AI Robots"/>
        <s v="Dhananjay Bhosale"/>
        <s v="Vigyan Mitra"/>
        <s v="CNET"/>
        <s v="HowToMen"/>
        <s v="Tech FC Shorts"/>
        <s v="Æ¦á´‡Ï»ixá´‡Ê€ Ï»á´‡á´…á´œÊŸ"/>
        <s v="Universe Inside You"/>
        <s v="Fact Baazigar"/>
        <s v="AB Electric"/>
        <s v="Loku"/>
        <s v="chon digital"/>
        <s v="VROOK Learning"/>
        <s v="ItsDoom Editz"/>
        <s v="Matt's Computer Services"/>
        <s v="my season trend"/>
        <s v="TechTRENDZ"/>
        <s v="Unbox Therapy"/>
        <s v="The magic project"/>
        <s v="60 Minutes"/>
        <s v="ANI TECH"/>
        <s v="HRIDOY TECH 24"/>
        <s v="TOP CHANGE"/>
        <s v="XRoboHub"/>
        <s v="Gkns shorts"/>
        <s v="GOD UNBOX"/>
        <s v="Factition"/>
        <s v="LordLamba"/>
        <s v="X SPADE"/>
        <s v="Maskmantoys"/>
        <s v="Electric Tech"/>
        <s v="Mx Mobile"/>
        <s v="ezExplains"/>
        <s v="SimpleGhar Telugu"/>
        <s v="it's fact field "/>
        <s v="Karmanwala Voice"/>
        <s v="TechBro"/>
        <s v="Respect Shortaz"/>
        <s v="New China TV"/>
        <s v="Brilliant minds "/>
        <s v="Techlusive"/>
        <s v="The Engineering Mindset"/>
        <s v="HS Shorts "/>
        <s v="Future Ai Robots"/>
        <s v="Making Mastery"/>
        <s v="desi Dilip gaming  FF"/>
        <s v="Carlos Reig"/>
        <s v="DDR CREW"/>
        <s v="The Knowledge Factory "/>
        <s v="AdvikJourney"/>
        <s v="Speeches kairaliya"/>
        <s v="RA SHORTS BD"/>
        <s v="Govind111 YT"/>
        <s v="The crazy comedy"/>
        <s v="Technology "/>
        <s v="AInfoClip"/>
        <s v="QuickTechNow"/>
        <s v="Marques Brownlee"/>
        <s v="Digital Smart Idea"/>
        <s v="Rishiexperiment_18"/>
        <s v="IoT Forge"/>
        <s v="Anastasi In Tech"/>
        <s v="it's robots "/>
        <s v="optimum"/>
        <s v="Right n Wrong "/>
        <s v="Primitive Technology"/>
        <s v="AK 111 music "/>
        <s v="fpt."/>
        <s v="Favourite CAR"/>
        <s v="LifeAda"/>
        <s v="BBC World Service"/>
        <s v="NikanXP"/>
        <s v="Problem Solved"/>
        <s v="Peekaboo Kidz"/>
        <s v="Energy Tech"/>
        <s v="Anashwar Technologies"/>
        <s v="Einstein Science"/>
        <s v="Beastly Dimensions"/>
        <s v="The BR VLOG "/>
        <s v="iRFAN Vlogs "/>
        <s v="daleTech"/>
        <s v="ð—™ð—¶ð—»ð—±ð—¶ð—»ð—´ ð— ð—²ð—ºð—² ð—§ð—²ð—ºð—½ð—¹ð—®ð˜ð—²ð˜€"/>
        <s v="Shiv Mobile agra"/>
        <s v="Gamers"/>
        <s v="Justice Buys"/>
        <s v="TechZone"/>
        <s v="Rivian"/>
        <s v="ColdFusion"/>
        <s v="Titan Gaming official"/>
        <s v="Top up team"/>
        <s v="ASPD VLOG"/>
        <s v="à¸žà¸¥à¸²à¸¢à¸šà¸±à¸§à¸šà¸²à¸™ [ELEPHANT THAILAND]"/>
        <s v="Brucho"/>
        <s v="T-Series Hamar music "/>
        <s v="CRAZY_XYZ_321K"/>
        <s v="Short Reaction Video "/>
        <s v="RService"/>
        <s v="Ashu_Dishu"/>
        <s v="Bloomberg Technology"/>
        <s v="NoobMan"/>
        <s v="Road Rollers"/>
        <s v="HADEZERA TECH"/>
        <s v="Babu 7CH"/>
        <s v="Job Oriented Training"/>
        <s v="Boom Baam Fact"/>
        <s v="motivation With  MY"/>
        <s v="Amurik Khoyetsyan"/>
        <s v="Technology Gyan"/>
        <s v="CanadianJaat"/>
        <s v="Hafu Go"/>
        <s v="NTT INDYCAR SERIES"/>
        <s v="Trakin Tech"/>
        <s v="Happy Tractor "/>
        <s v="AMA_cricketer"/>
        <s v="App Tamil"/>
        <s v="Ayaj_free_fire"/>
        <s v="Mystery Circuit"/>
        <s v="ShortCircuit"/>
        <s v="AstroCore "/>
        <s v="Technik Za Grosz"/>
        <s v="Cris MartÃ­nez"/>
        <s v="Moonxtech"/>
        <s v="Rohossomoy"/>
        <s v="Prasadtechintelugu"/>
        <s v="Lord Gizmo"/>
        <s v="Quick Support"/>
        <s v="INTJAR KHAN 0009"/>
        <s v="Nahid Hasan Vlogs"/>
        <s v="MATA MOBILE BHATPAR RANI"/>
        <s v="TechAltar"/>
        <s v="Firstpost"/>
        <s v="Huge Tractors videos ðŸšœ"/>
        <s v="BOBY SINGH OFFICIAL"/>
        <s v="Women Tractor "/>
        <s v="Radial by The Orchard"/>
        <s v="Sunep Lemtur"/>
        <s v="The Techtv"/>
        <s v="Paul's Hardware"/>
        <s v="Sasuri vs Bouma"/>
        <s v="Nagpuri Rhythm House"/>
        <s v="Space and Technology"/>
        <s v="50CentVEVO"/>
        <s v="Doc of the Day"/>
        <s v="Theresa Learns"/>
        <s v="Andre Lug"/>
        <s v="Professor Of How"/>
        <s v="Unisport"/>
        <s v="Simplilearn"/>
        <s v="GSM TUBER"/>
        <s v="sk electronic spark "/>
        <s v="Tech Shoukin"/>
        <s v="JAZZ Y GIII"/>
        <s v="MC creativity"/>
        <s v="Nick O'Leary"/>
        <s v="VIMAL TECHNICAL "/>
        <s v="KSHYAP JI TECHNICAL "/>
        <s v="Smart Home Solver"/>
        <s v="All process of world"/>
        <s v="TechJoint"/>
        <s v="Sasta Gyan"/>
        <s v="The Tech Chap"/>
        <s v="Jeet Rana GS "/>
        <s v="Working tech"/>
        <s v="Kala Parda "/>
        <s v="GCN Tech"/>
        <s v="Apple"/>
        <s v="Grizzy &amp; les Lemmings"/>
        <s v="INANIYA EDUCATION"/>
        <s v="Mich Rimmer"/>
        <s v="AFR Technology"/>
        <s v="NIRAJ TIWARI VLOG "/>
        <s v="Brown Computers ðŸ’» "/>
        <s v="Car reaction"/>
        <s v="TechShot"/>
        <s v="TechBar"/>
        <s v="The Tonight Show Starring Jimmy Fallon"/>
        <s v="Shorts Mode"/>
        <s v="Nano Records"/>
        <s v="Dyo Facts"/>
        <s v="Daman Shots_x000a_"/>
        <s v="mryeester"/>
        <s v="Creative Tech &amp; DIY"/>
        <s v="Mech Fanatic"/>
        <s v="F4 Faiz"/>
        <s v="Mint"/>
        <s v="Bloomberg Television"/>
        <s v="CineTech by Goutam"/>
        <s v="Tech Burner"/>
        <s v="99Techspot"/>
        <s v="The Laughing Lion"/>
        <s v="Digital Engine"/>
        <s v="Tech with Benefits"/>
        <s v="Techful Gadgets"/>
        <s v="Nazar's Memes"/>
        <s v=" Tech Gp Govind"/>
        <s v="Utkarsh"/>
        <s v="GD TECH, Vlogs, Fun and Masti"/>
        <s v="Brajniketan TechTalks"/>
        <s v="Branch Education"/>
        <s v="Sector 55"/>
        <s v="GetsetflySCIENCE by Gaurav Thakur"/>
        <s v="Undecided with Matt Ferrell"/>
        <s v="Trisha Hershberger"/>
        <s v="The Knowledge"/>
        <s v="LordN Gaming"/>
        <s v="W.A."/>
        <s v="Everything_techie"/>
        <s v="sarik mobile parts shop"/>
        <s v="Trending Machine"/>
        <s v="knowledgible facts"/>
        <s v="Gadgets 360"/>
        <s v="Bloomberg Originals"/>
        <s v="PRO ROBOTS"/>
        <s v="Sami Luo Tech"/>
        <s v="AI Revolution"/>
        <s v="FactEX"/>
        <s v="DiscoverChinaAuto"/>
        <s v="Max Tech"/>
        <s v="The Gearbox"/>
        <s v="Kmeng Prey"/>
        <s v="Quantum Tech HD"/>
        <s v="NEW DISCOVERY  TV"/>
        <s v="Xiaomi"/>
        <s v="Tech Smash Hindi "/>
        <s v="Free Documentary - Engineering"/>
        <s v="the well"/>
        <s v="Pwt Tech "/>
        <s v="Shilpa Xalxo Official"/>
        <s v="YouTube Movies"/>
        <s v="Mau Lozano Tech"/>
        <s v="Veritasium"/>
        <s v="TechLinked"/>
        <s v="IGN"/>
        <s v="@jbmechanics"/>
        <s v="YouTube Viewers"/>
        <s v="In Depth Tech Reviews"/>
        <s v="Pathshala by Nova "/>
        <s v="Khan GS Research Centre"/>
        <s v="RS2 MARKET"/>
        <s v="Dylan Cooper"/>
        <s v="BC Centre"/>
        <s v="TechTrends"/>
        <s v="YUVA COMPUTER ACADEMY"/>
        <s v="Nabeel Nawab"/>
        <s v="Learn Basics"/>
        <s v="Bernardo Tutoriales"/>
        <s v="RK Centre"/>
        <s v="Steve's RoboLab"/>
        <s v="HACKER JP"/>
        <s v=" PONGAMOSLO A PRUEBA CORTOS"/>
        <s v="Nice Channel"/>
        <s v="Killer tech "/>
        <s v="Programming Nerd"/>
        <s v="Funny Truck"/>
      </sharedItems>
    </cacheField>
    <cacheField name="tags" numFmtId="0">
      <sharedItems longText="1"/>
    </cacheField>
    <cacheField name="category_id" numFmtId="0">
      <sharedItems containsSemiMixedTypes="0" containsString="0" containsNumber="1" containsInteger="1" minValue="1" maxValue="30"/>
    </cacheField>
    <cacheField name="category_name" numFmtId="0">
      <sharedItems count="16">
        <s v="Science &amp; Technology"/>
        <s v="News &amp; Politics"/>
        <s v="Education"/>
        <s v="Entertainment"/>
        <s v="Travel &amp; Events"/>
        <s v="Music"/>
        <s v="People &amp; Blogs"/>
        <s v="Comedy"/>
        <s v="Howto &amp; Style"/>
        <s v="Nonprofits &amp; Activism"/>
        <s v="Gaming"/>
        <s v="Film &amp; Animation"/>
        <s v="Pets &amp; Animals"/>
        <s v="Autos &amp; Vehicles"/>
        <s v="Sports"/>
        <e v="#N/A"/>
      </sharedItems>
    </cacheField>
    <cacheField name="view_count" numFmtId="0">
      <sharedItems containsSemiMixedTypes="0" containsString="0" containsNumber="1" minValue="312" maxValue="343758991"/>
    </cacheField>
    <cacheField name="like_count" numFmtId="0">
      <sharedItems containsSemiMixedTypes="0" containsString="0" containsNumber="1" minValue="0" maxValue="4421091"/>
    </cacheField>
    <cacheField name="comment_count" numFmtId="0">
      <sharedItems containsSemiMixedTypes="0" containsString="0" containsNumber="1" minValue="0" maxValue="40241"/>
    </cacheField>
    <cacheField name="engagement_rate" numFmtId="9">
      <sharedItems containsSemiMixedTypes="0" containsString="0" containsNumber="1" minValue="0" maxValue="697.00194993227569"/>
    </cacheField>
    <cacheField name="duration_seconds" numFmtId="0">
      <sharedItems containsSemiMixedTypes="0" containsString="0" containsNumber="1" containsInteger="1" minValue="5" maxValue="3561"/>
    </cacheField>
    <cacheField name="video_type" numFmtId="0">
      <sharedItems count="2">
        <s v="Short"/>
        <s v="Long"/>
      </sharedItems>
    </cacheField>
    <cacheField name="published_date2" numFmtId="0" databaseField="0">
      <fieldGroup base="3">
        <discretePr count="582">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 name="Quarters" numFmtId="0" databaseField="0">
      <fieldGroup base="4">
        <rangePr groupBy="quarters" startDate="2009-03-30T00:00:00" endDate="2025-06-21T00:00:00"/>
        <groupItems count="6">
          <s v="&lt;30-03-2009"/>
          <s v="Qtr1"/>
          <s v="Qtr2"/>
          <s v="Qtr3"/>
          <s v="Qtr4"/>
          <s v="&gt;21-06-2025"/>
        </groupItems>
      </fieldGroup>
    </cacheField>
    <cacheField name="Years" numFmtId="0" databaseField="0">
      <fieldGroup base="4">
        <rangePr groupBy="years" startDate="2009-03-30T00:00:00" endDate="2025-06-21T00:00:00"/>
        <groupItems count="19">
          <s v="&lt;30-03-2009"/>
          <s v="2009"/>
          <s v="2010"/>
          <s v="2011"/>
          <s v="2012"/>
          <s v="2013"/>
          <s v="2014"/>
          <s v="2015"/>
          <s v="2016"/>
          <s v="2017"/>
          <s v="2018"/>
          <s v="2019"/>
          <s v="2020"/>
          <s v="2021"/>
          <s v="2022"/>
          <s v="2023"/>
          <s v="2024"/>
          <s v="2025"/>
          <s v="&gt;21-06-2025"/>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5864.033429282405" createdVersion="6" refreshedVersion="6" minRefreshableVersion="3" recordCount="585">
  <cacheSource type="worksheet">
    <worksheetSource ref="A1:T1048576" sheet="youtube_data"/>
  </cacheSource>
  <cacheFields count="20">
    <cacheField name="video_id" numFmtId="0">
      <sharedItems containsBlank="1"/>
    </cacheField>
    <cacheField name="Title" numFmtId="0">
      <sharedItems containsBlank="1"/>
    </cacheField>
    <cacheField name="Description" numFmtId="0">
      <sharedItems containsBlank="1"/>
    </cacheField>
    <cacheField name="published_date" numFmtId="14">
      <sharedItems containsBlank="1"/>
    </cacheField>
    <cacheField name="Real Date" numFmtId="14">
      <sharedItems containsNonDate="0" containsDate="1" containsString="0" containsBlank="1" minDate="2009-03-30T00:00:00" maxDate="2025-06-21T00:00:00"/>
    </cacheField>
    <cacheField name="Year" numFmtId="0">
      <sharedItems containsString="0" containsBlank="1" containsNumber="1" containsInteger="1" minValue="2009" maxValue="2025"/>
    </cacheField>
    <cacheField name="Month" numFmtId="0">
      <sharedItems containsBlank="1"/>
    </cacheField>
    <cacheField name="Year_Month" numFmtId="0">
      <sharedItems containsBlank="1"/>
    </cacheField>
    <cacheField name="Days_Since_Published" numFmtId="0">
      <sharedItems containsString="0" containsBlank="1" containsNumber="1" containsInteger="1" minValue="36" maxValue="5962"/>
    </cacheField>
    <cacheField name="channel_id" numFmtId="0">
      <sharedItems containsBlank="1"/>
    </cacheField>
    <cacheField name="channel_title" numFmtId="0">
      <sharedItems containsBlank="1"/>
    </cacheField>
    <cacheField name="tags" numFmtId="0">
      <sharedItems containsBlank="1" longText="1"/>
    </cacheField>
    <cacheField name="category_id" numFmtId="0">
      <sharedItems containsString="0" containsBlank="1" containsNumber="1" containsInteger="1" minValue="1" maxValue="30"/>
    </cacheField>
    <cacheField name="category_name" numFmtId="0">
      <sharedItems containsBlank="1" count="17">
        <s v="Science &amp; Technology"/>
        <s v="News &amp; Politics"/>
        <s v="Education"/>
        <s v="Entertainment"/>
        <s v="Travel &amp; Events"/>
        <s v="Music"/>
        <s v="People &amp; Blogs"/>
        <s v="Comedy"/>
        <s v="Howto &amp; Style"/>
        <s v="Nonprofits &amp; Activism"/>
        <s v="Gaming"/>
        <s v="Film &amp; Animation"/>
        <s v="Pets &amp; Animals"/>
        <s v="Autos &amp; Vehicles"/>
        <s v="Sports"/>
        <e v="#N/A"/>
        <m/>
      </sharedItems>
    </cacheField>
    <cacheField name="view_count" numFmtId="0">
      <sharedItems containsString="0" containsBlank="1" containsNumber="1" minValue="312" maxValue="343758991"/>
    </cacheField>
    <cacheField name="like_count" numFmtId="0">
      <sharedItems containsString="0" containsBlank="1" containsNumber="1" minValue="0" maxValue="4421091"/>
    </cacheField>
    <cacheField name="comment_count" numFmtId="0">
      <sharedItems containsString="0" containsBlank="1" containsNumber="1" minValue="0" maxValue="40241"/>
    </cacheField>
    <cacheField name="engagement_rate" numFmtId="9">
      <sharedItems containsString="0" containsBlank="1" containsNumber="1" minValue="0" maxValue="697.00194993227569"/>
    </cacheField>
    <cacheField name="duration_seconds" numFmtId="0">
      <sharedItems containsString="0" containsBlank="1" containsNumber="1" containsInteger="1" minValue="5" maxValue="3561"/>
    </cacheField>
    <cacheField name="video_typ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84">
  <r>
    <x v="0"/>
    <x v="0"/>
    <s v="No description available"/>
    <x v="0"/>
    <x v="0"/>
    <n v="2025"/>
    <s v="May"/>
    <x v="0"/>
    <n v="85"/>
    <s v="UCMiJRAwDNSNzuYeN2uWa0pA"/>
    <x v="0"/>
    <s v="['tiny', 'tech', 'gadgets', 'small', 'miniature']"/>
    <n v="28"/>
    <x v="0"/>
    <n v="8962092"/>
    <n v="243350"/>
    <n v="515"/>
    <n v="2.7210722675018287E-2"/>
    <n v="57"/>
    <x v="0"/>
  </r>
  <r>
    <x v="1"/>
    <x v="1"/>
    <s v="Andrew Yang, Forward Party co-chair and former Dem..."/>
    <x v="1"/>
    <x v="1"/>
    <n v="2025"/>
    <s v="June"/>
    <x v="1"/>
    <n v="38"/>
    <s v="UCrp_UI8XtuYfpiqluWLD7Lw"/>
    <x v="1"/>
    <s v="['Squawk Box U.S.', 'CNBC', 'business news', 'finance stock', 'stock market', 'news channel', 'news station', 'breaking news', 'us news', 'world news', 'cable', 'cable news', 'finance news', 'money', 'money tips', 'financial news', 'stock market news', 'stocks']"/>
    <n v="25"/>
    <x v="1"/>
    <n v="289626"/>
    <n v="3393"/>
    <n v="1240"/>
    <n v="1.599649202764945E-2"/>
    <n v="470"/>
    <x v="1"/>
  </r>
  <r>
    <x v="2"/>
    <x v="2"/>
    <s v="#shorts #technology _x000a__x000a_I spend a LOT of time trying..."/>
    <x v="2"/>
    <x v="2"/>
    <n v="2022"/>
    <s v="November"/>
    <x v="2"/>
    <n v="998"/>
    <s v="UCMiJRAwDNSNzuYeN2uWa0pA"/>
    <x v="0"/>
    <s v="['shorts', 'tech']"/>
    <n v="28"/>
    <x v="0"/>
    <n v="81372201"/>
    <n v="4178447"/>
    <n v="6378"/>
    <n v="5.1428189831070198E-2"/>
    <n v="47"/>
    <x v="0"/>
  </r>
  <r>
    <x v="3"/>
    <x v="3"/>
    <s v="ðŸ’¬ Join my Discord server: https://discord.gg/go..."/>
    <x v="3"/>
    <x v="3"/>
    <n v="2024"/>
    <s v="July"/>
    <x v="3"/>
    <n v="383"/>
    <s v="UCPk2s5c4R_d-EUUNvFFODoA"/>
    <x v="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21255964"/>
    <n v="909386"/>
    <n v="2681"/>
    <n v="4.2908757278663064E-2"/>
    <n v="31"/>
    <x v="0"/>
  </r>
  <r>
    <x v="4"/>
    <x v="4"/>
    <s v="Discover the revolutionary world of augmented real..."/>
    <x v="4"/>
    <x v="4"/>
    <n v="2024"/>
    <s v="December"/>
    <x v="4"/>
    <n v="216"/>
    <s v="UCxqG_E-68WAE0TWYfIopv6Q"/>
    <x v="3"/>
    <s v="['apple glasses price', 'apple glasses design', 'vr', 'apple glasses release date', 'apple vr', 'apple smart glasses', 'ar glasses', 'iglasses', 'apple glasses', 'virtual reality', 'apple ar glasses', 'apple glasses concept', 'apple glass price', 'augmented reality', 'apple glass review', 'apple glass', 'apple glasses leak', 'apple ar headset', 'best ar glasses', 'glasses', 'apple glass launch date', 'smart glasses']"/>
    <n v="28"/>
    <x v="0"/>
    <n v="2790436"/>
    <n v="44278"/>
    <n v="1359"/>
    <n v="1.6354791867650788E-2"/>
    <n v="16"/>
    <x v="0"/>
  </r>
  <r>
    <x v="5"/>
    <x v="5"/>
    <s v="#shorts _x000a__x000a_I spend a LOT of time trying to make my ..."/>
    <x v="5"/>
    <x v="5"/>
    <n v="2022"/>
    <s v="October"/>
    <x v="5"/>
    <n v="1028"/>
    <s v="UCMiJRAwDNSNzuYeN2uWa0pA"/>
    <x v="0"/>
    <s v="['shorts', 'tech', 'myths', 'busted', 'tips']"/>
    <n v="28"/>
    <x v="0"/>
    <n v="28131104"/>
    <n v="1956461"/>
    <n v="6253"/>
    <n v="6.977024435301224E-2"/>
    <n v="56"/>
    <x v="0"/>
  </r>
  <r>
    <x v="6"/>
    <x v="6"/>
    <s v="Follow me here:_x000a_Instagram â–º https://www.instagra..."/>
    <x v="6"/>
    <x v="6"/>
    <n v="2024"/>
    <s v="July"/>
    <x v="3"/>
    <n v="374"/>
    <s v="UCWBWgCD4oAqT3hUeq40SCUw"/>
    <x v="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3736477"/>
    <n v="246338"/>
    <n v="2504"/>
    <n v="6.6598028035499746E-2"/>
    <n v="60"/>
    <x v="0"/>
  </r>
  <r>
    <x v="7"/>
    <x v="7"/>
    <s v="#shorts #tech #gadgets #apple #iphone  _x000a__x000a_I spend a..."/>
    <x v="7"/>
    <x v="7"/>
    <n v="2024"/>
    <s v="January"/>
    <x v="6"/>
    <n v="569"/>
    <s v="UCMiJRAwDNSNzuYeN2uWa0pA"/>
    <x v="0"/>
    <s v="['apple', 'iphone', 'tech', 'gadgets', 'shorts', 'thinnest', 'smallest']"/>
    <n v="28"/>
    <x v="0"/>
    <n v="17538777"/>
    <n v="835009"/>
    <n v="3583"/>
    <n v="4.7813596124746893E-2"/>
    <n v="30"/>
    <x v="0"/>
  </r>
  <r>
    <x v="8"/>
    <x v="8"/>
    <s v="Chinese Technology is LEADING the World - SNEC 202..."/>
    <x v="8"/>
    <x v="8"/>
    <n v="2025"/>
    <s v="June"/>
    <x v="1"/>
    <n v="37"/>
    <s v="UCzDE2LGSmJnw53WrZ7mM_Aw"/>
    <x v="5"/>
    <s v="['midea', 'living in china', 'china energy', 'midea technology', 'china technology', 'midea energy', 'smart ac', 'midea ac review', 'kuka', 'kuka robot', 'air conditioner', 'midea air conditioner', 'hiconics', 'clou electronics', 'china tech', 'china', 'china life', 'jason lightfoot', 'china travel', 'china tariffs']"/>
    <n v="19"/>
    <x v="4"/>
    <n v="17265"/>
    <n v="1569"/>
    <n v="103"/>
    <n v="9.6843324645236026E-2"/>
    <n v="437"/>
    <x v="1"/>
  </r>
  <r>
    <x v="9"/>
    <x v="9"/>
    <s v="#shorts #technology _x000a__x000a_I spend a LOT of time trying..."/>
    <x v="9"/>
    <x v="9"/>
    <n v="2022"/>
    <s v="October"/>
    <x v="5"/>
    <n v="1015"/>
    <s v="UCMiJRAwDNSNzuYeN2uWa0pA"/>
    <x v="0"/>
    <s v="['tech', 'shorts']"/>
    <n v="28"/>
    <x v="0"/>
    <n v="41043500"/>
    <n v="2647228"/>
    <n v="8379"/>
    <n v="6.4702254924653119E-2"/>
    <n v="60"/>
    <x v="0"/>
  </r>
  <r>
    <x v="10"/>
    <x v="10"/>
    <s v="Huawei Mate XT Hands On! ðŸ”¥_x000a__x000a__x000a_#huaweimatext #hua..."/>
    <x v="10"/>
    <x v="10"/>
    <n v="2024"/>
    <s v="September"/>
    <x v="7"/>
    <n v="300"/>
    <s v="UCXy9a8QpkHVsvAXXaQavx2g"/>
    <x v="6"/>
    <s v="['huawei mate xt', 'huawei mate xt review', 'Huawei mate xt unboxing', 'huawei mate xt hands on', 'huawei', 'we tech', 'New', 'trending', 'technology', 'folding']"/>
    <n v="28"/>
    <x v="0"/>
    <n v="8207184"/>
    <n v="168522"/>
    <n v="882"/>
    <n v="2.0640940912254435E-2"/>
    <n v="16"/>
    <x v="0"/>
  </r>
  <r>
    <x v="11"/>
    <x v="11"/>
    <s v="Visor is the world's smallest 4K headset. Spawn fi..."/>
    <x v="11"/>
    <x v="11"/>
    <n v="2024"/>
    <s v="August"/>
    <x v="8"/>
    <n v="345"/>
    <s v="UCGmuLwV0XD_uqL4wKZg4hgA"/>
    <x v="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4573162"/>
    <n v="413243"/>
    <n v="297"/>
    <n v="1.6828929056830373E-2"/>
    <n v="15"/>
    <x v="0"/>
  </r>
  <r>
    <x v="12"/>
    <x v="12"/>
    <s v="Leave a comment with how much this saved you :) _x000a_G..."/>
    <x v="12"/>
    <x v="12"/>
    <n v="2025"/>
    <s v="May"/>
    <x v="0"/>
    <n v="66"/>
    <s v="UCMiJRAwDNSNzuYeN2uWa0pA"/>
    <x v="0"/>
    <s v="['money saving', 'finance', 'save money', 'get things cheaper', 'subscription services', 'netflix', 'spotify', 'youtube', 'disney plus', 'apple', 'iphone', 'subscription']"/>
    <n v="28"/>
    <x v="0"/>
    <n v="2424922"/>
    <n v="92041"/>
    <n v="4874"/>
    <n v="3.9966233965463629E-2"/>
    <n v="891"/>
    <x v="1"/>
  </r>
  <r>
    <x v="13"/>
    <x v="13"/>
    <s v="Future technology part -1_x000a_ #technology_x000a_ #futuretec..."/>
    <x v="13"/>
    <x v="4"/>
    <n v="2024"/>
    <s v="December"/>
    <x v="4"/>
    <n v="216"/>
    <s v="UCcku89bM8Nu8rtAaledTPxg"/>
    <x v="8"/>
    <s v="['Future mobile', 'ai', 'ai advancements', 'ai innovations', 'artificial intelligence', 'cool gadgets', 'elon musk', 'elon musk tech', 'emerging trends', 'future business tech', 'future business technologies', 'future gadgets', 'future of technology', 'future tech', 'future technology', 'future technology 2030', 'future technology 60 minutes', 'innovation', 'next gen', 'next-gen technology', 'robotics', 'robotics trends', 'science', 'smart gadgets', 'tech predictions', 'tech trends 2024', 'tech trends 2025', 'technology', 'vr']"/>
    <n v="28"/>
    <x v="0"/>
    <n v="325551"/>
    <n v="4275"/>
    <n v="90"/>
    <n v="1.3408037450353402E-2"/>
    <n v="24"/>
    <x v="0"/>
  </r>
  <r>
    <x v="14"/>
    <x v="14"/>
    <s v="What happened to our beloved ThinkPad laptop brand..."/>
    <x v="14"/>
    <x v="13"/>
    <n v="2024"/>
    <s v="March"/>
    <x v="9"/>
    <n v="493"/>
    <s v="UCClfFsWcT3N2I7VTXXyt84A"/>
    <x v="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4680422"/>
    <n v="776463"/>
    <n v="5333"/>
    <n v="5.3254327430097038E-2"/>
    <n v="60"/>
    <x v="0"/>
  </r>
  <r>
    <x v="15"/>
    <x v="15"/>
    <s v="#techno #short #technology #newphone"/>
    <x v="15"/>
    <x v="14"/>
    <n v="2021"/>
    <s v="October"/>
    <x v="10"/>
    <n v="1377"/>
    <s v="UCswhjJmbjCmBOErBUo2NYbg"/>
    <x v="1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5"/>
    <x v="1"/>
    <n v="607010"/>
    <n v="5352"/>
    <n v="49"/>
    <n v="8.8977117345677998E-3"/>
    <n v="10"/>
    <x v="0"/>
  </r>
  <r>
    <x v="16"/>
    <x v="16"/>
    <s v="Maybe stop plugging things into each other to see ..."/>
    <x v="16"/>
    <x v="15"/>
    <n v="2024"/>
    <s v="May"/>
    <x v="11"/>
    <n v="440"/>
    <s v="UCJ0-OtVpF0wOKEqT2Z1HEtA"/>
    <x v="1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5858812"/>
    <n v="2122004"/>
    <n v="5830"/>
    <n v="4.6399675595608536E-2"/>
    <n v="17"/>
    <x v="0"/>
  </r>
  <r>
    <x v="17"/>
    <x v="17"/>
    <s v="This yearâ€™s tech unveils are redefining whatâ€™s..."/>
    <x v="17"/>
    <x v="16"/>
    <n v="2025"/>
    <s v="January"/>
    <x v="12"/>
    <n v="187"/>
    <s v="UCSWZxpzUTkriCZRe0Nl0UqA"/>
    <x v="12"/>
    <s v="['you fact tech', 'you fact', 'ufact', 'gadgets', 'technologies', 'CES 2025', 'ai gadgets']"/>
    <n v="28"/>
    <x v="0"/>
    <n v="833726"/>
    <n v="5154"/>
    <n v="250"/>
    <n v="6.4817458013783904E-3"/>
    <n v="976"/>
    <x v="1"/>
  </r>
  <r>
    <x v="18"/>
    <x v="18"/>
    <s v="What comes AFTER the smartphone? ðŸ¤”ðŸ“±_x000a__x000a_With th..."/>
    <x v="18"/>
    <x v="17"/>
    <n v="2023"/>
    <s v="June"/>
    <x v="13"/>
    <n v="767"/>
    <s v="UC9Tib0IsWBst6tlQ-p3L4Pw"/>
    <x v="13"/>
    <s v="['humane', 'apple vision pro', 'humane tech', 'humane AI', 'humane Vancouver', 'apple vr', 'will bowers', 'will.mov', 'willbwrs']"/>
    <n v="28"/>
    <x v="0"/>
    <n v="489568"/>
    <n v="18095"/>
    <n v="270"/>
    <n v="3.751266422642003E-2"/>
    <n v="57"/>
    <x v="0"/>
  </r>
  <r>
    <x v="19"/>
    <x v="19"/>
    <s v="I tested tech products from the biggest YouTubers...."/>
    <x v="19"/>
    <x v="18"/>
    <n v="2025"/>
    <s v="April"/>
    <x v="14"/>
    <n v="103"/>
    <s v="UCMiJRAwDNSNzuYeN2uWa0pA"/>
    <x v="0"/>
    <s v="['youtuber', 'products', 'mkbhd', 'panels', 'tech', 'mark rober', 'ryan trahan', 'youtube']"/>
    <n v="28"/>
    <x v="0"/>
    <n v="5622625"/>
    <n v="162031"/>
    <n v="8716"/>
    <n v="3.0367844200884817E-2"/>
    <n v="2010"/>
    <x v="1"/>
  </r>
  <r>
    <x v="20"/>
    <x v="20"/>
    <s v="#shorts #tech #gadgets #socialmedia"/>
    <x v="20"/>
    <x v="19"/>
    <n v="2025"/>
    <s v="February"/>
    <x v="15"/>
    <n v="155"/>
    <s v="UCMiJRAwDNSNzuYeN2uWa0pA"/>
    <x v="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630240"/>
    <n v="482430"/>
    <n v="4264"/>
    <n v="6.3784887500262122E-2"/>
    <n v="48"/>
    <x v="0"/>
  </r>
  <r>
    <x v="21"/>
    <x v="21"/>
    <s v="This surely won't make me seem like a crank._x000a_Furth..."/>
    <x v="21"/>
    <x v="20"/>
    <n v="2025"/>
    <s v="February"/>
    <x v="15"/>
    <n v="154"/>
    <s v="UCy0tKL1T7wFoYcxCe0xjN6Q"/>
    <x v="1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380315"/>
    <n v="201086"/>
    <n v="28910"/>
    <n v="9.662418629467108E-2"/>
    <n v="2272"/>
    <x v="1"/>
  </r>
  <r>
    <x v="22"/>
    <x v="22"/>
    <s v="#shorts #tech #pranks _x000a__x000a_I spend a LOT of time tryi..."/>
    <x v="22"/>
    <x v="21"/>
    <n v="2023"/>
    <s v="April"/>
    <x v="16"/>
    <n v="822"/>
    <s v="UCMiJRAwDNSNzuYeN2uWa0pA"/>
    <x v="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1867107"/>
    <n v="1762232"/>
    <n v="2990"/>
    <n v="5.5393230392705557E-2"/>
    <n v="59"/>
    <x v="0"/>
  </r>
  <r>
    <x v="23"/>
    <x v="23"/>
    <s v="The Lenovo Legion is actually a great gaming lapto..."/>
    <x v="23"/>
    <x v="22"/>
    <n v="2024"/>
    <s v="September"/>
    <x v="7"/>
    <n v="323"/>
    <s v="UCClfFsWcT3N2I7VTXXyt84A"/>
    <x v="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762739"/>
    <n v="175723"/>
    <n v="1357"/>
    <n v="6.4095812163219176E-2"/>
    <n v="60"/>
    <x v="0"/>
  </r>
  <r>
    <x v="24"/>
    <x v="24"/>
    <s v="#shorts #tech #prank _x000a__x000a_I spend a LOT of time tryin..."/>
    <x v="24"/>
    <x v="23"/>
    <n v="2024"/>
    <s v="March"/>
    <x v="9"/>
    <n v="507"/>
    <s v="UCMiJRAwDNSNzuYeN2uWa0pA"/>
    <x v="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0173228"/>
    <n v="645399"/>
    <n v="806"/>
    <n v="6.3520153092017598E-2"/>
    <n v="60"/>
    <x v="0"/>
  </r>
  <r>
    <x v="25"/>
    <x v="25"/>
    <s v="Top 3 Smartphone gadgets under â‚¹50||ðŸ”¥ðŸ¤¯ #sh..."/>
    <x v="25"/>
    <x v="24"/>
    <n v="2024"/>
    <s v="December"/>
    <x v="4"/>
    <n v="228"/>
    <s v="UCcCjXTiKc-0wFKHI035VVzQ"/>
    <x v="15"/>
    <s v="['shorts', 'gadgets', 'amazing gadgets', 'unique gadgets', 'unique cool gadgets', 'usefull Gadgets', 'Top 3 Smartphone gadgets', 'Top 3 Smartphone gadgets under 50', 'Top 3 Best Unique Gadgets', 'boys gadgets']"/>
    <n v="27"/>
    <x v="2"/>
    <n v="3260448"/>
    <n v="217464.60837887001"/>
    <n v="30571"/>
    <n v="7.6074088094295639E-2"/>
    <n v="28"/>
    <x v="0"/>
  </r>
  <r>
    <x v="26"/>
    <x v="26"/>
    <s v="Seriously, make your life easier and don't go over..."/>
    <x v="26"/>
    <x v="25"/>
    <n v="2025"/>
    <s v="June"/>
    <x v="1"/>
    <n v="41"/>
    <s v="UCy0tKL1T7wFoYcxCe0xjN6Q"/>
    <x v="1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89603"/>
    <n v="36116"/>
    <n v="5166"/>
    <n v="5.2281969546721582E-2"/>
    <n v="1947"/>
    <x v="1"/>
  </r>
  <r>
    <x v="27"/>
    <x v="27"/>
    <s v="50 Cent Gear, Merch &amp; More: https://amzn.to/2r3h8Z..."/>
    <x v="27"/>
    <x v="26"/>
    <n v="2016"/>
    <s v="June"/>
    <x v="17"/>
    <n v="3318"/>
    <s v="UC5yHbiSKzETyX9BL1HgNerg"/>
    <x v="16"/>
    <s v="['50', 'cent', 'curtis', '50 cent', '187', 'album', 'full', 'playlist', 'dirty', 'intro', 'instrumental', 'my', 'gun', 'go', 'off', 'jackson', 'songs', 'complet', 'clean', 'camron', 'hd', 'hq', 'diss', 'man', 'down', 'trailer', 'remix', 'mix', 'many', 'men', 'club', 'pimp', 'eminem', 'back', 'body', 'bags', 'beef', 'birthday', 'bulletproof', 'animal', 'ambition', 'rnb', 'best', 'friend', 'triple', 'diabled', 'Ayo Technology', 'Ayo', 'Technology', 'ft', 'feat', 'justin', 'Timberlake', 'Timberland', 'Timbaland', 'Justin Timberlake']"/>
    <n v="10"/>
    <x v="5"/>
    <n v="2149006"/>
    <n v="23771"/>
    <n v="583"/>
    <n v="1.1332681248912287E-2"/>
    <n v="249"/>
    <x v="1"/>
  </r>
  <r>
    <x v="28"/>
    <x v="28"/>
    <s v="#scienceproject #schoolproject #technology #invent..."/>
    <x v="28"/>
    <x v="27"/>
    <n v="2024"/>
    <s v="September"/>
    <x v="7"/>
    <n v="319"/>
    <s v="UCnrGU9pNN5t7nMdDc2etrRA"/>
    <x v="17"/>
    <s v="['new invention', 'invention', 'DIY project', 'DIY idea', 'homemade invention', 'homemade DIY project', 'shorts', 'youtube shorts', 'trending shorts', 'science project', 'new technology', 'smart gadgets', 'science', 'technology', 'gadgets']"/>
    <n v="28"/>
    <x v="0"/>
    <n v="300032"/>
    <n v="2085"/>
    <n v="14"/>
    <n v="6.9959204351535834E-3"/>
    <n v="15"/>
    <x v="0"/>
  </r>
  <r>
    <x v="29"/>
    <x v="29"/>
    <s v="Get the free 80,000 hours career guide https://800..."/>
    <x v="29"/>
    <x v="28"/>
    <n v="2025"/>
    <s v="January"/>
    <x v="12"/>
    <n v="204"/>
    <s v="UCsBjURrPoezykLs9EqgamOA"/>
    <x v="18"/>
    <s v="['webdev', 'app development', 'lesson', 'tutorial']"/>
    <n v="28"/>
    <x v="0"/>
    <n v="1787798"/>
    <n v="70823"/>
    <n v="2473"/>
    <n v="4.0997920346705838E-2"/>
    <n v="550"/>
    <x v="1"/>
  </r>
  <r>
    <x v="30"/>
    <x v="30"/>
    <s v="Is the Pixel 9 the ultimate iPhone 16 killer? With..."/>
    <x v="30"/>
    <x v="29"/>
    <n v="2024"/>
    <s v="December"/>
    <x v="4"/>
    <n v="230"/>
    <s v="UCPMIXPIhGp2WJzocPRQiM1w"/>
    <x v="19"/>
    <s v="['Google pixel 9', 'New Google pixel 9', 'Pixel 9', 'Google smart phone', 'Best alternative to iPhone', 'Google pixel 9 review', 'iPhone 16 versus Google pixel 9', 'iPhone vs android', 'New smart phone', 'Smart phone', 'iPhone killer', 'Android is better than iPhone', 'Is android better than iPhone?', 'Technology', 'tech', 'iPhone 16']"/>
    <n v="28"/>
    <x v="0"/>
    <n v="2242085"/>
    <n v="97044"/>
    <n v="824"/>
    <n v="4.3650441441782983E-2"/>
    <n v="33"/>
    <x v="0"/>
  </r>
  <r>
    <x v="31"/>
    <x v="31"/>
    <s v="Do consider subscribing to my Main Mrwhosetheboss ..."/>
    <x v="31"/>
    <x v="30"/>
    <n v="2022"/>
    <s v="September"/>
    <x v="18"/>
    <n v="1051"/>
    <s v="UCZSlfzadjnw7G419c_OJ9eg"/>
    <x v="20"/>
    <s v="['shorts', 'tech', 'iphone', 'smartphone', 'hacks', 'mrwhosetheboss', 'gadgets', 'spy gadgets']"/>
    <n v="28"/>
    <x v="0"/>
    <n v="37502912"/>
    <n v="2354591"/>
    <n v="4795"/>
    <n v="6.2912074667695134E-2"/>
    <n v="45"/>
    <x v="0"/>
  </r>
  <r>
    <x v="32"/>
    <x v="32"/>
    <s v="IOT Home Automation using arduino esp 8266 #arduin..."/>
    <x v="32"/>
    <x v="31"/>
    <n v="2024"/>
    <s v="August"/>
    <x v="8"/>
    <n v="329"/>
    <s v="UC2_t6GbaEitHjxbHwDbvhRg"/>
    <x v="2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205213"/>
    <n v="2504"/>
    <n v="38"/>
    <n v="1.2387129470355192E-2"/>
    <n v="16"/>
    <x v="0"/>
  </r>
  <r>
    <x v="33"/>
    <x v="33"/>
    <s v="In this short, Marques Brownlee (MKBHD) reveals wh..."/>
    <x v="33"/>
    <x v="32"/>
    <n v="2023"/>
    <s v="July"/>
    <x v="19"/>
    <n v="743"/>
    <s v="UCtlo5-_lMQo6PeWTx7LvXOw"/>
    <x v="22"/>
    <s v="['mkbhd', 'mkbhd podcast', 'mkbhd podcast clips', 'mkbhd podcast andrew', 'mkbhd interview', 'marques brownlee', 'marques', 'marques brownlee podcast', 'marques brownlee interview', 'andrew', 'andrew schulz', 'flagrant 2', 'andrew schultz', 'flagrant', 'tech', 'technology', 'dream phone', 'phone', 'mkbhd phone', 'podcast', 'podcast clips', 'short', 'shorts']"/>
    <n v="24"/>
    <x v="3"/>
    <n v="33373572"/>
    <n v="1809807"/>
    <n v="21845"/>
    <n v="5.4883307067040948E-2"/>
    <n v="46"/>
    <x v="0"/>
  </r>
  <r>
    <x v="34"/>
    <x v="34"/>
    <s v="âœ… Get Ray-Ban Meta Glasses on Amazon âž¡ï¸ http..."/>
    <x v="34"/>
    <x v="33"/>
    <n v="2025"/>
    <s v="January"/>
    <x v="12"/>
    <n v="194"/>
    <s v="UCCsREoj8rSRkEvxWqxr74rQ"/>
    <x v="23"/>
    <s v="['ces 2025', 'ces', 'ces 2025 tech', 'best ces 2025 tech', 'ces tech', 'ces recap', 'ces 2025 recap', 'ces 2025 highlights', 'best of ces', 'cybernews ces 2025', 'xreal one', 'xreal one pro', 'cybernews', 'ces2025', 'ces hot tech', 'tech']"/>
    <n v="28"/>
    <x v="0"/>
    <n v="2207533"/>
    <n v="22656"/>
    <n v="1565"/>
    <n v="1.0971976409865674E-2"/>
    <n v="1886"/>
    <x v="1"/>
  </r>
  <r>
    <x v="35"/>
    <x v="35"/>
    <s v="#facts #unknownfacts #tech #factsinhindi #techfact..."/>
    <x v="35"/>
    <x v="34"/>
    <n v="2023"/>
    <s v="May"/>
    <x v="20"/>
    <n v="815"/>
    <s v="UC7TNIdi43AgEBY4yA9VV3PQ"/>
    <x v="24"/>
    <s v="['Ibm', 'Worlds smallest computer', 'Smallest computer in the world', 'Smallest computer', 'Micro mote', 'Tech', 'Technology', 'Unknown facts', 'New technology', 'New tech']"/>
    <n v="28"/>
    <x v="0"/>
    <n v="42629992"/>
    <n v="1686053"/>
    <n v="3619"/>
    <n v="3.9635756910299212E-2"/>
    <n v="56"/>
    <x v="0"/>
  </r>
  <r>
    <x v="36"/>
    <x v="36"/>
    <s v="No description available"/>
    <x v="36"/>
    <x v="35"/>
    <n v="2024"/>
    <s v="January"/>
    <x v="6"/>
    <n v="547"/>
    <s v="UC6EM2H38sX0eXddx05MnOGw"/>
    <x v="25"/>
    <s v="['china', 'china digital world', 'what can we learn from china', 'digital technology china', 'china digital growth', 'digital china strategy', 'china digital future', 'digital rise of china', 'china digitalization', 'china digital marketing', 'china marketing trends 2023', 'network marketing in china', 'chinese consumers', 'how to sell on chinese market', 'how does marketing work in china', 'chinese marketing strategies', 'how to attract chinese consumers', 'china trends 2023', 'china consumer trends']"/>
    <n v="22"/>
    <x v="6"/>
    <n v="123931338"/>
    <n v="1372032"/>
    <n v="2898"/>
    <n v="1.1094288355056733E-2"/>
    <n v="17"/>
    <x v="0"/>
  </r>
  <r>
    <x v="37"/>
    <x v="37"/>
    <s v="These are the coolest amazon finds i have EVER fou..."/>
    <x v="37"/>
    <x v="36"/>
    <n v="2023"/>
    <s v="September"/>
    <x v="21"/>
    <n v="666"/>
    <s v="UCPMIXPIhGp2WJzocPRQiM1w"/>
    <x v="19"/>
    <s v="['tech', 'coolest amazon finds', 'amazon', 'tech gadget', 'gadget', 'amazon tech gadget', 'tech gadgets from amazon', 'cool amazon tech gadgets 2023', 'cool tech gadgets for 2023', 'cool tech gadget', 'cool tech gadgets', 'cool tech', 'amazon finds', 'coolest amazon tech gadget finds of 2023', 'top amazon find of 2023', 'tech gadgets', 'top tech gadgets of 2023', 'new tech gadget', 'coolest tech gadget on amazon', 'amazon 2023 tech gadget', 'amazon tech gadgets', 'insane tech find']"/>
    <n v="28"/>
    <x v="0"/>
    <n v="318704"/>
    <n v="217464.60837887001"/>
    <n v="40"/>
    <n v="0.68246588803049224"/>
    <n v="23"/>
    <x v="0"/>
  </r>
  <r>
    <x v="38"/>
    <x v="38"/>
    <s v="No description available"/>
    <x v="38"/>
    <x v="37"/>
    <n v="2025"/>
    <s v="February"/>
    <x v="15"/>
    <n v="162"/>
    <s v="UCXuqSBlHAE6Xw-yeJA0Tunw"/>
    <x v="2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430897"/>
    <n v="79362"/>
    <n v="1521"/>
    <n v="5.6526081192426851E-2"/>
    <n v="25"/>
    <x v="0"/>
  </r>
  <r>
    <x v="39"/>
    <x v="39"/>
    <s v="My favourite Tech and Gadgets worth buying for you..."/>
    <x v="39"/>
    <x v="38"/>
    <n v="2025"/>
    <s v="May"/>
    <x v="0"/>
    <n v="59"/>
    <s v="UCMiJRAwDNSNzuYeN2uWa0pA"/>
    <x v="0"/>
    <s v="['tech', 'gadgets', 'edc', 'anker', 'charger', 'cable', 'power bank', 'everyday', 'everyday carry']"/>
    <n v="28"/>
    <x v="0"/>
    <n v="2971606"/>
    <n v="93383"/>
    <n v="4203"/>
    <n v="3.2839481411734935E-2"/>
    <n v="1085"/>
    <x v="1"/>
  </r>
  <r>
    <x v="40"/>
    <x v="40"/>
    <s v="ðŸ”¥Top Best Useful Car Gadgets In The World | Ama..."/>
    <x v="40"/>
    <x v="39"/>
    <n v="2024"/>
    <s v="October"/>
    <x v="22"/>
    <n v="282"/>
    <s v="UCdhyGLBRk_oHt3zrlYyn8-w"/>
    <x v="27"/>
    <s v="['GadgetReview', 'Gadgets', 'CoolGadgets', 'SmartGadgets', 'MustHaveGadgets', 'CoolTech', 'GadgetGeek', 'LatestTech', 'cargadgets', 'gadgetsforcar', 'carlover', 'bestcargadgets']"/>
    <n v="28"/>
    <x v="0"/>
    <n v="4354870"/>
    <n v="341505"/>
    <n v="124"/>
    <n v="7.8447577080372088E-2"/>
    <n v="24"/>
    <x v="0"/>
  </r>
  <r>
    <x v="41"/>
    <x v="41"/>
    <s v="Today I have a custom gaming pc that's getting an ..."/>
    <x v="41"/>
    <x v="40"/>
    <n v="2023"/>
    <s v="September"/>
    <x v="21"/>
    <n v="676"/>
    <s v="UCClfFsWcT3N2I7VTXXyt84A"/>
    <x v="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4480434"/>
    <n v="1522004"/>
    <n v="13508"/>
    <n v="4.4532850137559171E-2"/>
    <n v="58"/>
    <x v="0"/>
  </r>
  <r>
    <x v="42"/>
    <x v="42"/>
    <s v="short on iot smart parking _x000a_to buy complete projec..."/>
    <x v="42"/>
    <x v="41"/>
    <n v="2024"/>
    <s v="May"/>
    <x v="11"/>
    <n v="423"/>
    <s v="UC2_t6GbaEitHjxbHwDbvhRg"/>
    <x v="21"/>
    <s v="['iot smart parking', 'wireless power transfer', 'arduino based smart parking', 'smart parking', 'arduino best project', 'innovative project ideas', 'electronics project ideas', 'new idea on ev', 'remote xy app based project', 'final year project', 'major project for ece']"/>
    <n v="28"/>
    <x v="0"/>
    <n v="372571"/>
    <n v="4210"/>
    <n v="20"/>
    <n v="1.1353540667416413E-2"/>
    <n v="15"/>
    <x v="0"/>
  </r>
  <r>
    <x v="43"/>
    <x v="43"/>
    <s v="The CPU and GPU heatsink on this Alienware gaming ..."/>
    <x v="43"/>
    <x v="42"/>
    <n v="2024"/>
    <s v="July"/>
    <x v="3"/>
    <n v="379"/>
    <s v="UCClfFsWcT3N2I7VTXXyt84A"/>
    <x v="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711048"/>
    <n v="291441"/>
    <n v="1093"/>
    <n v="6.20953129749474E-2"/>
    <n v="60"/>
    <x v="0"/>
  </r>
  <r>
    <x v="44"/>
    <x v="44"/>
    <s v="Time to find out if Transparent Tech is a gimmick ..."/>
    <x v="44"/>
    <x v="43"/>
    <n v="2025"/>
    <s v="June"/>
    <x v="1"/>
    <n v="50"/>
    <s v="UCMiJRAwDNSNzuYeN2uWa0pA"/>
    <x v="0"/>
    <s v="['transparent', 'tech', 'gadgets', 'cool tech', 'i bought', 'smartphone', 'iphone', 'speaker', 'apple']"/>
    <n v="28"/>
    <x v="0"/>
    <n v="3435869"/>
    <n v="94344"/>
    <n v="4241"/>
    <n v="2.8692886719487849E-2"/>
    <n v="2165"/>
    <x v="1"/>
  </r>
  <r>
    <x v="45"/>
    <x v="45"/>
    <s v="The worldâ€™s new fastest supercomputer is insanel..."/>
    <x v="45"/>
    <x v="44"/>
    <n v="2024"/>
    <s v="January"/>
    <x v="6"/>
    <n v="553"/>
    <s v="UC415bOPUcGSamy543abLmRA"/>
    <x v="2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5"/>
    <x v="1"/>
    <n v="6861797"/>
    <n v="448750"/>
    <n v="9879"/>
    <n v="6.6838030912310581E-2"/>
    <n v="47"/>
    <x v="0"/>
  </r>
  <r>
    <x v="46"/>
    <x v="46"/>
    <s v="Dive into the future with us at MWC Barcelona! We'..."/>
    <x v="46"/>
    <x v="45"/>
    <n v="2025"/>
    <s v="March"/>
    <x v="23"/>
    <n v="142"/>
    <s v="UCdp6GUwjKscp5ST4M4WgIpw"/>
    <x v="29"/>
    <s v="['TechWiser']"/>
    <n v="28"/>
    <x v="0"/>
    <n v="857246"/>
    <n v="57891"/>
    <n v="199"/>
    <n v="6.7763512457334307E-2"/>
    <n v="121"/>
    <x v="1"/>
  </r>
  <r>
    <x v="47"/>
    <x v="47"/>
    <s v="Do consider subscribing to my Shorts Channel! ðŸ‘Š..."/>
    <x v="47"/>
    <x v="46"/>
    <n v="2022"/>
    <s v="March"/>
    <x v="24"/>
    <n v="1230"/>
    <s v="UCZSlfzadjnw7G419c_OJ9eg"/>
    <x v="20"/>
    <s v="['shorts', 'tech', 'iphone', 'smartphone', 'hacks', 'mrwhosetheboss', 'technology', 'gadgets']"/>
    <n v="28"/>
    <x v="0"/>
    <n v="16984043"/>
    <n v="1327245"/>
    <n v="4086"/>
    <n v="7.8387166118220497E-2"/>
    <n v="59"/>
    <x v="0"/>
  </r>
  <r>
    <x v="48"/>
    <x v="48"/>
    <s v="Iâ€™ve finally completed my Perfect Tech Every Day..."/>
    <x v="48"/>
    <x v="47"/>
    <n v="2024"/>
    <s v="June"/>
    <x v="25"/>
    <n v="409"/>
    <s v="UCMiJRAwDNSNzuYeN2uWa0pA"/>
    <x v="0"/>
    <s v="['EDC', 'Every day carry', 'Backpack', 'Best edc', 'EDC gadgets', 'Gadgets', 'Tech']"/>
    <n v="28"/>
    <x v="0"/>
    <n v="6330785"/>
    <n v="192593"/>
    <n v="6798"/>
    <n v="3.1495462253101313E-2"/>
    <n v="1087"/>
    <x v="1"/>
  </r>
  <r>
    <x v="49"/>
    <x v="49"/>
    <s v="It is a combination of energy and frequency and th..."/>
    <x v="49"/>
    <x v="48"/>
    <n v="2024"/>
    <s v="July"/>
    <x v="3"/>
    <n v="375"/>
    <s v="UCJ0-OtVpF0wOKEqT2Z1HEtA"/>
    <x v="1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641022"/>
    <n v="159716"/>
    <n v="1475"/>
    <n v="6.1033569580260974E-2"/>
    <n v="24"/>
    <x v="0"/>
  </r>
  <r>
    <x v="50"/>
    <x v="50"/>
    <s v="These are Meta's brand new Orion prototype AR glas..."/>
    <x v="50"/>
    <x v="49"/>
    <n v="2024"/>
    <s v="September"/>
    <x v="7"/>
    <n v="301"/>
    <s v="UC415bOPUcGSamy543abLmRA"/>
    <x v="2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5"/>
    <x v="1"/>
    <n v="1353131"/>
    <n v="82339"/>
    <n v="1066"/>
    <n v="6.1638525759885779E-2"/>
    <n v="52"/>
    <x v="0"/>
  </r>
  <r>
    <x v="51"/>
    <x v="51"/>
    <s v="What does the microphone inside of an earbud look ..."/>
    <x v="51"/>
    <x v="50"/>
    <n v="2023"/>
    <s v="December"/>
    <x v="26"/>
    <n v="584"/>
    <s v="UC06HVrkOL33D5lLnCPjr6NQ"/>
    <x v="3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2757384"/>
    <n v="1213501"/>
    <n v="4778"/>
    <n v="5.3533349878878873E-2"/>
    <n v="56"/>
    <x v="0"/>
  </r>
  <r>
    <x v="52"/>
    <x v="52"/>
    <s v="Thanks to SoFi for sponsoring the video! Click her..."/>
    <x v="52"/>
    <x v="51"/>
    <n v="2025"/>
    <s v="February"/>
    <x v="15"/>
    <n v="148"/>
    <s v="UCTSRIY3GLFYIpkR2QwyeklA"/>
    <x v="31"/>
    <s v="['drew gooden', 'comedy', 'commentary', 'reaction', 'vine', 'drew gooden vine', 'road work ahead guy', 'parody', 'rant', 'cringe']"/>
    <n v="23"/>
    <x v="7"/>
    <n v="5349005"/>
    <n v="314515"/>
    <n v="22448"/>
    <n v="6.2995454294770714E-2"/>
    <n v="1562"/>
    <x v="1"/>
  </r>
  <r>
    <x v="53"/>
    <x v="53"/>
    <s v="ðŸ”¥Top Best Useful Gadgets In The World | Amazon ..."/>
    <x v="53"/>
    <x v="52"/>
    <n v="2024"/>
    <s v="September"/>
    <x v="7"/>
    <n v="328"/>
    <s v="UCdhyGLBRk_oHt3zrlYyn8-w"/>
    <x v="27"/>
    <s v="['Gadgets', 'CoolGadgets', 'GadgetReview', 'SmartGadgets', 'MustHaveGadgets', 'CoolTech', 'GadgetGeek', 'LatestTech', 'Amazon gadgets', 'tech']"/>
    <n v="28"/>
    <x v="0"/>
    <n v="13402854"/>
    <n v="790011"/>
    <n v="543"/>
    <n v="5.8984004451589189E-2"/>
    <n v="24"/>
    <x v="0"/>
  </r>
  <r>
    <x v="54"/>
    <x v="54"/>
    <s v="No description available"/>
    <x v="54"/>
    <x v="53"/>
    <n v="2024"/>
    <s v="January"/>
    <x v="6"/>
    <n v="563"/>
    <s v="UCa0mvXpcwOGCBOdUBaIFe7A"/>
    <x v="3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362310"/>
    <n v="12815"/>
    <n v="55"/>
    <n v="3.5522066738428421E-2"/>
    <n v="60"/>
    <x v="0"/>
  </r>
  <r>
    <x v="55"/>
    <x v="55"/>
    <s v="No description available"/>
    <x v="55"/>
    <x v="54"/>
    <n v="2025"/>
    <s v="March"/>
    <x v="23"/>
    <n v="127"/>
    <s v="UC4b7LRyeMlfVm596Ww0Hf6w"/>
    <x v="33"/>
    <s v="['toilet', 'poop', 'toilet technology', 'automatic poop cleaner', 'rico animation', 'funny videos', 'avenu animation', 'funny meme videos']"/>
    <n v="24"/>
    <x v="3"/>
    <n v="7219473"/>
    <n v="129750"/>
    <n v="238"/>
    <n v="1.8005192345757093E-2"/>
    <n v="15"/>
    <x v="0"/>
  </r>
  <r>
    <x v="56"/>
    <x v="56"/>
    <s v="In 2025, China tech is no longer just catching upâ..."/>
    <x v="56"/>
    <x v="55"/>
    <n v="2025"/>
    <s v="May"/>
    <x v="0"/>
    <n v="65"/>
    <s v="UCBb1902HikGjGja4gV3N5WA"/>
    <x v="34"/>
    <s v="['Top10Discoveriesoffical', 'Top10Discoveries', 'china tech', 'china', 'China innovation 2025', 'China AI', 'China robotics', 'China 6G', 'quantum computer China', 'thorium reactor', 'China flying car', 'China chip breakthrough', 'China vs USA technology', 'China future', 'China tech 2025', 'China future technology', 'China innovation breakthrough', 'Made in China 2025', 'China AI chips', 'China robotics revolution', 'China quantum computer', 'Flying cars China', 'China robot factory', 'China smart city', 'china vs usa']"/>
    <n v="28"/>
    <x v="0"/>
    <n v="49857"/>
    <n v="921"/>
    <n v="95"/>
    <n v="2.0378281886194515E-2"/>
    <n v="1364"/>
    <x v="1"/>
  </r>
  <r>
    <x v="57"/>
    <x v="57"/>
    <s v="Hello everyone!  You are watching video ! &quot;a bus t..."/>
    <x v="57"/>
    <x v="56"/>
    <n v="2025"/>
    <s v="April"/>
    <x v="14"/>
    <n v="89"/>
    <s v="UCPApobRbtECCSnVKiAZMhCA"/>
    <x v="35"/>
    <s v="['Bus technology', 'Invention', 'Invention 2025']"/>
    <n v="28"/>
    <x v="0"/>
    <n v="13759130"/>
    <n v="73537"/>
    <n v="751"/>
    <n v="5.399178581785331E-3"/>
    <n v="16"/>
    <x v="0"/>
  </r>
  <r>
    <x v="58"/>
    <x v="58"/>
    <s v="No description available"/>
    <x v="58"/>
    <x v="57"/>
    <n v="2023"/>
    <s v="February"/>
    <x v="27"/>
    <n v="896"/>
    <s v="UC4gEs2SNPr8GBNcdbQGnLjg"/>
    <x v="3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0246587"/>
    <n v="1820122"/>
    <n v="8199"/>
    <n v="3.6386968929849904E-2"/>
    <n v="45"/>
    <x v="0"/>
  </r>
  <r>
    <x v="59"/>
    <x v="11"/>
    <s v="Visor is the world's smallest 4K headset. Spawn fi..."/>
    <x v="59"/>
    <x v="58"/>
    <n v="2024"/>
    <s v="June"/>
    <x v="25"/>
    <n v="400"/>
    <s v="UCGmuLwV0XD_uqL4wKZg4hgA"/>
    <x v="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08897321"/>
    <n v="4130446"/>
    <n v="7065"/>
    <n v="1.9806433994431168E-2"/>
    <n v="15"/>
    <x v="0"/>
  </r>
  <r>
    <x v="60"/>
    <x v="59"/>
    <s v="Follow my girlfriend's lifestyle for more exciting..."/>
    <x v="60"/>
    <x v="59"/>
    <n v="2025"/>
    <s v="January"/>
    <x v="12"/>
    <n v="197"/>
    <s v="UCgI2_FwIz4B8SYGP07NdTkw"/>
    <x v="3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1201500"/>
    <n v="128162"/>
    <n v="1109"/>
    <n v="1.1540507967682899E-2"/>
    <n v="13"/>
    <x v="0"/>
  </r>
  <r>
    <x v="61"/>
    <x v="60"/>
    <s v="Buying and attempting to break the most Durable Te..."/>
    <x v="61"/>
    <x v="60"/>
    <n v="2024"/>
    <s v="March"/>
    <x v="9"/>
    <n v="492"/>
    <s v="UCMiJRAwDNSNzuYeN2uWa0pA"/>
    <x v="0"/>
    <s v="['tech', 'mrwhosetheboss', 'gadgets', 'best tech', 'cheap tech', 'smartphone', 'iphone', 'laptop', 'rugged', 'durable', 'indestructible']"/>
    <n v="28"/>
    <x v="0"/>
    <n v="9739646"/>
    <n v="219620"/>
    <n v="8971"/>
    <n v="2.3470154870105134E-2"/>
    <n v="2054"/>
    <x v="1"/>
  </r>
  <r>
    <x v="62"/>
    <x v="61"/>
    <s v="#trollface #troll #editing #trending #zqotiz #vira..."/>
    <x v="62"/>
    <x v="61"/>
    <n v="2024"/>
    <s v="December"/>
    <x v="4"/>
    <n v="213"/>
    <s v="UC22rU-oXsRzoBqM71k13icA"/>
    <x v="3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56313844"/>
    <n v="1630038"/>
    <n v="10522"/>
    <n v="2.9132445655814226E-2"/>
    <n v="26"/>
    <x v="0"/>
  </r>
  <r>
    <x v="63"/>
    <x v="62"/>
    <s v="Nvidia packs big AI power into a small, affordable..."/>
    <x v="63"/>
    <x v="62"/>
    <n v="2024"/>
    <s v="December"/>
    <x v="4"/>
    <n v="220"/>
    <s v="UC04KsGq3npibMCE9Td3mVDg"/>
    <x v="39"/>
    <s v="['Cheddar']"/>
    <n v="25"/>
    <x v="1"/>
    <n v="15897566"/>
    <n v="421169"/>
    <n v="10675"/>
    <n v="2.7164158337194513E-2"/>
    <n v="38"/>
    <x v="0"/>
  </r>
  <r>
    <x v="64"/>
    <x v="63"/>
    <s v="Zuckerberg on Y Combinator podcast"/>
    <x v="64"/>
    <x v="63"/>
    <n v="2023"/>
    <s v="May"/>
    <x v="20"/>
    <n v="789"/>
    <s v="UCw4t-Dafc-XlnagELJbCbhg"/>
    <x v="40"/>
    <s v="['Meta', 'Mark Zuckerberg', 'startups', 'startup', 'y Combinator', 'YC', 'entrepreneurship', 'entrepreneur', 'business', 'tech', 'technology', 'Elon musk', 'Jeff Bezos']"/>
    <n v="22"/>
    <x v="6"/>
    <n v="475497"/>
    <n v="14704"/>
    <n v="161"/>
    <n v="3.1262026889759556E-2"/>
    <n v="16"/>
    <x v="0"/>
  </r>
  <r>
    <x v="65"/>
    <x v="64"/>
    <s v="This 30 year old IBM ThinkPad shows how important ..."/>
    <x v="65"/>
    <x v="64"/>
    <n v="2023"/>
    <s v="November"/>
    <x v="28"/>
    <n v="626"/>
    <s v="UCClfFsWcT3N2I7VTXXyt84A"/>
    <x v="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8441697"/>
    <n v="467959"/>
    <n v="2286"/>
    <n v="5.5705031820023863E-2"/>
    <n v="61"/>
    <x v="1"/>
  </r>
  <r>
    <x v="66"/>
    <x v="65"/>
    <s v="The Road Zipper SystemÂ® offers an efficient way t..."/>
    <x v="66"/>
    <x v="65"/>
    <n v="2024"/>
    <s v="December"/>
    <x v="4"/>
    <n v="218"/>
    <s v="UCNjsoaLHhxEUUpOIEbo2l_Q"/>
    <x v="41"/>
    <s v="['Tech', 'Technology', 'Engineering', 'Innovations', 'Viral', 'Shorts']"/>
    <n v="22"/>
    <x v="6"/>
    <n v="8123420"/>
    <n v="183237"/>
    <n v="1012"/>
    <n v="2.2681210623111941E-2"/>
    <n v="18"/>
    <x v="0"/>
  </r>
  <r>
    <x v="67"/>
    <x v="66"/>
    <s v="No description available"/>
    <x v="67"/>
    <x v="22"/>
    <n v="2024"/>
    <s v="September"/>
    <x v="7"/>
    <n v="323"/>
    <s v="UC7-PWJBq7yiStftsUqVsSqw"/>
    <x v="4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5994970"/>
    <n v="160162"/>
    <n v="1193"/>
    <n v="2.6915063795148266E-2"/>
    <n v="22"/>
    <x v="0"/>
  </r>
  <r>
    <x v="68"/>
    <x v="67"/>
    <s v="China has been investing heavily in education and ..."/>
    <x v="68"/>
    <x v="66"/>
    <n v="2024"/>
    <s v="February"/>
    <x v="29"/>
    <n v="516"/>
    <s v="UCMUimWE2e4WGCg_msQbpKfA"/>
    <x v="43"/>
    <s v="['china', 'china technology', 'china infrastructure', 'china floating bridge', &quot;china's solar road&quot;, 'technology', 'gian hai aap', 'india', 'china smart technology', 'upside down train', 'sky train in china', 'chinese']"/>
    <n v="24"/>
    <x v="3"/>
    <n v="6232011"/>
    <n v="426584"/>
    <n v="9339"/>
    <n v="6.9949010038653656E-2"/>
    <n v="59"/>
    <x v="0"/>
  </r>
  <r>
    <x v="69"/>
    <x v="68"/>
    <s v="Sneak peek of CES 2025 in Las Vegas!_x000a__x000a_Cheddar is o..."/>
    <x v="69"/>
    <x v="67"/>
    <n v="2025"/>
    <s v="January"/>
    <x v="12"/>
    <n v="201"/>
    <s v="UC04KsGq3npibMCE9Td3mVDg"/>
    <x v="39"/>
    <s v="['Cheddar']"/>
    <n v="25"/>
    <x v="1"/>
    <n v="41746"/>
    <n v="839"/>
    <n v="9"/>
    <n v="2.0313323432185119E-2"/>
    <n v="27"/>
    <x v="0"/>
  </r>
  <r>
    <x v="70"/>
    <x v="53"/>
    <s v="ðŸ”¥Top Best Useful Gadgets In The World | Amazon ..."/>
    <x v="70"/>
    <x v="68"/>
    <n v="2024"/>
    <s v="October"/>
    <x v="22"/>
    <n v="295"/>
    <s v="UCdhyGLBRk_oHt3zrlYyn8-w"/>
    <x v="27"/>
    <s v="['GadgetReview', 'Gadgets', 'CoolGadgets', 'SmartGadgets', 'MustHaveGadgets', 'CoolTech', 'GadgetGeek', 'LatestTech', 'technology', 'Techlove', 'gadgets lovers', 'life saving gadgets']"/>
    <n v="28"/>
    <x v="0"/>
    <n v="4592845"/>
    <n v="389715"/>
    <n v="237"/>
    <n v="8.4904236916333989E-2"/>
    <n v="25"/>
    <x v="0"/>
  </r>
  <r>
    <x v="71"/>
    <x v="69"/>
    <s v="#craftideas #technology #kitchen"/>
    <x v="71"/>
    <x v="69"/>
    <n v="2025"/>
    <s v="March"/>
    <x v="23"/>
    <n v="145"/>
    <s v="UCUtg0hpxD9zQ6-Z2-Kfst7A"/>
    <x v="4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6"/>
    <x v="8"/>
    <n v="3496154"/>
    <n v="31935"/>
    <n v="1213"/>
    <n v="9.4812757103949086E-3"/>
    <n v="20"/>
    <x v="0"/>
  </r>
  <r>
    <x v="72"/>
    <x v="70"/>
    <s v="No description available"/>
    <x v="72"/>
    <x v="70"/>
    <n v="2025"/>
    <s v="January"/>
    <x v="12"/>
    <n v="177"/>
    <s v="UCeogOLhewThX2lh8cPe2IWg"/>
    <x v="4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10412054"/>
    <n v="407264"/>
    <n v="1819"/>
    <n v="3.9289365959876886E-2"/>
    <n v="21"/>
    <x v="0"/>
  </r>
  <r>
    <x v="73"/>
    <x v="71"/>
    <s v="A humanoid robot named Ameca was asked what a nigh..."/>
    <x v="73"/>
    <x v="71"/>
    <n v="2023"/>
    <s v="June"/>
    <x v="13"/>
    <n v="786"/>
    <s v="UC7fWeaHhqgM4Ry-RMpM2YYw"/>
    <x v="46"/>
    <s v="['TRT world', 'trtworld', 'World News', 'breaking news', 'breaking', 'turkish news', 'tÃ¼rkiye news', 'trt']"/>
    <n v="25"/>
    <x v="1"/>
    <n v="2712975"/>
    <n v="132273"/>
    <n v="6316"/>
    <n v="5.1083773348445896E-2"/>
    <n v="53"/>
    <x v="0"/>
  </r>
  <r>
    <x v="74"/>
    <x v="72"/>
    <s v="viral ATM bike  security feature shorts #funny #bi..."/>
    <x v="74"/>
    <x v="72"/>
    <n v="2025"/>
    <s v="May"/>
    <x v="0"/>
    <n v="67"/>
    <s v="UCakSAR_crAk4P5DT6FsovwQ"/>
    <x v="47"/>
    <s v="['ATM bike', 'bike security feature', 'bike security technology', 'shorts', 'bike shorts', 'bike hack', 'ATM bike shorts', 'motorcycle shorts', 'motorcycle technology', 'Indian bike', 'Indian bike security', 'bike security system', 'viral bike', 'YouTube shorts', 'new hack']"/>
    <n v="22"/>
    <x v="6"/>
    <n v="2106553"/>
    <n v="217464.60837887001"/>
    <n v="22"/>
    <n v="0.103242884645613"/>
    <n v="15"/>
    <x v="0"/>
  </r>
  <r>
    <x v="75"/>
    <x v="73"/>
    <s v="Technology Technologia ...#carguys #technology #ar..."/>
    <x v="75"/>
    <x v="73"/>
    <n v="2025"/>
    <s v="March"/>
    <x v="23"/>
    <n v="118"/>
    <s v="UCNT0h9yycyCbaRqGUH_2D6g"/>
    <x v="4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9"/>
    <x v="9"/>
    <n v="1468238"/>
    <n v="25812"/>
    <n v="307"/>
    <n v="1.7789350227960316E-2"/>
    <n v="13"/>
    <x v="0"/>
  </r>
  <r>
    <x v="76"/>
    <x v="74"/>
    <s v="My Previous Science Experiment #shorts #science #t..."/>
    <x v="76"/>
    <x v="74"/>
    <n v="2023"/>
    <s v="May"/>
    <x v="20"/>
    <n v="806"/>
    <s v="UChvzFAyWyofbidb7Mh3WMZw"/>
    <x v="49"/>
    <s v="['shorts', 'science', 'technology', 'trending']"/>
    <n v="28"/>
    <x v="0"/>
    <n v="13524982"/>
    <n v="525169"/>
    <n v="1146"/>
    <n v="3.8914284691839149E-2"/>
    <n v="12"/>
    <x v="0"/>
  </r>
  <r>
    <x v="77"/>
    <x v="75"/>
    <s v="In this captivating video, we dive into the fascin..."/>
    <x v="77"/>
    <x v="75"/>
    <n v="2024"/>
    <s v="October"/>
    <x v="22"/>
    <n v="281"/>
    <s v="UCpfrSv31fP9ePmBHnf5k3rg"/>
    <x v="50"/>
    <s v="['Computer science', 'First computer', 'History of computing', 'Computer evolution', 'Charles Babbage', 'Mechanical computers', 'Computing history', 'Tech history', 'Digital revolution', 'Technology timeline', 'Electronic computers', 'history worlds', 'Computer mechanics', 'Computing discoveries', '19th-century technology', 'Historical tech analysis', 'Historical inventions in computing', 'shorts', 'shorts worls', 'History of artificial intelligence', 'Historical figures in tech']"/>
    <n v="27"/>
    <x v="2"/>
    <n v="194707"/>
    <n v="2629"/>
    <n v="28"/>
    <n v="1.364614523360742E-2"/>
    <n v="11"/>
    <x v="0"/>
  </r>
  <r>
    <x v="78"/>
    <x v="76"/>
    <s v="China, USA, and EU â€“ A Technological Comparison ..."/>
    <x v="78"/>
    <x v="76"/>
    <n v="2025"/>
    <s v="March"/>
    <x v="23"/>
    <n v="135"/>
    <s v="UCBuDHP5fBgZ-RPOmKyTV_EA"/>
    <x v="51"/>
    <s v="['china vs usa vs eu', 'technological advancements', 'china aviation', 'usa robotics', 'europe regulations', 'AI innovation', 'future of technology', 'global tech race', 'china military development', 'emerging superpowers']"/>
    <n v="28"/>
    <x v="0"/>
    <n v="13314168"/>
    <n v="217464.60837887001"/>
    <n v="4250"/>
    <n v="1.6652531977880254E-2"/>
    <n v="6"/>
    <x v="0"/>
  </r>
  <r>
    <x v="79"/>
    <x v="77"/>
    <s v="New Science Project #shorts #science #technology #..."/>
    <x v="79"/>
    <x v="77"/>
    <n v="2023"/>
    <s v="April"/>
    <x v="16"/>
    <n v="820"/>
    <s v="UChvzFAyWyofbidb7Mh3WMZw"/>
    <x v="49"/>
    <s v="['shorts', 'science', 'technology', 'trending']"/>
    <n v="28"/>
    <x v="0"/>
    <n v="161748042"/>
    <n v="4421091"/>
    <n v="8794"/>
    <n v="2.738756491407791E-2"/>
    <n v="15"/>
    <x v="0"/>
  </r>
  <r>
    <x v="80"/>
    <x v="78"/>
    <s v="Link to Main Channel: https://www.youtube.com/dhru..."/>
    <x v="80"/>
    <x v="78"/>
    <n v="2023"/>
    <s v="April"/>
    <x v="16"/>
    <n v="843"/>
    <s v="UCw4IHIMsDO5wpIiprOSXiEA"/>
    <x v="52"/>
    <s v="['Dhruv Rathee', 'Dhruvrathee', 'Dhruv Rathee Shorts', 'Education', 'Informative']"/>
    <n v="22"/>
    <x v="6"/>
    <n v="37548519"/>
    <n v="1926556"/>
    <n v="10002"/>
    <n v="5.1574817105303143E-2"/>
    <n v="42"/>
    <x v="0"/>
  </r>
  <r>
    <x v="81"/>
    <x v="79"/>
    <s v="Germanyâ€™s first â€˜Electric Highwayâ€™ charges t..."/>
    <x v="81"/>
    <x v="79"/>
    <n v="2024"/>
    <s v="July"/>
    <x v="3"/>
    <n v="390"/>
    <s v="UCNjsoaLHhxEUUpOIEbo2l_Q"/>
    <x v="4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2065014"/>
    <n v="830841"/>
    <n v="9376"/>
    <n v="3.8079151003484524E-2"/>
    <n v="18"/>
    <x v="0"/>
  </r>
  <r>
    <x v="82"/>
    <x v="80"/>
    <s v="Disclaimer: This video uses edited clips from a so..."/>
    <x v="82"/>
    <x v="80"/>
    <n v="2025"/>
    <s v="April"/>
    <x v="14"/>
    <n v="93"/>
    <s v="UC5ael8EvEzSNjcYe-3PL9xw"/>
    <x v="53"/>
    <s v="['Troll Face remix', 'Troll Face reaction', 'Troll Face animation', 'Troll Face sound effect', 'Troll Face green screen', 'Troll Face compilation', 'Troll Face transition', 'Troll Face funny moments', 'Troll Face viral video', 'Troll Face edit', 'CapCut Troll Face', 'Troll Face trend', 'Troll Face meme', 'Troll Face template', 'Funny Troll Face videos', 'Troll Face montage', 'Troll Face CapCut template', 'Troll Face TikTok trend', 'Troll Face video editing', 'MrBeast', 'T-Series', 'Cocomelon', 'memes']"/>
    <n v="22"/>
    <x v="6"/>
    <n v="1936475"/>
    <n v="27459"/>
    <n v="106"/>
    <n v="1.4234627351243884E-2"/>
    <n v="46"/>
    <x v="0"/>
  </r>
  <r>
    <x v="83"/>
    <x v="81"/>
    <s v="No description available"/>
    <x v="83"/>
    <x v="81"/>
    <n v="2024"/>
    <s v="October"/>
    <x v="22"/>
    <n v="272"/>
    <s v="UCk0CM7Ykn42Axc7-4qgs5Fg"/>
    <x v="54"/>
    <s v="['#shorts', '#facts', '#tamilfacts', '#tamilshorts', '#officialfacts']"/>
    <n v="27"/>
    <x v="2"/>
    <n v="184577"/>
    <n v="14952"/>
    <n v="893"/>
    <n v="8.5844931925429496E-2"/>
    <n v="32"/>
    <x v="0"/>
  </r>
  <r>
    <x v="84"/>
    <x v="82"/>
    <s v="Top 3 best amazing cool gadgets ðŸ”¥ðŸ¤¯|| #shorts..."/>
    <x v="84"/>
    <x v="82"/>
    <n v="2024"/>
    <s v="October"/>
    <x v="22"/>
    <n v="288"/>
    <s v="UCcCjXTiKc-0wFKHI035VVzQ"/>
    <x v="15"/>
    <s v="['shorts', 'gadgets', 'Unboxing', 'new gadgets', 'amazing gadgets', 'cool unique gadgets', 'Top 3 gadgets', 'unboxing gadgets', 'unique cool gadgets', 'facts']"/>
    <n v="27"/>
    <x v="2"/>
    <n v="3402520"/>
    <n v="217464.60837887001"/>
    <n v="35487"/>
    <n v="7.434243101550321E-2"/>
    <n v="31"/>
    <x v="0"/>
  </r>
  <r>
    <x v="85"/>
    <x v="83"/>
    <s v="Currently, the company creates humanoid robots for..."/>
    <x v="85"/>
    <x v="83"/>
    <n v="2024"/>
    <s v="June"/>
    <x v="25"/>
    <n v="403"/>
    <s v="UCRlWXcripH3oV_v6uSb9ASw"/>
    <x v="5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28906"/>
    <n v="4884"/>
    <n v="458"/>
    <n v="2.3337090334023574E-2"/>
    <n v="23"/>
    <x v="0"/>
  </r>
  <r>
    <x v="86"/>
    <x v="84"/>
    <s v="Viral Trend Technology @TechSource _x000a__x000a__x000a_technologia,..."/>
    <x v="86"/>
    <x v="73"/>
    <n v="2025"/>
    <s v="March"/>
    <x v="23"/>
    <n v="118"/>
    <s v="UCRdNPwyyBaT_kTvYFkd6j_g"/>
    <x v="56"/>
    <s v="['technologia', 'teknolojiya', 'teknologia', 'teknolocia', 'technology', 'laptop setup india', 'laptop setup wars india', 'laptop setup room']"/>
    <n v="28"/>
    <x v="0"/>
    <n v="1884696"/>
    <n v="20970"/>
    <n v="106"/>
    <n v="1.118270532754354E-2"/>
    <n v="14"/>
    <x v="0"/>
  </r>
  <r>
    <x v="87"/>
    <x v="85"/>
    <s v="Which future technology is your favorite?_x000a_ _x000a__x000a__x000a_____x000a_..."/>
    <x v="87"/>
    <x v="84"/>
    <n v="2025"/>
    <s v="February"/>
    <x v="15"/>
    <n v="168"/>
    <s v="UCGBO6EahCqQSyXIws1MQdDg"/>
    <x v="57"/>
    <s v="['ai', 'future business tech', 'future technology', 'future tech', 'future business technologies', 'future technologies']"/>
    <n v="28"/>
    <x v="0"/>
    <n v="99420"/>
    <n v="1711"/>
    <n v="103"/>
    <n v="1.8245825789579562E-2"/>
    <n v="3264"/>
    <x v="1"/>
  </r>
  <r>
    <x v="88"/>
    <x v="86"/>
    <s v="ATM coin bike technology shorts #funny #technology..."/>
    <x v="88"/>
    <x v="85"/>
    <n v="2025"/>
    <s v="May"/>
    <x v="0"/>
    <n v="62"/>
    <s v="UCakSAR_crAk4P5DT6FsovwQ"/>
    <x v="47"/>
    <s v="['coin ATM', 'coin ATM bike', 'coin technology', 'ATM bike', 'new hack', 'new bike coin ATM', 'bike hacker', 'viral bike', 'YouTube shorts', 'viral technology', 'viral bike coin', 'coin technology bike', 'new feature bike', 'bike coin feature']"/>
    <n v="22"/>
    <x v="6"/>
    <n v="2210812"/>
    <n v="18552"/>
    <n v="60"/>
    <n v="8.418626278489532E-3"/>
    <n v="19"/>
    <x v="0"/>
  </r>
  <r>
    <x v="89"/>
    <x v="87"/>
    <s v="Spending far too much money on Kickstarter Tech Ga..."/>
    <x v="89"/>
    <x v="86"/>
    <n v="2025"/>
    <s v="May"/>
    <x v="0"/>
    <n v="72"/>
    <s v="UCMiJRAwDNSNzuYeN2uWa0pA"/>
    <x v="0"/>
    <s v="['kickstarter', 'tech', 'gadgets', 'internet', 'best tech', 'cool tech']"/>
    <n v="28"/>
    <x v="0"/>
    <n v="5274622"/>
    <n v="131194"/>
    <n v="4661"/>
    <n v="2.5756348037830959E-2"/>
    <n v="2185"/>
    <x v="1"/>
  </r>
  <r>
    <x v="90"/>
    <x v="88"/>
    <s v="Technology âŒ Technologia âœ… #shorts #shortvideo..."/>
    <x v="90"/>
    <x v="87"/>
    <n v="2025"/>
    <s v="April"/>
    <x v="14"/>
    <n v="114"/>
    <s v="UCsBL0eE13BdFrVuc0-QmTzw"/>
    <x v="58"/>
    <s v="['shorts', 'shortsvideo', 'shortsviral', 'shortsindia', 'ytshorts', 'youtubeshorts', 'youtube India', 'technology', 'fyp', 'funny', 'comedy', 'memes', 'viral', 'uttar pradesh']"/>
    <n v="23"/>
    <x v="7"/>
    <n v="1709718"/>
    <n v="20528"/>
    <n v="214"/>
    <n v="1.2131825248374294E-2"/>
    <n v="44"/>
    <x v="0"/>
  </r>
  <r>
    <x v="91"/>
    <x v="89"/>
    <s v="No description available"/>
    <x v="91"/>
    <x v="88"/>
    <n v="2024"/>
    <s v="October"/>
    <x v="22"/>
    <n v="298"/>
    <s v="UChEH_eKDZrOJjhcdzYjI4jA"/>
    <x v="5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2426075"/>
    <n v="595278"/>
    <n v="6160"/>
    <n v="4.8401285200676804E-2"/>
    <n v="31"/>
    <x v="0"/>
  </r>
  <r>
    <x v="92"/>
    <x v="90"/>
    <s v="Aslam-o-Alikum everyone_x000a_Welcome to my channel &quot;eas..."/>
    <x v="92"/>
    <x v="89"/>
    <n v="2025"/>
    <s v="February"/>
    <x v="15"/>
    <n v="164"/>
    <s v="UCAbIzdnrncJi_aEchwltNYA"/>
    <x v="60"/>
    <s v="['essay on technology', 'Easy essay on technology', 'best essay on technology', '10 lines on technology', 'essay on technology for class 1 to 5', 'speech on technology', 'paragraph on technology', 'about technology', '100 words on technology', 'few word on technology', 'short essay on technology', 'english essay on technology', 'essay on technology in english', 'essay writing', 'easy to learn and write', 'english grammar', 'technology', 'technology essay in english', 'science', 'tech', 'internet', 'computer']"/>
    <n v="27"/>
    <x v="2"/>
    <n v="69677"/>
    <n v="350"/>
    <n v="9"/>
    <n v="5.1523458243035725E-3"/>
    <n v="6"/>
    <x v="0"/>
  </r>
  <r>
    <x v="93"/>
    <x v="91"/>
    <s v="No description available"/>
    <x v="93"/>
    <x v="90"/>
    <n v="2024"/>
    <s v="August"/>
    <x v="8"/>
    <n v="335"/>
    <s v="UC7rsYYvQbqQrJDGhqWmtAgQ"/>
    <x v="6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7733646"/>
    <n v="430329"/>
    <n v="4734"/>
    <n v="5.6255872068620677E-2"/>
    <n v="54"/>
    <x v="0"/>
  </r>
  <r>
    <x v="94"/>
    <x v="92"/>
    <s v="must-have mechanism for every machine designer #me..."/>
    <x v="94"/>
    <x v="91"/>
    <n v="2024"/>
    <s v="February"/>
    <x v="29"/>
    <n v="541"/>
    <s v="UC13L28DWv7ap1HL6ZG828Bg"/>
    <x v="62"/>
    <s v="['solidworks', 'cad', 'mechanism', 'mechanisms', 'industrial design', 'industrial mechanism', 'designer', 'catia', 'freelancer', '3d design', '3d modeling', 'machine design', 'machinery', 'industrial machinery', 'industrial machine', 'business', 'business ideas', 'catia v5 tutorial', 'solidworks drawing', 'solidworks electrical', 'solidworks tutorials', 'mechanical engineering', 'the mechanisms', 'mechanical principles', 'solidworks tutorial', 'how to use solidworks', 'automation', 'mechanics', 'automation solutions', 'automation solidworks', 'tech']"/>
    <n v="28"/>
    <x v="0"/>
    <n v="79665463"/>
    <n v="426407"/>
    <n v="981"/>
    <n v="5.3647839842467246E-3"/>
    <n v="10"/>
    <x v="0"/>
  </r>
  <r>
    <x v="95"/>
    <x v="93"/>
    <s v="No description available"/>
    <x v="95"/>
    <x v="15"/>
    <n v="2024"/>
    <s v="May"/>
    <x v="11"/>
    <n v="440"/>
    <s v="UCx1yYZtkdt9VQhZlR7I6--w"/>
    <x v="6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3576683"/>
    <n v="351168"/>
    <n v="3067"/>
    <n v="2.6091424540147252E-2"/>
    <n v="60"/>
    <x v="0"/>
  </r>
  <r>
    <x v="96"/>
    <x v="94"/>
    <s v="Stay connected: _x000d__x000a_Facebook | https://www.facebook...."/>
    <x v="96"/>
    <x v="92"/>
    <n v="2024"/>
    <s v="October"/>
    <x v="22"/>
    <n v="296"/>
    <s v="UCUvIsQMxWWJ_1ajxu5plOFw"/>
    <x v="6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884583"/>
    <n v="60952"/>
    <n v="218"/>
    <n v="3.24581087699507E-2"/>
    <n v="19"/>
    <x v="0"/>
  </r>
  <r>
    <x v="97"/>
    <x v="95"/>
    <s v="I bought the rarest tech in the world from all you..."/>
    <x v="97"/>
    <x v="93"/>
    <n v="2024"/>
    <s v="July"/>
    <x v="3"/>
    <n v="387"/>
    <s v="UCMiJRAwDNSNzuYeN2uWa0pA"/>
    <x v="0"/>
    <s v="['rarest', 'phones', 'tech', 'smartphone', 'keyboard', 'mouse', 'pc', 'evangelion', 'harry potter', 'transformers', 'rare', 'expensive']"/>
    <n v="28"/>
    <x v="0"/>
    <n v="10072210"/>
    <n v="204457"/>
    <n v="7660"/>
    <n v="2.1059628423156389E-2"/>
    <n v="2394"/>
    <x v="1"/>
  </r>
  <r>
    <x v="98"/>
    <x v="96"/>
    <s v="Stunning Futuristic Tech #tech #technology #meibot..."/>
    <x v="98"/>
    <x v="94"/>
    <n v="2025"/>
    <s v="June"/>
    <x v="1"/>
    <n v="36"/>
    <s v="UCPdVC7w-AmZ6BGCoIoU1v3g"/>
    <x v="6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236"/>
    <n v="217464.60837887001"/>
    <n v="1"/>
    <n v="51.33749017442635"/>
    <n v="10"/>
    <x v="0"/>
  </r>
  <r>
    <x v="99"/>
    <x v="97"/>
    <s v="Clearly a lot of people forgot about those pesky c..."/>
    <x v="99"/>
    <x v="95"/>
    <n v="2025"/>
    <s v="May"/>
    <x v="0"/>
    <n v="60"/>
    <s v="UCy0tKL1T7wFoYcxCe0xjN6Q"/>
    <x v="1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247810"/>
    <n v="58563"/>
    <n v="6742"/>
    <n v="5.2335692132616345E-2"/>
    <n v="2027"/>
    <x v="1"/>
  </r>
  <r>
    <x v="100"/>
    <x v="98"/>
    <s v="No description available"/>
    <x v="100"/>
    <x v="53"/>
    <n v="2024"/>
    <s v="January"/>
    <x v="6"/>
    <n v="563"/>
    <s v="UCXuqSBlHAE6Xw-yeJA0Tunw"/>
    <x v="2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129243"/>
    <n v="611573"/>
    <n v="3670"/>
    <n v="4.6860508256264283E-2"/>
    <n v="58"/>
    <x v="0"/>
  </r>
  <r>
    <x v="101"/>
    <x v="99"/>
    <s v="Unique Technology of Japan ðŸ˜± #shorts #science #..."/>
    <x v="101"/>
    <x v="96"/>
    <n v="2024"/>
    <s v="May"/>
    <x v="11"/>
    <n v="439"/>
    <s v="UC7-PWJBq7yiStftsUqVsSqw"/>
    <x v="42"/>
    <s v="['shorts', 'amazing facts', 'science facts', 'shorts hindi', 'latest viral shorts']"/>
    <n v="27"/>
    <x v="2"/>
    <n v="4825219"/>
    <n v="63899"/>
    <n v="84"/>
    <n v="1.3260123530144436E-2"/>
    <n v="19"/>
    <x v="0"/>
  </r>
  <r>
    <x v="102"/>
    <x v="100"/>
    <s v="http://www.youtube.com/user/umcmymusic - Subskrybu..."/>
    <x v="102"/>
    <x v="97"/>
    <n v="2009"/>
    <s v="March"/>
    <x v="30"/>
    <n v="5962"/>
    <s v="UCHeo8472OnB2poQyPvcBx9g"/>
    <x v="66"/>
    <s v="['usher', 'baths', 'right', 'Ayo', 'nelly', 'cent', 'Katerine', 'around', 'remix', 'goes around', 'ciara', 'video clip', 'goes', 'featuring', 'music', 'madonna', 'value', 'timberlake', 'Dancing', 'Clip', 'All', 'comes', 'say', 'magic', 'nelly furtado', 'justin', 'shock', 'feat', 'mobile', 'minutes', 'Best', 'beds baths', 'beds', 'say right', 'furtado', 'Technology', 'Artist', 'charts', 'future', 'timberland', 'timbaland']"/>
    <n v="10"/>
    <x v="5"/>
    <n v="20393151"/>
    <n v="77842"/>
    <n v="4682"/>
    <n v="4.0466527217888001E-3"/>
    <n v="219"/>
    <x v="1"/>
  </r>
  <r>
    <x v="103"/>
    <x v="101"/>
    <s v="#short #shortvideo #shortsvideo #shortsfeed #short..."/>
    <x v="103"/>
    <x v="98"/>
    <n v="2022"/>
    <s v="May"/>
    <x v="31"/>
    <n v="1170"/>
    <s v="UCpBAFkFmMPVhyxRahMMkqjQ"/>
    <x v="6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49418"/>
    <n v="4785"/>
    <n v="36"/>
    <n v="7.4235700273167669E-3"/>
    <n v="16"/>
    <x v="0"/>
  </r>
  <r>
    <x v="104"/>
    <x v="102"/>
    <s v="China Advance Technology ðŸ˜±_x000a__x000a__x000a_Copyright Disclaim..."/>
    <x v="104"/>
    <x v="99"/>
    <n v="2024"/>
    <s v="November"/>
    <x v="32"/>
    <n v="238"/>
    <s v="UCNkUROwawopm-3gWXm_4Kpg"/>
    <x v="6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001394"/>
    <n v="82329"/>
    <n v="2077"/>
    <n v="2.8122265853799934E-2"/>
    <n v="34"/>
    <x v="0"/>
  </r>
  <r>
    <x v="105"/>
    <x v="103"/>
    <s v="ATM bike viral technology #viralshorts #bikelover ..."/>
    <x v="105"/>
    <x v="100"/>
    <n v="2025"/>
    <s v="April"/>
    <x v="14"/>
    <n v="94"/>
    <s v="UCakSAR_crAk4P5DT6FsovwQ"/>
    <x v="47"/>
    <s v="['new bike', 'bike technology', 'ATM bike', 'viral bike', 'new ATM', 'new indian bike', 'bike coins shorts', 'ATM tricks', 'new ATM video', 'viral technology', 'new hack', 'Tesla bike', 'Tesla new technology', 'YouTube shorts', 'bike experiment']"/>
    <n v="22"/>
    <x v="6"/>
    <n v="36946939"/>
    <n v="396141"/>
    <n v="525"/>
    <n v="1.0736099139363074E-2"/>
    <n v="20"/>
    <x v="0"/>
  </r>
  <r>
    <x v="106"/>
    <x v="88"/>
    <s v="Technology_x000a_Technology video _x000a_Technologia _x000a_Short vi..."/>
    <x v="106"/>
    <x v="101"/>
    <n v="2025"/>
    <s v="March"/>
    <x v="23"/>
    <n v="119"/>
    <s v="UCQXG7nBmEbQ6WMc6CIrVtJg"/>
    <x v="69"/>
    <s v="['Technology', 'Technology funny video', 'Technologia viral', 'Technology viral video', 'Short video', 'Comedy video', 'Trending video', 'YouTube trending video', 'Instagram trending', 'Reels', 'Funny video', 'Funny', 'Facebook funny video', 'Sikandar movie trailer', 'Sikandar movie song', 'Eid Mubarak', 'Akka', 'Eid Mubara', 'Eid Mubarak song', 'Mubarak eid mubarak', 'Mitha']"/>
    <n v="23"/>
    <x v="7"/>
    <n v="1507871"/>
    <n v="16690"/>
    <n v="44"/>
    <n v="1.1097766320859013E-2"/>
    <n v="19"/>
    <x v="0"/>
  </r>
  <r>
    <x v="107"/>
    <x v="104"/>
    <s v="No description available"/>
    <x v="107"/>
    <x v="102"/>
    <n v="2025"/>
    <s v="January"/>
    <x v="12"/>
    <n v="182"/>
    <s v="UCQGINbsakaZx6I5x3PwmWfA"/>
    <x v="7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9"/>
    <x v="4"/>
    <n v="8380253"/>
    <n v="443946"/>
    <n v="1875"/>
    <n v="5.3198990531670105E-2"/>
    <n v="24"/>
    <x v="0"/>
  </r>
  <r>
    <x v="108"/>
    <x v="105"/>
    <s v="#gadget #techmaster_x000a__x000a__x000a__x000a_SUBSCRIBE THE CHANNEL FOR M..."/>
    <x v="108"/>
    <x v="103"/>
    <n v="2023"/>
    <s v="November"/>
    <x v="28"/>
    <n v="621"/>
    <s v="UCq30pSBD9tX6d5_xT5aNPoA"/>
    <x v="71"/>
    <s v="['best smartphone under 40k', 'best smartphone under 40k in bangladesh', 'best smartphone under 40k in bd', 'best phone under 40000', 'best smartphone under 40000', 'tech', 'tech master', 'tech master shorts', 'best phone under 40000 in 2023', 'best phone under 40000 in india 2023', 'best phone under 40000 in india', 'Best smartphone under 40000', 'Best phone under 40000', 'Oneplus 11r', 'nothing phone 2', 'Iqoo neo 7 pro', 'Pixel 7a', 'Oneplus nord 3', 'Oneplus', 'Samsung', 'oneplus 11r', 'samsung s21 fe', 'vivo v27 pro']"/>
    <n v="28"/>
    <x v="0"/>
    <n v="3845024"/>
    <n v="271383"/>
    <n v="352"/>
    <n v="7.0671860565759803E-2"/>
    <n v="54"/>
    <x v="0"/>
  </r>
  <r>
    <x v="109"/>
    <x v="106"/>
    <s v="Huawei Matebook Fold Ultimate Edition, Foldable La..."/>
    <x v="109"/>
    <x v="104"/>
    <n v="2025"/>
    <s v="May"/>
    <x v="0"/>
    <n v="68"/>
    <s v="UCHGMvINAw7UFfk65SpAPw2Q"/>
    <x v="7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85916"/>
    <n v="9116"/>
    <n v="346"/>
    <n v="1.2039454598201334E-2"/>
    <n v="14"/>
    <x v="0"/>
  </r>
  <r>
    <x v="110"/>
    <x v="11"/>
    <s v="Visor is the world's smallest 4K headset. Spawn fi..."/>
    <x v="110"/>
    <x v="105"/>
    <n v="2024"/>
    <s v="August"/>
    <x v="8"/>
    <n v="334"/>
    <s v="UCGmuLwV0XD_uqL4wKZg4hgA"/>
    <x v="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5841034"/>
    <n v="434811"/>
    <n v="489"/>
    <n v="1.6845301159388593E-2"/>
    <n v="15"/>
    <x v="0"/>
  </r>
  <r>
    <x v="111"/>
    <x v="107"/>
    <s v="Amazing Gadgets Of China ðŸ¤¯_x000a_Amazing China Invent..."/>
    <x v="111"/>
    <x v="106"/>
    <n v="2024"/>
    <s v="July"/>
    <x v="3"/>
    <n v="369"/>
    <s v="UCVqI2QpteQwPCpIp0KKi0Tw"/>
    <x v="73"/>
    <s v="['Amazing Gadgets Of China ðŸ¤¯', 'Amazing China Invention', 'China Amazing Invention', 'Top - 3 Chinese Gadgets', 'Amazing China Gadgets', 'Awesome Chinese Gadgets', 'Top - 3 Amazing Gadgets', 'Amazing Crazy Gadgets', 'Top 3 Cool Chinese Gadgets', 'Top 3 Crazy Gadgets', 'Gadgets', 'Tech Gadgets', 'viral', 'Comedy', 'Funny']"/>
    <n v="23"/>
    <x v="7"/>
    <n v="3520073"/>
    <n v="217464.60837887001"/>
    <n v="114"/>
    <n v="6.181082278091108E-2"/>
    <n v="23"/>
    <x v="0"/>
  </r>
  <r>
    <x v="112"/>
    <x v="108"/>
    <s v="About video :- #science #roads road technology #te..."/>
    <x v="112"/>
    <x v="107"/>
    <n v="2024"/>
    <s v="June"/>
    <x v="25"/>
    <n v="420"/>
    <s v="UCLverqV6G5MER0YXM4LienQ"/>
    <x v="74"/>
    <s v="['#vigyanRecharge', '#shorts', '#engineering', 'Shorts', '#science', '#vigyan', '#physics', '#fun']"/>
    <n v="24"/>
    <x v="3"/>
    <n v="19147160"/>
    <n v="660682"/>
    <n v="642"/>
    <n v="3.4539012574188545E-2"/>
    <n v="19"/>
    <x v="0"/>
  </r>
  <r>
    <x v="113"/>
    <x v="109"/>
    <s v="No description available"/>
    <x v="113"/>
    <x v="101"/>
    <n v="2025"/>
    <s v="March"/>
    <x v="23"/>
    <n v="119"/>
    <s v="UC9MNtiq6SDJKL6Ssip0pi4Q"/>
    <x v="7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867549"/>
    <n v="13624"/>
    <n v="55"/>
    <n v="7.3245735453259858E-3"/>
    <n v="11"/>
    <x v="0"/>
  </r>
  <r>
    <x v="114"/>
    <x v="110"/>
    <s v="No description available"/>
    <x v="114"/>
    <x v="108"/>
    <n v="2025"/>
    <s v="June"/>
    <x v="1"/>
    <n v="52"/>
    <s v="UCUAgJ9XvHfsGTMwoWckXtUQ"/>
    <x v="7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905679"/>
    <n v="3469"/>
    <n v="5"/>
    <n v="1.8229722844193591E-3"/>
    <n v="6"/>
    <x v="0"/>
  </r>
  <r>
    <x v="115"/>
    <x v="111"/>
    <s v="Elon Musk installed Neuralink chip in the first ma..."/>
    <x v="115"/>
    <x v="109"/>
    <n v="2024"/>
    <s v="July"/>
    <x v="3"/>
    <n v="389"/>
    <s v="UC9Iqczs-U5nhOFsQ_n1bZmQ"/>
    <x v="77"/>
    <s v="['shorts', 'Elon musk', 'neuralink', 'how neuralink chip work', 'first person', 'Facts', 'viral video', 'akash Parihar', 'a2motivation']"/>
    <n v="24"/>
    <x v="3"/>
    <n v="246762"/>
    <n v="6322"/>
    <n v="71"/>
    <n v="2.5907554647798283E-2"/>
    <n v="44"/>
    <x v="0"/>
  </r>
  <r>
    <x v="116"/>
    <x v="112"/>
    <s v="Troll Face Edits,_x000a_Troll Face,_x000a__x000a_Related:-_x000a_Moment Be..."/>
    <x v="116"/>
    <x v="0"/>
    <n v="2025"/>
    <s v="May"/>
    <x v="0"/>
    <n v="85"/>
    <s v="UCGqfCP9PVuKu8RJsoJT-F6A"/>
    <x v="78"/>
    <s v="['trollface', 'trollface edit', 'trolledit', 'skulledit', 'edit', 'technology', 'technologya', 'coldest moment', 'unique technology']"/>
    <n v="24"/>
    <x v="3"/>
    <n v="3759266"/>
    <n v="45572"/>
    <n v="105"/>
    <n v="1.2150510232582637E-2"/>
    <n v="44"/>
    <x v="0"/>
  </r>
  <r>
    <x v="117"/>
    <x v="113"/>
    <s v="No description available"/>
    <x v="117"/>
    <x v="110"/>
    <n v="2024"/>
    <s v="November"/>
    <x v="32"/>
    <n v="260"/>
    <s v="UCpkqz2tiWoJ_GDtloiQyGRA"/>
    <x v="7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1760428"/>
    <n v="396698"/>
    <n v="1904"/>
    <n v="1.2550271677699053E-2"/>
    <n v="11"/>
    <x v="0"/>
  </r>
  <r>
    <x v="118"/>
    <x v="114"/>
    <s v="No description available"/>
    <x v="118"/>
    <x v="111"/>
    <n v="2025"/>
    <s v="January"/>
    <x v="12"/>
    <n v="195"/>
    <s v="UCddbE0TKdiOMfkawq45kWJw"/>
    <x v="8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4733689"/>
    <n v="59412"/>
    <n v="1904"/>
    <n v="1.2953111199320445E-2"/>
    <n v="22"/>
    <x v="0"/>
  </r>
  <r>
    <x v="119"/>
    <x v="115"/>
    <s v="#shorts #smartphone #tech #mythbusters"/>
    <x v="119"/>
    <x v="112"/>
    <n v="2024"/>
    <s v="October"/>
    <x v="22"/>
    <n v="289"/>
    <s v="UCoL68NLLSUQqEDwMZPvrdEg"/>
    <x v="81"/>
    <s v="['tech', 'best tech', 'tech news', 'cool tech', 'tech gifts', 'cheap tech', 'big tech', 'dog tech', 'new tech', 'top tech', '2024 tech', 'prim tech', 'tech prim', 'tiny tech', 'thin tech', 'tech n9ne', 'tech fails', 'tech deals', 'weird tech', 'tech world', 'smart tech', 'kitchen tech', 'tech under 50', 'tech under 25', 'laid off tech', 'smallest tech', 'cheapest tech', 'tech unboxing', 'emerging tech', 'tech under $50', 'primitive tech', 'tech primitive', 'cool tech gifts', 'best tech gifts', 'weekly tech news']"/>
    <n v="28"/>
    <x v="0"/>
    <n v="14214147"/>
    <n v="217464.60837887001"/>
    <n v="619"/>
    <n v="1.5342715139984834E-2"/>
    <n v="54"/>
    <x v="0"/>
  </r>
  <r>
    <x v="120"/>
    <x v="116"/>
    <s v="No description available"/>
    <x v="120"/>
    <x v="94"/>
    <n v="2025"/>
    <s v="June"/>
    <x v="1"/>
    <n v="36"/>
    <s v="UCsEzRn6gjCHpC5ddx1MEgUQ"/>
    <x v="8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9109"/>
    <n v="1584"/>
    <n v="79"/>
    <n v="5.7130097220790821E-2"/>
    <n v="107"/>
    <x v="1"/>
  </r>
  <r>
    <x v="121"/>
    <x v="117"/>
    <s v="Ever wondered what sets ChatGPT apart from other A..."/>
    <x v="121"/>
    <x v="113"/>
    <n v="2024"/>
    <s v="November"/>
    <x v="32"/>
    <n v="264"/>
    <s v="UCwr-evhuzGZgDFrq_1pLt_A"/>
    <x v="8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27549"/>
    <n v="7635"/>
    <n v="32"/>
    <n v="6.0110232146077192E-2"/>
    <n v="54"/>
    <x v="0"/>
  </r>
  <r>
    <x v="122"/>
    <x v="118"/>
    <s v="ATM bike new feature shorts #funny #youtubeshorts ..."/>
    <x v="122"/>
    <x v="114"/>
    <n v="2025"/>
    <s v="April"/>
    <x v="14"/>
    <n v="104"/>
    <s v="UCakSAR_crAk4P5DT6FsovwQ"/>
    <x v="47"/>
    <s v="['bike technology', 'bike video', 'india bike', 'bike experiment', 'ATM bike', 'motorcycle shorts', 'bike tricks', 'bike rider', 'bike hack', 'bike juice hack', 'juice tricks', 'money bike', 'money new tricks', 'bike shorts', 'india new bike', 'ATM technology', 'bike ATM video']"/>
    <n v="22"/>
    <x v="6"/>
    <n v="29678964"/>
    <n v="425888"/>
    <n v="667"/>
    <n v="1.4372300866027534E-2"/>
    <n v="17"/>
    <x v="0"/>
  </r>
  <r>
    <x v="123"/>
    <x v="119"/>
    <s v="#shorts #technology #gadgets _x000a_instagram-ðŸ‘‡_x000a__x000a_ htt..."/>
    <x v="123"/>
    <x v="115"/>
    <n v="2024"/>
    <s v="May"/>
    <x v="11"/>
    <n v="427"/>
    <s v="UCglXlpWjIi95auM3umWWLdw"/>
    <x v="84"/>
    <s v="['tech master', 'shorts', 'technology', 'facts', 'amazingtipsandtricks', 'arvind kharra', 'GADGETS', 'zoom', '200x zoom', 's24 ultra zoom', 'smartphone zoom', 'iphone zoom', 'gadget', 'new product', 'master shorts', '400x zoom', 'apple zoom', 'new videos', 'viral trick', 'india', 'hindi', 'latest videos', 'most popular gadget', 'zoom camera', 'smartphone', 'zooming gadget', 'techmaster']"/>
    <n v="28"/>
    <x v="0"/>
    <n v="4381536"/>
    <n v="287051"/>
    <n v="2664"/>
    <n v="6.6121789253814192E-2"/>
    <n v="51"/>
    <x v="0"/>
  </r>
  <r>
    <x v="124"/>
    <x v="120"/>
    <s v="No description available"/>
    <x v="124"/>
    <x v="116"/>
    <n v="2025"/>
    <s v="May"/>
    <x v="0"/>
    <n v="80"/>
    <s v="UCKeYOr6dVjJR8dUYNqDUr4Q"/>
    <x v="85"/>
    <s v="['Troll face', 'troll face edit', 'trending edit']"/>
    <n v="22"/>
    <x v="6"/>
    <n v="346999"/>
    <n v="5174"/>
    <n v="26"/>
    <n v="1.498563396436301E-2"/>
    <n v="39"/>
    <x v="0"/>
  </r>
  <r>
    <x v="125"/>
    <x v="121"/>
    <s v="We've all seen how much technology has evolved dur..."/>
    <x v="125"/>
    <x v="117"/>
    <n v="2017"/>
    <s v="December"/>
    <x v="33"/>
    <n v="2779"/>
    <s v="UCToZSQjcLTIqcmONexj_Q8w"/>
    <x v="86"/>
    <s v="['FLOPPY DISK', 'THUMB DRIVE', 'BOOKS', 'KINDLE', 'FORD MODEL T', 'FORD GT', 'TELEVISION', 'UHDTV', 'VIDEO CAM', 'HI-DEF VIDEO RECORDER', 'LAPTOP', 'COMPACT ULTRAPORTABLES', 'MOBILE PHONE', 'SMARTPHONE', 'ENIAC', 'PORTABLE CALCULATOR', 'past', 'present', 'Technology']"/>
    <n v="24"/>
    <x v="3"/>
    <n v="1494602"/>
    <n v="8306"/>
    <n v="409"/>
    <n v="5.8309837669158742E-3"/>
    <n v="310"/>
    <x v="1"/>
  </r>
  <r>
    <x v="126"/>
    <x v="122"/>
    <s v="Share with your friends!"/>
    <x v="126"/>
    <x v="118"/>
    <n v="2021"/>
    <s v="November"/>
    <x v="34"/>
    <n v="1362"/>
    <s v="UCoL68NLLSUQqEDwMZPvrdEg"/>
    <x v="81"/>
    <s v="['tech facts', 'facts', 'random facts', 'amazing facts', 'interesting facts', 'tech facts in hindi', 'science facts', 'technology facts', 'tech', 'tech facts in telugu', 'facts about technology', 'top tech facts', 'tech facts 2021', 'tech facts today', 'tech facts daily', 'tech facts hindi']"/>
    <n v="28"/>
    <x v="0"/>
    <n v="20034444"/>
    <n v="1431608"/>
    <n v="933"/>
    <n v="7.1503905973133067E-2"/>
    <n v="53"/>
    <x v="0"/>
  </r>
  <r>
    <x v="127"/>
    <x v="123"/>
    <s v="No description available"/>
    <x v="127"/>
    <x v="119"/>
    <n v="2023"/>
    <s v="January"/>
    <x v="35"/>
    <n v="914"/>
    <s v="UCvo2tOQ0yDJLFRi7QAt58yA"/>
    <x v="8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0356669"/>
    <n v="741078"/>
    <n v="466"/>
    <n v="3.6427570738611512E-2"/>
    <n v="28"/>
    <x v="0"/>
  </r>
  <r>
    <x v="128"/>
    <x v="124"/>
    <s v="Welcome to the future! ðŸš€ Dive into a realm of i..."/>
    <x v="128"/>
    <x v="120"/>
    <n v="2023"/>
    <s v="December"/>
    <x v="26"/>
    <n v="573"/>
    <s v="UCsszPWN4P6mKHmuMz3xZC8Q"/>
    <x v="88"/>
    <s v="['inventions', 'gadgets', 'technology', 'tech', 'amazing inventions you must see', 'inventions of the future', 'THE CRYPTIDE SNEAKER', 'WAYRAY AR', 'PADRONE', 'ATOUN TABITO 02', 'KARA PURE', 'AZERON CYBORG', 'PRODRONE PD6B-AW-ARM', 'BELL NEXUS', 'EMERGE HOME', 'EKTO ONE', 'MANGO POWER', 'PUDU BELLABOT', 'Lâ€™ORÃ‰AL COLORSONIC', '15 amazing concept', 'Mercedes Vision EQXX', 'Martini 6.0', 'Hill HX50', 'VeloX V', 'TCL CSOT', 'Panther KF51', 'Air Yacht V2', 'Pearl suites', 'Flowspace Pod', 'The Huntress', 'Matthieu Tarrit Polar Vehicle']"/>
    <n v="28"/>
    <x v="0"/>
    <n v="1772777"/>
    <n v="10587"/>
    <n v="445"/>
    <n v="6.2230049239131602E-3"/>
    <n v="1722"/>
    <x v="1"/>
  </r>
  <r>
    <x v="129"/>
    <x v="125"/>
    <s v="Ultrasonic Humidifier Mist Maker box | #technology..."/>
    <x v="129"/>
    <x v="121"/>
    <n v="2025"/>
    <s v="June"/>
    <x v="1"/>
    <n v="48"/>
    <s v="UC-zx3tEi3t7JYCeR09f7Tpw"/>
    <x v="8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06940"/>
    <n v="2132"/>
    <n v="5"/>
    <n v="1.0326664733739247E-2"/>
    <n v="38"/>
    <x v="0"/>
  </r>
  <r>
    <x v="130"/>
    <x v="126"/>
    <s v="Spherical police robots by Chinese robotics compan..."/>
    <x v="130"/>
    <x v="122"/>
    <n v="2024"/>
    <s v="December"/>
    <x v="4"/>
    <n v="227"/>
    <s v="UCNjsoaLHhxEUUpOIEbo2l_Q"/>
    <x v="41"/>
    <s v="['Tech', 'Technology', 'Engineering', 'Innovations', 'Viral', 'Shorts']"/>
    <n v="22"/>
    <x v="6"/>
    <n v="10096619"/>
    <n v="364764"/>
    <n v="6964"/>
    <n v="3.6817077082932415E-2"/>
    <n v="18"/>
    <x v="0"/>
  </r>
  <r>
    <x v="131"/>
    <x v="127"/>
    <s v="Ic Reballing Tricks #mobilerepair #technology _x000a_#el..."/>
    <x v="131"/>
    <x v="123"/>
    <n v="2025"/>
    <s v="March"/>
    <x v="23"/>
    <n v="130"/>
    <s v="UCccExinXJkC9aQHROcCizaQ"/>
    <x v="90"/>
    <s v="['Ic Reballing Tricks #mobilerepair #technology', 'how to ic reballing', 'ic reballing', 'bga reballing', 'ic reballing tips', 'ic reballing trick', 'ic repairing', 'how to ic repairing', 'ic reball', 'ic reballing problem', 'ic not reballing', 'after reballing ic short', 'perfect ic reballing', 'perfectly ic reballing', 'best method for ic reballing', 'ic reballing problem solution', 'mobile repair', 'mobile repairing', 'mobile repairing course', 'electronics', 'soldering', 'desoldering', 'soldering tutorial', 'flux paste']"/>
    <n v="28"/>
    <x v="0"/>
    <n v="2501266"/>
    <n v="40228"/>
    <n v="177"/>
    <n v="1.6153819705701032E-2"/>
    <n v="22"/>
    <x v="0"/>
  </r>
  <r>
    <x v="132"/>
    <x v="128"/>
    <s v="This is a graphically enhanced look through a micr..."/>
    <x v="132"/>
    <x v="124"/>
    <n v="2024"/>
    <s v="September"/>
    <x v="7"/>
    <n v="318"/>
    <s v="UCyV_WlB1BsOyImfMyLbX68Q"/>
    <x v="91"/>
    <s v="['microchip', 'cpu', 'phone cpu', 'tech', 'technology', 'microscope', 'computer science', 'chip fabrication', 'circuits', 'semiconductors', 'learn', 'learn something new']"/>
    <n v="27"/>
    <x v="2"/>
    <n v="492744"/>
    <n v="15665"/>
    <n v="667"/>
    <n v="3.3145000243534166E-2"/>
    <n v="49"/>
    <x v="0"/>
  </r>
  <r>
    <x v="133"/>
    <x v="129"/>
    <s v="No description available"/>
    <x v="133"/>
    <x v="125"/>
    <n v="2025"/>
    <s v="April"/>
    <x v="14"/>
    <n v="115"/>
    <s v="UCrkP7L7oieiejXdQHWLqYIg"/>
    <x v="9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134613"/>
    <n v="27936"/>
    <n v="167"/>
    <n v="2.4768797819168298E-2"/>
    <n v="13"/>
    <x v="0"/>
  </r>
  <r>
    <x v="134"/>
    <x v="130"/>
    <s v="Technology âŒ  Technologia âœ”ï¸  #technology #f..."/>
    <x v="134"/>
    <x v="126"/>
    <n v="2025"/>
    <s v="April"/>
    <x v="14"/>
    <n v="112"/>
    <s v="UCTElrLO8jq4_59DoYZsDhDw"/>
    <x v="93"/>
    <s v="['technology meme free fire', 'free fire max', 'the inayat', 'funny', 'shorts', 'trends', 'viral']"/>
    <n v="20"/>
    <x v="10"/>
    <n v="273285"/>
    <n v="3580"/>
    <n v="5"/>
    <n v="1.3118173335528843E-2"/>
    <n v="17"/>
    <x v="0"/>
  </r>
  <r>
    <x v="135"/>
    <x v="131"/>
    <s v="Technology comedy videoðŸ˜… #shorts #funny #surajp..."/>
    <x v="135"/>
    <x v="127"/>
    <n v="2025"/>
    <s v="April"/>
    <x v="14"/>
    <n v="109"/>
    <s v="UC3hsgInrT3d9FEYQW82OFTw"/>
    <x v="9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1124660"/>
    <n v="10039"/>
    <n v="41"/>
    <n v="8.962708729749436E-3"/>
    <n v="17"/>
    <x v="0"/>
  </r>
  <r>
    <x v="136"/>
    <x v="132"/>
    <s v="No description available"/>
    <x v="136"/>
    <x v="94"/>
    <n v="2025"/>
    <s v="June"/>
    <x v="1"/>
    <n v="36"/>
    <s v="UCCiGY0qGJ6ArOh8FpwgmxJQ"/>
    <x v="9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728"/>
    <n v="304"/>
    <n v="18"/>
    <n v="6.8104906937394252E-2"/>
    <n v="30"/>
    <x v="0"/>
  </r>
  <r>
    <x v="137"/>
    <x v="133"/>
    <s v="China Has Advanced Technology To Make Anything Fas..."/>
    <x v="137"/>
    <x v="128"/>
    <n v="2025"/>
    <s v="March"/>
    <x v="23"/>
    <n v="140"/>
    <s v="UCGVfw2366cErHJVRAW-sF-A"/>
    <x v="96"/>
    <s v="['Shorts', 'Shorts feed', 'Yt shorts', 'Youtube shorts']"/>
    <n v="27"/>
    <x v="2"/>
    <n v="192921"/>
    <n v="217464.60837887001"/>
    <n v="70"/>
    <n v="1.1275838730820906"/>
    <n v="19"/>
    <x v="0"/>
  </r>
  <r>
    <x v="138"/>
    <x v="134"/>
    <s v="No description available"/>
    <x v="138"/>
    <x v="129"/>
    <n v="2025"/>
    <s v="February"/>
    <x v="15"/>
    <n v="169"/>
    <s v="UCQGINbsakaZx6I5x3PwmWfA"/>
    <x v="7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9"/>
    <x v="4"/>
    <n v="3451818"/>
    <n v="114935"/>
    <n v="598"/>
    <n v="3.3470188752709441E-2"/>
    <n v="31"/>
    <x v="0"/>
  </r>
  <r>
    <x v="139"/>
    <x v="135"/>
    <s v="This Japanese Technology is AmazingðŸ˜± | Japan Te..."/>
    <x v="139"/>
    <x v="31"/>
    <n v="2024"/>
    <s v="August"/>
    <x v="8"/>
    <n v="329"/>
    <s v="UCNUs-Bc-D0cNjvutSX8pxFA"/>
    <x v="97"/>
    <s v="['shorts', 'japan technology', 'japan technology shorts', 'japanese technology', 'tech', 'This Japanese Technology is AmazingðŸ˜±', 'yt shorts', 'youtube shorts', 'trending shorts', 'short video', 'shorts video', 'short', 'amazing facts', 'amazing facts in hindi', 'interesting facts', 'mind blowing facts', 'facts', 'facts in hindi', 'random facts', 'edward factz']"/>
    <n v="27"/>
    <x v="2"/>
    <n v="89638"/>
    <n v="1625"/>
    <n v="15"/>
    <n v="1.8295812043999198E-2"/>
    <n v="23"/>
    <x v="0"/>
  </r>
  <r>
    <x v="140"/>
    <x v="136"/>
    <s v="Technology âŒ  Technologia âœ”ï¸  #technologyâ€‹..."/>
    <x v="140"/>
    <x v="130"/>
    <n v="2025"/>
    <s v="May"/>
    <x v="0"/>
    <n v="58"/>
    <s v="UCIiBURO5RZKzAjoT6g9iYFQ"/>
    <x v="98"/>
    <s v="['freefire', 'freefire Telugu', 'freefire india', '#1million complete', 'shortsfeed', 'trending', 'popular', 'how to viral a short video']"/>
    <n v="20"/>
    <x v="10"/>
    <n v="68956"/>
    <n v="904"/>
    <n v="16"/>
    <n v="1.3341841174082023E-2"/>
    <n v="15"/>
    <x v="0"/>
  </r>
  <r>
    <x v="141"/>
    <x v="137"/>
    <s v="Don't forget to subscribe to the channel and turn ..."/>
    <x v="141"/>
    <x v="131"/>
    <n v="2025"/>
    <s v="March"/>
    <x v="23"/>
    <n v="126"/>
    <s v="UCssTsMMA2EiDWoXR_qV-KVg"/>
    <x v="99"/>
    <s v="['technology', 'TECHNOLOGY', 'TECHNOLOGY ORÄ°GÄ°NAL', 'technology original', 'viral video', 'viral', 'funny', 'funny video', 'trend funny video', 'trend video', 'sfrvsubhan', 'seferov subhan']"/>
    <n v="23"/>
    <x v="7"/>
    <n v="791733"/>
    <n v="10469"/>
    <n v="123"/>
    <n v="1.3378247464738743E-2"/>
    <n v="13"/>
    <x v="0"/>
  </r>
  <r>
    <x v="142"/>
    <x v="138"/>
    <s v="IMPOSSIBLE ðŸ· ðŸ¥·  #freefire #tondaegamer #edit..."/>
    <x v="142"/>
    <x v="38"/>
    <n v="2025"/>
    <s v="May"/>
    <x v="0"/>
    <n v="59"/>
    <s v="UCzzirC9w-48gsxrdpLxH2Jg"/>
    <x v="100"/>
    <s v="['#freefire @raistar #funny #technologia']"/>
    <n v="20"/>
    <x v="10"/>
    <n v="65123"/>
    <n v="941"/>
    <n v="16"/>
    <n v="1.4695268952597393E-2"/>
    <n v="15"/>
    <x v="0"/>
  </r>
  <r>
    <x v="143"/>
    <x v="139"/>
    <s v="ATM bike new viral technology #funny #bikeride #te..."/>
    <x v="143"/>
    <x v="108"/>
    <n v="2025"/>
    <s v="June"/>
    <x v="1"/>
    <n v="52"/>
    <s v="UCakSAR_crAk4P5DT6FsovwQ"/>
    <x v="47"/>
    <s v="['bike shorts', 'viral bike', 'ATM bike', 'ATM technology', 'Indian bike', 'Indian ATM bike', 'bike ride', 'new bike', 'new technologies', 'viral short bike', 'Indian technology bike', 'bike experiment', 'experiment shorts', 'YouTube shorts', 'viral shorts']"/>
    <n v="22"/>
    <x v="6"/>
    <n v="81955"/>
    <n v="217464.60837887001"/>
    <n v="5"/>
    <n v="2.6535245973872246"/>
    <n v="26"/>
    <x v="0"/>
  </r>
  <r>
    <x v="144"/>
    <x v="140"/>
    <s v="India hits different, loved this video, and the co..."/>
    <x v="144"/>
    <x v="132"/>
    <n v="2024"/>
    <s v="February"/>
    <x v="29"/>
    <n v="517"/>
    <s v="UCMiJRAwDNSNzuYeN2uWa0pA"/>
    <x v="0"/>
    <s v="['Tech', 'india', 'gadgets', 'cool tech', 'tech gifts', 'cheap tech', 'cheap']"/>
    <n v="28"/>
    <x v="0"/>
    <n v="14267731"/>
    <n v="431709"/>
    <n v="16619"/>
    <n v="3.1422515605319445E-2"/>
    <n v="2269"/>
    <x v="1"/>
  </r>
  <r>
    <x v="145"/>
    <x v="141"/>
    <s v="shorts_x000a_fun facts_x000a_interesting facts_x000a_facts you didnt..."/>
    <x v="145"/>
    <x v="133"/>
    <n v="2024"/>
    <s v="September"/>
    <x v="7"/>
    <n v="303"/>
    <s v="UCiO3cv9toTRF2cQxHDXZDhQ"/>
    <x v="101"/>
    <s v="['ai breakthroughs', 'ai future', 'cool gadgets', 'future of ai', 'future tech', 'future technology', 'gadget trends', 'gadgets', 'home automation', 'home automation ideas', 'inventions', 'japan tech trends', 'robotics development', 'robotics excellence', 'robotics future', 'robotics innovations', 'robotics news', 'robotics trends', 'smart home devices', 'smart home gadgets', 'smart home ideas', 'smart home tech', 'smart solutions', 'smart tech solutions', 'tech breakthroughs', 'tech innovations', 'tech mavericks', 'technology']"/>
    <n v="27"/>
    <x v="2"/>
    <n v="2772526"/>
    <n v="217464.60837887001"/>
    <n v="12"/>
    <n v="7.8439880592236111E-2"/>
    <n v="22"/>
    <x v="0"/>
  </r>
  <r>
    <x v="146"/>
    <x v="142"/>
    <s v="Hii my name is bobby ustad_x000a__x000a_#shorts #youtubeshorts..."/>
    <x v="146"/>
    <x v="38"/>
    <n v="2025"/>
    <s v="May"/>
    <x v="0"/>
    <n v="59"/>
    <s v="UC3KGumGbw4sHlnUtgtn9IqQ"/>
    <x v="102"/>
    <s v="['Pakistani funny video', 'Khan baba roast', 'Pakistani technology', 'Roast', 'Comedy']"/>
    <n v="24"/>
    <x v="3"/>
    <n v="3080092"/>
    <n v="171939"/>
    <n v="1896"/>
    <n v="5.6438249247100412E-2"/>
    <n v="69"/>
    <x v="1"/>
  </r>
  <r>
    <x v="147"/>
    <x v="143"/>
    <s v="Asmongold Reacts to: &quot;How We Came to Hate Technolo..."/>
    <x v="147"/>
    <x v="134"/>
    <n v="2025"/>
    <s v="June"/>
    <x v="1"/>
    <n v="39"/>
    <s v="UCQeRaTukNYft1_6AZPACnog"/>
    <x v="103"/>
    <s v="['asmongold', 'asmongold reacts', 'asmongold wow', 'asmongold highlights', 'asmongold youtube', 'world of warcraft', 'asmongold funny', 'asmongold tv', 'asmongold channel', 'zackrawrr']"/>
    <n v="20"/>
    <x v="10"/>
    <n v="639988"/>
    <n v="18150"/>
    <n v="4513"/>
    <n v="3.5411601467527518E-2"/>
    <n v="2238"/>
    <x v="1"/>
  </r>
  <r>
    <x v="148"/>
    <x v="144"/>
    <s v="Broken Flex Repair #mobilerepair #technology _x000a_#mic..."/>
    <x v="148"/>
    <x v="80"/>
    <n v="2025"/>
    <s v="April"/>
    <x v="14"/>
    <n v="93"/>
    <s v="UCccExinXJkC9aQHROcCizaQ"/>
    <x v="90"/>
    <s v="['Broken Flex Repair #mobilerepair #technology', 'how to repair broken flex', 'how to repair flex', 'how to repair damage flex', 'how to repair cutted flex', 'how to repair turn flex', 'broken flex', 'damage flex', 'broken cable flex repair', 'broken ribon flex repair', 'broken belt flex repair', 'mobile repair', 'mobile repairing', 'mobile repairing complete course full video', 'electronic', 'soldering', 'micro soldering', 'micro jumper', 'flux paste', 'solder paste', 'solder mask', 'uv mask', 'broken flex repairing']"/>
    <n v="28"/>
    <x v="0"/>
    <n v="9787251"/>
    <n v="84217"/>
    <n v="551"/>
    <n v="8.6610632546360571E-3"/>
    <n v="59"/>
    <x v="0"/>
  </r>
  <r>
    <x v="149"/>
    <x v="145"/>
    <s v="#ishowspeed #trending #viral #china #technology"/>
    <x v="149"/>
    <x v="125"/>
    <n v="2025"/>
    <s v="April"/>
    <x v="14"/>
    <n v="115"/>
    <s v="UCYRrP22txtZdPr7t2IxkR9w"/>
    <x v="10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372747"/>
    <n v="27529"/>
    <n v="310"/>
    <n v="2.0279774787342459E-2"/>
    <n v="21"/>
    <x v="0"/>
  </r>
  <r>
    <x v="150"/>
    <x v="146"/>
    <s v="No description available"/>
    <x v="150"/>
    <x v="135"/>
    <n v="2025"/>
    <s v="March"/>
    <x v="23"/>
    <n v="134"/>
    <s v="UCTAliyUXj9YL5k_6LVc6Iww"/>
    <x v="10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607445"/>
    <n v="3029"/>
    <n v="29"/>
    <n v="5.0342006272172789E-3"/>
    <n v="8"/>
    <x v="0"/>
  </r>
  <r>
    <x v="151"/>
    <x v="147"/>
    <s v="No description available"/>
    <x v="151"/>
    <x v="136"/>
    <n v="2024"/>
    <s v="May"/>
    <x v="11"/>
    <n v="435"/>
    <s v="UCFpaOPdt17s83Z35VDlREBw"/>
    <x v="10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9"/>
    <x v="9"/>
    <n v="20409479"/>
    <n v="1021308"/>
    <n v="3204"/>
    <n v="5.0197851694303415E-2"/>
    <n v="11"/>
    <x v="0"/>
  </r>
  <r>
    <x v="152"/>
    <x v="148"/>
    <s v="Technology _x000a_#technology _x000a_#trending _x000a_#funny _x000a_#techn..."/>
    <x v="152"/>
    <x v="137"/>
    <n v="2025"/>
    <s v="April"/>
    <x v="14"/>
    <n v="97"/>
    <s v="UCQXG7nBmEbQ6WMc6CIrVtJg"/>
    <x v="69"/>
    <s v="['Technology', 'Trending technologia', 'Trending technology', 'Technology funny video', 'Funny', 'Video', 'Viral', 'Trending memes', 'Reels', 'Instagram trending video', 'Lol', 'Haha', 'Jaat movie total collection', 'Jaat movie action scene', 'Ai trending']"/>
    <n v="23"/>
    <x v="7"/>
    <n v="101995"/>
    <n v="882"/>
    <n v="13"/>
    <n v="8.774939948036669E-3"/>
    <n v="19"/>
    <x v="0"/>
  </r>
  <r>
    <x v="153"/>
    <x v="149"/>
    <s v="#Teaching #learning #facts #support #goals #like #..."/>
    <x v="153"/>
    <x v="74"/>
    <n v="2023"/>
    <s v="May"/>
    <x v="20"/>
    <n v="806"/>
    <s v="UCvknEk1Bjmep7Ebv6QrJGSg"/>
    <x v="10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4569890"/>
    <n v="350833"/>
    <n v="7727"/>
    <n v="2.4609657313816372E-2"/>
    <n v="34"/>
    <x v="0"/>
  </r>
  <r>
    <x v="154"/>
    <x v="150"/>
    <s v="No description available"/>
    <x v="154"/>
    <x v="138"/>
    <n v="2025"/>
    <s v="April"/>
    <x v="14"/>
    <n v="102"/>
    <s v="UC9kGAFMDzda_bHkfrYcKmtQ"/>
    <x v="10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22480"/>
    <n v="2442"/>
    <n v="7"/>
    <n v="5.79672410528309E-3"/>
    <n v="8"/>
    <x v="0"/>
  </r>
  <r>
    <x v="155"/>
    <x v="151"/>
    <s v="Top 20 New Technology Trends That Will Define the ..."/>
    <x v="155"/>
    <x v="139"/>
    <n v="2024"/>
    <s v="November"/>
    <x v="32"/>
    <n v="241"/>
    <s v="UCUTF61UNExRdjmoK5mXwWfQ"/>
    <x v="109"/>
    <s v="['top 20 new technology trends that will define the future', 'future technology trends', 'latest tech innovations', 'new technology 2024', 'top tech trends 2024', 'future of ai', 'quantum computing advancements', 'sustainable technology trends', 'advanced robotics future', 'web3 technology', 'renewable energy innovations', 'future of healthcare technology', 'technology trends reshaping industries', 'top tech trends of the future', 'breakthroughs in artificial intelligence', 'ai uncovered']"/>
    <n v="28"/>
    <x v="0"/>
    <n v="550310"/>
    <n v="8211"/>
    <n v="286"/>
    <n v="1.5440388144863804E-2"/>
    <n v="802"/>
    <x v="1"/>
  </r>
  <r>
    <x v="156"/>
    <x v="152"/>
    <s v="Japanese next level technology #ytshorts #youtubes..."/>
    <x v="156"/>
    <x v="10"/>
    <n v="2024"/>
    <s v="September"/>
    <x v="7"/>
    <n v="300"/>
    <s v="UCXbv3qLKS0B63kakKcc8E0g"/>
    <x v="110"/>
    <s v="['amazing facts', 'amazing information', 'unique techniques', 'Japanese next level technology', 'japan technology', 'unique techniques about']"/>
    <n v="27"/>
    <x v="2"/>
    <n v="3289587"/>
    <n v="217464.60837887001"/>
    <n v="77"/>
    <n v="6.6130370888160123E-2"/>
    <n v="19"/>
    <x v="0"/>
  </r>
  <r>
    <x v="157"/>
    <x v="153"/>
    <s v="No description available"/>
    <x v="157"/>
    <x v="140"/>
    <n v="2024"/>
    <s v="February"/>
    <x v="29"/>
    <n v="522"/>
    <s v="UC92-zm0B8vLq-mtJtSHnrJQ"/>
    <x v="11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52408"/>
    <n v="14429"/>
    <n v="65"/>
    <n v="2.6237853180982172E-2"/>
    <n v="30"/>
    <x v="0"/>
  </r>
  <r>
    <x v="158"/>
    <x v="154"/>
    <s v="No description available"/>
    <x v="158"/>
    <x v="141"/>
    <n v="2022"/>
    <s v="May"/>
    <x v="31"/>
    <n v="1156"/>
    <s v="UCOvOXLATfCrOJmAYaO4mRBA"/>
    <x v="11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
    <x v="11"/>
    <n v="246090760"/>
    <n v="2148424"/>
    <n v="1109"/>
    <n v="8.7347164111322186E-3"/>
    <n v="13"/>
    <x v="0"/>
  </r>
  <r>
    <x v="159"/>
    <x v="155"/>
    <s v="what is Information technology _x000a__x000a_#how #easy #infor..."/>
    <x v="159"/>
    <x v="142"/>
    <n v="2024"/>
    <s v="August"/>
    <x v="8"/>
    <n v="357"/>
    <s v="UCtATf9reJ2p7781q2n2F4_w"/>
    <x v="113"/>
    <s v="['#what', '#whatisit', '#whatis', '#information technology', '#information', '#technology', '#informations', '#technologies', '#whatisinformationtechnology', '#shorts', '#easy', '#easytowrite', '#computer', '#video', '#education', '#howtowrite']"/>
    <n v="27"/>
    <x v="2"/>
    <n v="31227"/>
    <n v="217464.60837887001"/>
    <n v="1970.1447811447799"/>
    <n v="7.0270840349702111"/>
    <n v="10"/>
    <x v="0"/>
  </r>
  <r>
    <x v="160"/>
    <x v="156"/>
    <s v="No description available"/>
    <x v="160"/>
    <x v="1"/>
    <n v="2025"/>
    <s v="June"/>
    <x v="1"/>
    <n v="38"/>
    <s v="UCCiGY0qGJ6ArOh8FpwgmxJQ"/>
    <x v="9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5147"/>
    <n v="1364"/>
    <n v="124"/>
    <n v="5.9172068238756113E-2"/>
    <n v="67"/>
    <x v="1"/>
  </r>
  <r>
    <x v="161"/>
    <x v="157"/>
    <s v="This device looks like a smartphone but is actuall..."/>
    <x v="161"/>
    <x v="90"/>
    <n v="2024"/>
    <s v="August"/>
    <x v="8"/>
    <n v="335"/>
    <s v="UCPMIXPIhGp2WJzocPRQiM1w"/>
    <x v="19"/>
    <s v="['smartphone', 'smartphone review', 'xreal beam pro', 'xreal air 2 pro', 'xreal beam pro and air 2 pro review', 'xreal air 2 pro and beam pro', 'xreal air 2 pro review', 'xreal beam pro review', 'air 2 pro', 'xreal ar glasses', 'ar glasses', 'xreal', '3d ar glasses']"/>
    <n v="28"/>
    <x v="0"/>
    <n v="10849666"/>
    <n v="461066"/>
    <n v="1495"/>
    <n v="4.2633662639937488E-2"/>
    <n v="35"/>
    <x v="0"/>
  </r>
  <r>
    <x v="162"/>
    <x v="158"/>
    <s v="El teclado hologramico barato de temu aliexpress o..."/>
    <x v="162"/>
    <x v="143"/>
    <n v="2025"/>
    <s v="June"/>
    <x v="1"/>
    <n v="44"/>
    <s v="UCHvF0weGdYOYqFO1oy5cWZw"/>
    <x v="114"/>
    <s v="['teclado', 'led', 'holograma', 'bluethoot']"/>
    <n v="28"/>
    <x v="0"/>
    <n v="1113579"/>
    <n v="55569"/>
    <n v="255"/>
    <n v="5.0130255689088965E-2"/>
    <n v="51"/>
    <x v="0"/>
  </r>
  <r>
    <x v="163"/>
    <x v="159"/>
    <s v="Swippitt Hub is a smart, intuitive battery hub tha..."/>
    <x v="163"/>
    <x v="144"/>
    <n v="2025"/>
    <s v="January"/>
    <x v="12"/>
    <n v="192"/>
    <s v="UCNjsoaLHhxEUUpOIEbo2l_Q"/>
    <x v="4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8842622"/>
    <n v="357265"/>
    <n v="2521"/>
    <n v="4.0687705524447386E-2"/>
    <n v="15"/>
    <x v="0"/>
  </r>
  <r>
    <x v="164"/>
    <x v="160"/>
    <s v="Provided to YouTube by Universal Music Group_x000a__x000a_Ayo ..."/>
    <x v="164"/>
    <x v="145"/>
    <n v="2019"/>
    <s v="January"/>
    <x v="36"/>
    <n v="2390"/>
    <s v="UCOcnYBwT1jb6EHlS0cwhNkA"/>
    <x v="115"/>
    <s v="['50 Cent', 'ãƒ•ã‚£ãƒ•ãƒ†ã‚£ã‚»ãƒ³ãƒˆ', '50ã‚»ãƒ³ãƒˆ', 'Justin Timberlake', 'ã‚¸ãƒ£ã‚¹ãƒ†ã‚£ãƒ³ãƒ†ã‚£ãƒ³ãƒãƒ¼ãƒ¬ã‚¤ã‚¯', 'ã‚¸ãƒ£ã‚¹ãƒ†ã‚£ãƒ³ãƒ»ãƒ†ã‚£ãƒ³ãƒãƒ¼ãƒ¬ã‚¤ã‚¯', 'Best Of 50 Cent', 'Ayo Technology']"/>
    <n v="10"/>
    <x v="5"/>
    <n v="700546"/>
    <n v="8045"/>
    <n v="59"/>
    <n v="1.1568119723758326E-2"/>
    <n v="248"/>
    <x v="1"/>
  </r>
  <r>
    <x v="165"/>
    <x v="161"/>
    <s v="Which emerging technology has the potential to cha..."/>
    <x v="165"/>
    <x v="146"/>
    <n v="2024"/>
    <s v="February"/>
    <x v="29"/>
    <n v="525"/>
    <s v="UCGBO6EahCqQSyXIws1MQdDg"/>
    <x v="57"/>
    <s v="['ai', 'artificial intelligence', 'future business tech', 'future technology', 'future tech', 'future business technologies', 'future technologies', 'artificial general intelligence', 'artificial superintelligence', 'superintelligence', 'future city', 'radical life extension', 'crispr', 'quantum computer', 'neuralink', 'humanoid robot', 'generative ai', 'starlink', 'nanotechnology', 'smart cities', 'mixed reality', 'autonomous vehicles', 'blockchain', 'lab grown meat', 'smart home', 'fusion power', 'space tourism', 'artificial wombs']"/>
    <n v="28"/>
    <x v="0"/>
    <n v="2005905"/>
    <n v="21407"/>
    <n v="1085"/>
    <n v="1.1212893930669697E-2"/>
    <n v="2928"/>
    <x v="1"/>
  </r>
  <r>
    <x v="166"/>
    <x v="162"/>
    <s v="Apple just announced iOS 26 at WWDC 2025, featurin..."/>
    <x v="166"/>
    <x v="147"/>
    <n v="2025"/>
    <s v="June"/>
    <x v="1"/>
    <n v="46"/>
    <s v="UCK7tptUDHh-RYDsdxO1-5QQ"/>
    <x v="116"/>
    <s v="['wwdc 2024', 'apple', 'apple news', 'ios26', 'apple ios26', 'apple wwdc 2025', 'wwdc recap', 'liquid glass', 'apple liquid glass', 'visual intelligence', 'ai', 'ai news', 'apple ai', 'siri', 'siri update', 'call screening', 'hold assist', 'live translation', 'apple redesign', 'apple event', 'apple intelligence', 'apple wwdc', 'apple product review', 'apple smart home hub', 'apple new software', 'software updates', 'iphone', 'iphone news', 'safari redesign', 'carplay', 'iphone camera', 'phone screening', 'google', 'samsung', 'tech news', 'techy']"/>
    <n v="25"/>
    <x v="1"/>
    <n v="459396"/>
    <n v="7429"/>
    <n v="796"/>
    <n v="1.7903943438776132E-2"/>
    <n v="221"/>
    <x v="1"/>
  </r>
  <r>
    <x v="167"/>
    <x v="163"/>
    <s v="Japan ki future technology is outstanding._x000a__x000a__x000a__x000a__x000a__x000a__x000a__x000a_..."/>
    <x v="167"/>
    <x v="88"/>
    <n v="2024"/>
    <s v="October"/>
    <x v="22"/>
    <n v="298"/>
    <s v="UCwyTuMaiJk8tdRf50uZCmtA"/>
    <x v="11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5"/>
    <x v="1"/>
    <n v="245854"/>
    <n v="217464.60837887001"/>
    <n v="15"/>
    <n v="0.88458844834279693"/>
    <n v="17"/>
    <x v="0"/>
  </r>
  <r>
    <x v="168"/>
    <x v="164"/>
    <s v="Hands on and initial review of the new Samsung Gal..."/>
    <x v="168"/>
    <x v="148"/>
    <n v="2025"/>
    <s v="May"/>
    <x v="0"/>
    <n v="74"/>
    <s v="UC0MYNOsIrz6jmXfIMERyRHQ"/>
    <x v="118"/>
    <s v="['Samsung galaxy s25 edge', 'Samsung s25 edge', 'samsung s25 edge camera', 'samsung s25 edge unboxing', 'samsung s25 edge review', 'samsung s25 edge hands on', 'samsung s25 edge', 'samsung galaxy s25 edge review', 'samsung galaxy s25 edge camera', 'samsung galaxy s25 edge hands on', 'samsung galaxy s25 edge vs s25 ultra', 's25 ultra vs s25 edge', 's25 edge vs s25 ultra', 'Samsung galaxy s25 ultra vs s25 edge', 'smartphone', 'tech', 'technology', 'phone', 'shorts', 'youtube shorts', 'tech unboxing', 'android', 'tech shorts']"/>
    <n v="28"/>
    <x v="0"/>
    <n v="387986"/>
    <n v="5995"/>
    <n v="111"/>
    <n v="1.5737681256540185E-2"/>
    <n v="22"/>
    <x v="0"/>
  </r>
  <r>
    <x v="169"/>
    <x v="165"/>
    <s v="Top Best Useful Gadgets In The World | Amazon Gadg..."/>
    <x v="169"/>
    <x v="149"/>
    <n v="2024"/>
    <s v="September"/>
    <x v="7"/>
    <n v="309"/>
    <s v="UCdhyGLBRk_oHt3zrlYyn8-w"/>
    <x v="27"/>
    <s v="['Gadgets', 'CoolGadgets', 'GadgetReview', 'SmartGadgets', 'MustHaveGadgets', 'CoolTech', 'GadgetGeek', 'LatestTech']"/>
    <n v="28"/>
    <x v="0"/>
    <n v="2807237"/>
    <n v="175637"/>
    <n v="182"/>
    <n v="6.2630622209667364E-2"/>
    <n v="27"/>
    <x v="0"/>
  </r>
  <r>
    <x v="170"/>
    <x v="166"/>
    <s v="No description available"/>
    <x v="170"/>
    <x v="150"/>
    <n v="2025"/>
    <s v="June"/>
    <x v="1"/>
    <n v="45"/>
    <s v="UCzNl75jitCHmIHVcK9girAQ"/>
    <x v="11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707563"/>
    <n v="43097"/>
    <n v="36"/>
    <n v="3.1466570680725669E-3"/>
    <n v="8"/>
    <x v="0"/>
  </r>
  <r>
    <x v="171"/>
    <x v="167"/>
    <s v="No description available"/>
    <x v="171"/>
    <x v="151"/>
    <n v="2024"/>
    <s v="July"/>
    <x v="3"/>
    <n v="364"/>
    <s v="UCdO1c-gvJuDA_7D66Su2esg"/>
    <x v="12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541660"/>
    <n v="5665"/>
    <n v="424"/>
    <n v="1.1241369124543071E-2"/>
    <n v="14"/>
    <x v="0"/>
  </r>
  <r>
    <x v="172"/>
    <x v="168"/>
    <s v="viral bike new technology #shorts #funny #viral #b..."/>
    <x v="172"/>
    <x v="152"/>
    <n v="2025"/>
    <s v="June"/>
    <x v="1"/>
    <n v="49"/>
    <s v="UCakSAR_crAk4P5DT6FsovwQ"/>
    <x v="47"/>
    <s v="['bike shorts', 'bike technology', 'chai lovers', 'bike lovers', 'viral bike', 'ATM bike', 'new feature bike', 'viral short bike', 'Indian bike', 'Indian bike shorts', 'new bike', 'new technologies', 'YouTube shorts', 'new shorts', 'feed shorts', 'new bike shorts']"/>
    <n v="22"/>
    <x v="6"/>
    <n v="133133"/>
    <n v="1228"/>
    <n v="9"/>
    <n v="9.291460419279968E-3"/>
    <n v="24"/>
    <x v="0"/>
  </r>
  <r>
    <x v="173"/>
    <x v="169"/>
    <s v="#samsunggalaxys25ultra #techmaster _x000a__x000a_SUBSCRIBE THE..."/>
    <x v="173"/>
    <x v="153"/>
    <n v="2025"/>
    <s v="January"/>
    <x v="12"/>
    <n v="184"/>
    <s v="UCglXlpWjIi95auM3umWWLdw"/>
    <x v="84"/>
    <s v="['tech master', 'shorts', 'technology', 'facts', 'amazingtipsandtricks', 'arvind kharra', 'samsung galaxt s25 ultra', 'galaxy s25', 'india', 'samsung', 'tech', 'tech master shorts', 'hindi', 's25 ultra', 's25 series', 'fastest phone 2025', 'enable fast charging in android', 'boost gaming performance in any smartphone', 'viral', 'entertainment', 'funny', 'comedy']"/>
    <n v="28"/>
    <x v="0"/>
    <n v="4671810"/>
    <n v="219320"/>
    <n v="733"/>
    <n v="4.7102300821309083E-2"/>
    <n v="19"/>
    <x v="0"/>
  </r>
  <r>
    <x v="174"/>
    <x v="170"/>
    <s v="No description available"/>
    <x v="174"/>
    <x v="94"/>
    <n v="2025"/>
    <s v="June"/>
    <x v="1"/>
    <n v="36"/>
    <s v="UC_bN7yBXpdfszkJXaTRDJbw"/>
    <x v="12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43368"/>
    <n v="5976"/>
    <n v="10"/>
    <n v="4.1752692372077453E-2"/>
    <n v="16"/>
    <x v="0"/>
  </r>
  <r>
    <x v="175"/>
    <x v="171"/>
    <s v="iShowSpeed Shocked By This Technology In China ðŸ¤..."/>
    <x v="175"/>
    <x v="154"/>
    <n v="2025"/>
    <s v="April"/>
    <x v="14"/>
    <n v="116"/>
    <s v="UCnzi4YrXHlSsSlsQ3cTThbQ"/>
    <x v="12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8090542"/>
    <n v="292972"/>
    <n v="2941"/>
    <n v="3.6575176298448239E-2"/>
    <n v="23"/>
    <x v="0"/>
  </r>
  <r>
    <x v="176"/>
    <x v="172"/>
    <s v="Creating is not easy. If there is any infringement..."/>
    <x v="176"/>
    <x v="139"/>
    <n v="2024"/>
    <s v="November"/>
    <x v="32"/>
    <n v="241"/>
    <s v="UCjzQOIISFGqui9A4__hJNJw"/>
    <x v="12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891174"/>
    <n v="79263"/>
    <n v="901"/>
    <n v="1.6389521206974032E-2"/>
    <n v="14"/>
    <x v="0"/>
  </r>
  <r>
    <x v="177"/>
    <x v="173"/>
    <s v="No description available"/>
    <x v="177"/>
    <x v="18"/>
    <n v="2025"/>
    <s v="April"/>
    <x v="14"/>
    <n v="103"/>
    <s v="UChT7Ga_9INnIrVPBNXo7aqA"/>
    <x v="12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776981"/>
    <n v="217464.60837887001"/>
    <n v="10"/>
    <n v="0.12238431833478805"/>
    <n v="20"/>
    <x v="0"/>
  </r>
  <r>
    <x v="178"/>
    <x v="174"/>
    <s v="ðŸ”Ž IT vs. Computer Science: Which Degree Is Righ..."/>
    <x v="178"/>
    <x v="133"/>
    <n v="2024"/>
    <s v="September"/>
    <x v="7"/>
    <n v="303"/>
    <s v="UC0labapmBYc-gdwcFRzWVlg"/>
    <x v="125"/>
    <s v="['Australia', 'Career', 'Computer Science', 'Higher Education', 'Information Technology', 'Job', 'Melbourne', 'Study', 'Top University', 'University']"/>
    <n v="28"/>
    <x v="0"/>
    <n v="158437"/>
    <n v="5421"/>
    <n v="25"/>
    <n v="3.4373284018253313E-2"/>
    <n v="31"/>
    <x v="0"/>
  </r>
  <r>
    <x v="179"/>
    <x v="175"/>
    <s v="Free motion in progress | Techwala | Desi perpetua..."/>
    <x v="179"/>
    <x v="155"/>
    <n v="2024"/>
    <s v="April"/>
    <x v="37"/>
    <n v="461"/>
    <s v="UCGza0UwOOdcryLK-1taT8SA"/>
    <x v="126"/>
    <s v="['perpetu motion machine', 'free energy machine', 'free energy setup Desi jugaad', 'best free energy machine']"/>
    <n v="28"/>
    <x v="0"/>
    <n v="139303650"/>
    <n v="1474630"/>
    <n v="16759"/>
    <n v="1.0706029597932288E-2"/>
    <n v="11"/>
    <x v="0"/>
  </r>
  <r>
    <x v="180"/>
    <x v="176"/>
    <s v="No description available"/>
    <x v="180"/>
    <x v="156"/>
    <n v="2025"/>
    <s v="March"/>
    <x v="23"/>
    <n v="138"/>
    <s v="UCIwDtUGlxhQcQ38ihxtGD3Q"/>
    <x v="12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41158"/>
    <n v="2270"/>
    <n v="5"/>
    <n v="2.4172349382356631E-3"/>
    <n v="17"/>
    <x v="0"/>
  </r>
  <r>
    <x v="181"/>
    <x v="177"/>
    <s v="THERE IS NO FREE ENERGY!_x000a_THERE IS NO FREE ENERGY!!..."/>
    <x v="181"/>
    <x v="157"/>
    <n v="2024"/>
    <s v="July"/>
    <x v="3"/>
    <n v="363"/>
    <s v="UCJ0-OtVpF0wOKEqT2Z1HEtA"/>
    <x v="1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9283865"/>
    <n v="1181041"/>
    <n v="8422"/>
    <n v="4.0618374657853396E-2"/>
    <n v="39"/>
    <x v="0"/>
  </r>
  <r>
    <x v="182"/>
    <x v="77"/>
    <s v="New Science Project #shorts #science #technology #..."/>
    <x v="182"/>
    <x v="158"/>
    <n v="2023"/>
    <s v="May"/>
    <x v="20"/>
    <n v="801"/>
    <s v="UChvzFAyWyofbidb7Mh3WMZw"/>
    <x v="49"/>
    <s v="['shorts', 'science', 'technology', 'trending']"/>
    <n v="28"/>
    <x v="0"/>
    <n v="17579884"/>
    <n v="637578"/>
    <n v="835"/>
    <n v="3.6314972271716921E-2"/>
    <n v="15"/>
    <x v="0"/>
  </r>
  <r>
    <x v="183"/>
    <x v="178"/>
    <s v="viral new technology money bike shorts #experiment..."/>
    <x v="183"/>
    <x v="123"/>
    <n v="2025"/>
    <s v="March"/>
    <x v="23"/>
    <n v="130"/>
    <s v="UCakSAR_crAk4P5DT6FsovwQ"/>
    <x v="47"/>
    <s v="['bike experiment', 'bike shorts', 'shorts bike', 'new hack bike', 'bike new feature', 'money bike', 'bike rider technology', 'bike lovers', 'motorcycle shorts', 'YouTube shorts', 'new short', 'viral bike', 'viral shorts', 'new', 'bike']"/>
    <n v="22"/>
    <x v="6"/>
    <n v="9864742"/>
    <n v="72485"/>
    <n v="93"/>
    <n v="7.3573135516367284E-3"/>
    <n v="22"/>
    <x v="0"/>
  </r>
  <r>
    <x v="184"/>
    <x v="179"/>
    <s v="22 New Gadgets And Inventions ( 2025 ) That You Wi..."/>
    <x v="184"/>
    <x v="159"/>
    <n v="2025"/>
    <s v="April"/>
    <x v="14"/>
    <n v="111"/>
    <s v="UC17Uwo5BkSTtGVbOkywJ7_Q"/>
    <x v="128"/>
    <s v="['Future Tech', 'Gadgets Under', 'cool gadgets', 'technology', 'tech under', 'under $25', 'new gadgets', 'gadgets on amazon', 'new gadgets on amazon', 'amazon gadgets', 'latest gadgets', 'cheapest gadgets', 'unique gadgets', 'amazon', 'cool gadgets on amazon india', 'gadget under rs 1000', 'gadgets under 500 rs', 'under 500 rs gadgets', 'new tech gadget', 'best gadgets', 'gadgets 2025', 'best tech gifts 2025', '2025', 'gifts', 'gifts 2025', 'under 50 dollars', 'cool gifts for christmas', 'gifts on amazon', 'tech gifts 2025']"/>
    <n v="28"/>
    <x v="0"/>
    <n v="295086"/>
    <n v="3664"/>
    <n v="74"/>
    <n v="1.2667493544254895E-2"/>
    <n v="1099"/>
    <x v="1"/>
  </r>
  <r>
    <x v="185"/>
    <x v="180"/>
    <s v="No description available"/>
    <x v="185"/>
    <x v="160"/>
    <n v="2023"/>
    <s v="April"/>
    <x v="16"/>
    <n v="836"/>
    <s v="UCClfFsWcT3N2I7VTXXyt84A"/>
    <x v="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4447422"/>
    <n v="202294"/>
    <n v="2235"/>
    <n v="4.5988215195229956E-2"/>
    <n v="18"/>
    <x v="0"/>
  </r>
  <r>
    <x v="186"/>
    <x v="181"/>
    <s v="Unbelievable technology of CHINA #shorts _x000a_à¤šà¥€à¤..."/>
    <x v="186"/>
    <x v="161"/>
    <n v="2024"/>
    <s v="May"/>
    <x v="11"/>
    <n v="437"/>
    <s v="UCYhFgajuL8unEptfPMU5r1A"/>
    <x v="129"/>
    <s v="['shorts', 'ytshorts', 'youtubeshorts', 'shortsfeed', 'china farming', 'china technology', 'shorts monetization', 'youtube monetization', 'hindi facts', 'tip top knowledge', 'shortsbeta']"/>
    <n v="22"/>
    <x v="6"/>
    <n v="293438"/>
    <n v="2958"/>
    <n v="10"/>
    <n v="1.011457275472161E-2"/>
    <n v="37"/>
    <x v="0"/>
  </r>
  <r>
    <x v="187"/>
    <x v="182"/>
    <s v="In this video we will learn an essay on Technology..."/>
    <x v="187"/>
    <x v="162"/>
    <n v="2024"/>
    <s v="December"/>
    <x v="4"/>
    <n v="219"/>
    <s v="UCEFYVDdTzUlwvoL2Em-xAgA"/>
    <x v="13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22270"/>
    <n v="758"/>
    <n v="21"/>
    <n v="6.3711458248139367E-3"/>
    <n v="6"/>
    <x v="0"/>
  </r>
  <r>
    <x v="188"/>
    <x v="183"/>
    <s v="viral ATM bike new feature shorts #funny #technolo..."/>
    <x v="188"/>
    <x v="163"/>
    <n v="2025"/>
    <s v="May"/>
    <x v="0"/>
    <n v="76"/>
    <s v="UCakSAR_crAk4P5DT6FsovwQ"/>
    <x v="47"/>
    <s v="['ATM bike', 'bike technology', 'money bike', 'new bike', 'indian bike', 'motorcycle shorts', 'motorcycle technology', 'shorts', 'bike shorts', 'ATM shorts', 'ATM technology', 'viral bike', 'fanny bike', 'fanny shorts', 'viral ATM video', 'bike hack']"/>
    <n v="22"/>
    <x v="6"/>
    <n v="32462192"/>
    <n v="436405"/>
    <n v="536"/>
    <n v="1.3459996786415409E-2"/>
    <n v="20"/>
    <x v="0"/>
  </r>
  <r>
    <x v="189"/>
    <x v="184"/>
    <s v="Visor is the world's smallest 4K headset. Spawn fi..."/>
    <x v="189"/>
    <x v="6"/>
    <n v="2024"/>
    <s v="July"/>
    <x v="3"/>
    <n v="374"/>
    <s v="UCGmuLwV0XD_uqL4wKZg4hgA"/>
    <x v="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8815065"/>
    <n v="188469"/>
    <n v="231"/>
    <n v="2.1406535289303027E-2"/>
    <n v="14"/>
    <x v="0"/>
  </r>
  <r>
    <x v="190"/>
    <x v="185"/>
    <s v="No description available"/>
    <x v="190"/>
    <x v="164"/>
    <n v="2025"/>
    <s v="June"/>
    <x v="1"/>
    <n v="40"/>
    <s v="UCClfFsWcT3N2I7VTXXyt84A"/>
    <x v="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7377"/>
    <n v="7621"/>
    <n v="131"/>
    <n v="5.6428659819329291E-2"/>
    <n v="61"/>
    <x v="1"/>
  </r>
  <r>
    <x v="191"/>
    <x v="186"/>
    <s v="Note: This video uses edited clips from a source, ..."/>
    <x v="191"/>
    <x v="165"/>
    <n v="2025"/>
    <s v="May"/>
    <x v="0"/>
    <n v="82"/>
    <s v="UCVn7UJr1UaB-eOzftQTfirg"/>
    <x v="13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6107312"/>
    <n v="217464.60837887001"/>
    <n v="808"/>
    <n v="1.3551150457560517E-2"/>
    <n v="45"/>
    <x v="0"/>
  </r>
  <r>
    <x v="192"/>
    <x v="187"/>
    <s v="China Has Launched New Generation Transport SHOCKI..."/>
    <x v="192"/>
    <x v="166"/>
    <n v="2024"/>
    <s v="December"/>
    <x v="4"/>
    <n v="208"/>
    <s v="UCzmU5mkiPWeDccclPq2bs7Q"/>
    <x v="132"/>
    <s v="['China', 'Has Launched', 'New Generation', 'New Generation Transport', 'SHOCKING The US', 'China new generation transport', 'china transpostation']"/>
    <n v="28"/>
    <x v="0"/>
    <n v="19575862"/>
    <n v="80088"/>
    <n v="7687"/>
    <n v="4.4838383106705591E-3"/>
    <n v="2073"/>
    <x v="1"/>
  </r>
  <r>
    <x v="193"/>
    <x v="188"/>
    <s v="This is the coolest city in the world. Chongqing t..."/>
    <x v="193"/>
    <x v="167"/>
    <n v="2024"/>
    <s v="February"/>
    <x v="29"/>
    <n v="520"/>
    <s v="UCNjsoaLHhxEUUpOIEbo2l_Q"/>
    <x v="4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2489348"/>
    <n v="358387"/>
    <n v="7403"/>
    <n v="2.9288158196889062E-2"/>
    <n v="36"/>
    <x v="0"/>
  </r>
  <r>
    <x v="194"/>
    <x v="189"/>
    <s v="#memes #funny #technology #comedy #song#memes #fun..."/>
    <x v="194"/>
    <x v="168"/>
    <n v="2025"/>
    <s v="March"/>
    <x v="23"/>
    <n v="125"/>
    <s v="UCkO7saw1SXudGPC0RZfwZjQ"/>
    <x v="13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275936"/>
    <n v="217464.60837887001"/>
    <n v="8"/>
    <n v="0.78812698734079645"/>
    <n v="11"/>
    <x v="0"/>
  </r>
  <r>
    <x v="195"/>
    <x v="190"/>
    <s v="No description available"/>
    <x v="195"/>
    <x v="169"/>
    <n v="2022"/>
    <s v="May"/>
    <x v="31"/>
    <n v="1165"/>
    <s v="UClfll_TO6FpOPLUg4Aawhlw"/>
    <x v="13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383725"/>
    <n v="207061"/>
    <n v="317"/>
    <n v="4.7306343349548613E-2"/>
    <n v="12"/>
    <x v="0"/>
  </r>
  <r>
    <x v="196"/>
    <x v="191"/>
    <s v="China farming technology | plastic botal #technolo..."/>
    <x v="196"/>
    <x v="170"/>
    <n v="2024"/>
    <s v="October"/>
    <x v="22"/>
    <n v="279"/>
    <s v="UCfkU03zJEEOcvoYiJrHKA2A"/>
    <x v="13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6973424"/>
    <n v="330440"/>
    <n v="118"/>
    <n v="1.2254951392155478E-2"/>
    <n v="24"/>
    <x v="0"/>
  </r>
  <r>
    <x v="197"/>
    <x v="192"/>
    <s v="#inventions #vehicles #technology _x000a__x000a_TCL RayNeo X2_x000a_..."/>
    <x v="197"/>
    <x v="171"/>
    <n v="2024"/>
    <s v="February"/>
    <x v="29"/>
    <n v="514"/>
    <s v="UCrq8njNr92EBuA4KXJX3OiQ"/>
    <x v="136"/>
    <s v="['inventions', 'amazing inventions you must see', 'cool inventions', 'inventions you must have', 'amazing inventions', 'inventions that will change your life', 'futuristic inventions', 'innovation', 'inventions 2024', 'best inventions', 'top 15 inventions', '15 inventions that will blow your mind', 'inventions you need to see', &quot;inventions you didn't know existed&quot;, 'inventions of the future', 'TCL RayNeo X2', 'Voixatch', 'Apple Vision Pro', 'Airspeeder Crewed', 'Alarm Stop Sleep']"/>
    <n v="28"/>
    <x v="0"/>
    <n v="2164395"/>
    <n v="15215"/>
    <n v="379"/>
    <n v="7.2047847088909369E-3"/>
    <n v="964"/>
    <x v="1"/>
  </r>
  <r>
    <x v="198"/>
    <x v="193"/>
    <s v="I bought and tested the most pointless, stupid, du..."/>
    <x v="198"/>
    <x v="172"/>
    <n v="2024"/>
    <s v="August"/>
    <x v="8"/>
    <n v="336"/>
    <s v="UCMiJRAwDNSNzuYeN2uWa0pA"/>
    <x v="0"/>
    <s v="['tech', 'best tech', 'technology', 'gadgets', 'pointless', 'stupid', 'dumb', 'rant', 'unneccessary', 'iphone', 'smartphones']"/>
    <n v="28"/>
    <x v="0"/>
    <n v="7642173"/>
    <n v="161425"/>
    <n v="6954"/>
    <n v="2.2032869446949186E-2"/>
    <n v="2500"/>
    <x v="1"/>
  </r>
  <r>
    <x v="199"/>
    <x v="194"/>
    <s v="How to avoide phone usage! #shorts  #youtubeshorts..."/>
    <x v="199"/>
    <x v="173"/>
    <n v="2023"/>
    <s v="March"/>
    <x v="38"/>
    <n v="848"/>
    <s v="UCglXlpWjIi95auM3umWWLdw"/>
    <x v="84"/>
    <s v="['shorts', 'viral shorts', 'shorts video', 'tech', 'reaction shorts', 'shorts reaction', 'comedy', 'shorts viral kaise hoga', 'youtube shorts', '@shorts', '#shorts', 'tech master', 'phone', 'smartphone', 'locker']"/>
    <n v="28"/>
    <x v="0"/>
    <n v="32628313"/>
    <n v="1545437"/>
    <n v="1906"/>
    <n v="4.742332219260003E-2"/>
    <n v="50"/>
    <x v="0"/>
  </r>
  <r>
    <x v="200"/>
    <x v="195"/>
    <s v="No description available"/>
    <x v="200"/>
    <x v="174"/>
    <n v="2024"/>
    <s v="January"/>
    <x v="6"/>
    <n v="560"/>
    <s v="UCClfFsWcT3N2I7VTXXyt84A"/>
    <x v="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2695809"/>
    <n v="1238922"/>
    <n v="6870"/>
    <n v="5.4890839097209536E-2"/>
    <n v="60"/>
    <x v="0"/>
  </r>
  <r>
    <x v="201"/>
    <x v="196"/>
    <s v="https://mangoware.shop_x000a__x000a_#shortsedit #coldmoments #..."/>
    <x v="201"/>
    <x v="25"/>
    <n v="2025"/>
    <s v="June"/>
    <x v="1"/>
    <n v="41"/>
    <s v="UCGmPeEqdsLBMsfUK3DZOw2A"/>
    <x v="13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0"/>
    <x v="5"/>
    <n v="18618"/>
    <n v="269"/>
    <n v="5"/>
    <n v="1.4716940595122999E-2"/>
    <n v="36"/>
    <x v="0"/>
  </r>
  <r>
    <x v="202"/>
    <x v="197"/>
    <s v="Hello, tech visionaries! ðŸŒ Have you ever imagin..."/>
    <x v="202"/>
    <x v="175"/>
    <n v="2023"/>
    <s v="December"/>
    <x v="26"/>
    <n v="598"/>
    <s v="UCPaf9OniHYTpjYPs3_K-B9w"/>
    <x v="138"/>
    <s v="['TechEntrepreneurship', 'ChinaElectronicsMarket', 'BuildYourBrand', 'ElectronicsSourcing', 'InnovationJourney', 'ShortsTutorial', 'BrandCreationTips', 'GlobalEntrepreneur', 'DIYBrand', 'EntrepreneurshipGuide']"/>
    <n v="26"/>
    <x v="8"/>
    <n v="4602241"/>
    <n v="98823"/>
    <n v="1241"/>
    <n v="2.1742451123267989E-2"/>
    <n v="14"/>
    <x v="0"/>
  </r>
  <r>
    <x v="203"/>
    <x v="198"/>
    <s v="No description available"/>
    <x v="203"/>
    <x v="176"/>
    <n v="2025"/>
    <s v="January"/>
    <x v="12"/>
    <n v="180"/>
    <s v="UC8SFy66JbVwPcYhvplWPm1g"/>
    <x v="13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276862"/>
    <n v="217464.60837887001"/>
    <n v="70"/>
    <n v="9.5541411108301694E-2"/>
    <n v="53"/>
    <x v="0"/>
  </r>
  <r>
    <x v="204"/>
    <x v="199"/>
    <s v="No description available"/>
    <x v="204"/>
    <x v="177"/>
    <n v="2025"/>
    <s v="June"/>
    <x v="1"/>
    <n v="42"/>
    <s v="UCVLaRbKaPFM29W91sHhGtqQ"/>
    <x v="14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51858"/>
    <n v="2209"/>
    <n v="16"/>
    <n v="1.4651845803316256E-2"/>
    <n v="56"/>
    <x v="0"/>
  </r>
  <r>
    <x v="205"/>
    <x v="200"/>
    <s v="No description available"/>
    <x v="205"/>
    <x v="94"/>
    <n v="2025"/>
    <s v="June"/>
    <x v="1"/>
    <n v="36"/>
    <s v="UCgeu38G_jcXQ1xMiRZgD_AA"/>
    <x v="14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8092"/>
    <n v="1931"/>
    <n v="30"/>
    <n v="0.10839044881715676"/>
    <n v="28"/>
    <x v="0"/>
  </r>
  <r>
    <x v="206"/>
    <x v="201"/>
    <s v="No description available"/>
    <x v="206"/>
    <x v="178"/>
    <n v="2025"/>
    <s v="May"/>
    <x v="0"/>
    <n v="56"/>
    <s v="UCYJp64Of-hn-v83fJRy7nig"/>
    <x v="14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1114228"/>
    <n v="30659"/>
    <n v="431"/>
    <n v="2.79027272694637E-2"/>
    <n v="49"/>
    <x v="0"/>
  </r>
  <r>
    <x v="207"/>
    <x v="202"/>
    <s v="No description available"/>
    <x v="207"/>
    <x v="94"/>
    <n v="2025"/>
    <s v="June"/>
    <x v="1"/>
    <n v="36"/>
    <s v="UCfj3Db1yab-IaJqFbExqgIg"/>
    <x v="14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834"/>
    <n v="34"/>
    <n v="2"/>
    <n v="4.3165467625899283E-2"/>
    <n v="35"/>
    <x v="0"/>
  </r>
  <r>
    <x v="208"/>
    <x v="203"/>
    <s v="No description available"/>
    <x v="208"/>
    <x v="85"/>
    <n v="2025"/>
    <s v="May"/>
    <x v="0"/>
    <n v="62"/>
    <s v="UCg000s7WtHV0yps-hQ-SHwA"/>
    <x v="14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3896"/>
    <n v="356"/>
    <n v="4"/>
    <n v="1.062072220911022E-2"/>
    <n v="13"/>
    <x v="0"/>
  </r>
  <r>
    <x v="209"/>
    <x v="204"/>
    <s v="No description available"/>
    <x v="209"/>
    <x v="101"/>
    <n v="2025"/>
    <s v="March"/>
    <x v="23"/>
    <n v="119"/>
    <s v="UCGSnz7gKnBMoyF24sbHA3wA"/>
    <x v="14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6"/>
    <x v="8"/>
    <n v="93123"/>
    <n v="1651"/>
    <n v="23"/>
    <n v="1.7976224992751522E-2"/>
    <n v="13"/>
    <x v="0"/>
  </r>
  <r>
    <x v="210"/>
    <x v="205"/>
    <s v="Discover the top ten mind-blowing nano technology ..."/>
    <x v="210"/>
    <x v="179"/>
    <n v="2024"/>
    <s v="August"/>
    <x v="8"/>
    <n v="347"/>
    <s v="UCG0BfrzUNENepeNVe0YumOg"/>
    <x v="14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1019"/>
    <n v="641"/>
    <n v="9"/>
    <n v="2.095489861052903E-2"/>
    <n v="28"/>
    <x v="0"/>
  </r>
  <r>
    <x v="211"/>
    <x v="206"/>
    <s v="No description available"/>
    <x v="211"/>
    <x v="180"/>
    <n v="2022"/>
    <s v="June"/>
    <x v="39"/>
    <n v="1130"/>
    <s v="UCWI-ohtRu8eEeDj93hmUsUQ"/>
    <x v="14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75179"/>
    <n v="34041"/>
    <n v="416"/>
    <n v="5.9906568216155316E-2"/>
    <n v="33"/>
    <x v="0"/>
  </r>
  <r>
    <x v="212"/>
    <x v="207"/>
    <s v="No description available"/>
    <x v="212"/>
    <x v="181"/>
    <n v="2022"/>
    <s v="August"/>
    <x v="40"/>
    <n v="1076"/>
    <s v="UCJoYs6q1R7KE3MWlNqebIqw"/>
    <x v="14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685431"/>
    <n v="270922"/>
    <n v="196"/>
    <n v="1.9810702344705111E-2"/>
    <n v="16"/>
    <x v="0"/>
  </r>
  <r>
    <x v="213"/>
    <x v="208"/>
    <s v="About video :- #science  #technology #machine #bus..."/>
    <x v="213"/>
    <x v="182"/>
    <n v="2024"/>
    <s v="April"/>
    <x v="37"/>
    <n v="463"/>
    <s v="UCLverqV6G5MER0YXM4LienQ"/>
    <x v="74"/>
    <s v="['#vigyanRecharge', '#shorts', '#engineering', 'Shorts', '#science', '#vigyan', '#physics', '#fun']"/>
    <n v="24"/>
    <x v="3"/>
    <n v="27525386"/>
    <n v="497044"/>
    <n v="368"/>
    <n v="1.8071027232824274E-2"/>
    <n v="18"/>
    <x v="0"/>
  </r>
  <r>
    <x v="214"/>
    <x v="209"/>
    <s v="No description available"/>
    <x v="214"/>
    <x v="134"/>
    <n v="2025"/>
    <s v="June"/>
    <x v="1"/>
    <n v="39"/>
    <s v="UCHB8fIpAKZy6UVz4Q_c4cRg"/>
    <x v="14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0879"/>
    <n v="288"/>
    <n v="1"/>
    <n v="2.6564941630664585E-2"/>
    <n v="33"/>
    <x v="0"/>
  </r>
  <r>
    <x v="215"/>
    <x v="210"/>
    <s v="Check out this ornithopter, its a drone that wings..."/>
    <x v="215"/>
    <x v="183"/>
    <n v="2023"/>
    <s v="December"/>
    <x v="26"/>
    <n v="594"/>
    <s v="UCezOhPRojzE_Du7XQodCKxQ"/>
    <x v="15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6364411"/>
    <n v="397647"/>
    <n v="1998"/>
    <n v="6.2793713353835878E-2"/>
    <n v="46"/>
    <x v="0"/>
  </r>
  <r>
    <x v="216"/>
    <x v="211"/>
    <s v="Amazon finds"/>
    <x v="216"/>
    <x v="184"/>
    <n v="2022"/>
    <s v="August"/>
    <x v="40"/>
    <n v="1075"/>
    <s v="UCE-orYJxj0L2cYWbFVHPMPQ"/>
    <x v="151"/>
    <s v="['cool gadgets', 'amazon gadgets', 'gadgets', 'cool tech', 'amazon finds']"/>
    <n v="20"/>
    <x v="10"/>
    <n v="1641762"/>
    <n v="32562"/>
    <n v="229"/>
    <n v="1.9973053341470932E-2"/>
    <n v="13"/>
    <x v="0"/>
  </r>
  <r>
    <x v="217"/>
    <x v="212"/>
    <s v="The so-called â€œDendera Lightbulbsâ€â€¦ is this ..."/>
    <x v="217"/>
    <x v="185"/>
    <n v="2024"/>
    <s v="August"/>
    <x v="8"/>
    <n v="330"/>
    <s v="UCpiPhZVveHua0fcikxo8wmQ"/>
    <x v="152"/>
    <s v="['Dendera', 'Lightbulbs', 'Lights', 'Technology', 'Electricity', 'Ancient', 'Egypt', 'Egyptians', 'Temple']"/>
    <n v="19"/>
    <x v="4"/>
    <n v="1098976"/>
    <n v="22710"/>
    <n v="1533"/>
    <n v="2.2059626415863495E-2"/>
    <n v="16"/>
    <x v="0"/>
  </r>
  <r>
    <x v="218"/>
    <x v="213"/>
    <s v="In this video, you can see, smart invention With s..."/>
    <x v="218"/>
    <x v="186"/>
    <n v="2024"/>
    <s v="September"/>
    <x v="7"/>
    <n v="306"/>
    <s v="UCnrGU9pNN5t7nMdDc2etrRA"/>
    <x v="17"/>
    <s v="['Smart invention', 'Smart gadgets', 'DIY idea', 'homemade invention', 'gadgets', 'technology', 'homemade DIY project', 'shorts', 'youtube shorts', 'viral shorts', 'trending shorts', 'science and technology', 'Mr deshi inventor', 'science']"/>
    <n v="28"/>
    <x v="0"/>
    <n v="17865523"/>
    <n v="111064"/>
    <n v="386"/>
    <n v="6.2382724535967968E-3"/>
    <n v="9"/>
    <x v="0"/>
  </r>
  <r>
    <x v="219"/>
    <x v="214"/>
    <s v="When Technology Becomes Art #Meibot #future #robot..."/>
    <x v="219"/>
    <x v="177"/>
    <n v="2025"/>
    <s v="June"/>
    <x v="1"/>
    <n v="42"/>
    <s v="UCPdVC7w-AmZ6BGCoIoU1v3g"/>
    <x v="6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788496"/>
    <n v="17035"/>
    <n v="55"/>
    <n v="4.5110249555496426E-3"/>
    <n v="11"/>
    <x v="0"/>
  </r>
  <r>
    <x v="220"/>
    <x v="215"/>
    <s v="Broken Tracks Repair #mobilerepair #technology _x000a_#e..."/>
    <x v="220"/>
    <x v="8"/>
    <n v="2025"/>
    <s v="June"/>
    <x v="1"/>
    <n v="37"/>
    <s v="UCccExinXJkC9aQHROcCizaQ"/>
    <x v="90"/>
    <s v="['Broken Tracks Repair #mobilerepair #technology', 'how to repair broken tracks', 'broken tracks repair', 'broken tracks repairing', 'how to repair damage supply', 'how to repair broken damage soldering pads', 'broken soldering joints', 'broken motherboard tracks', 'broken trace', 'broken trace repair', 'mobile repair', 'mobile repairing', 'mobile repairing course', 'electronics', 'soldering', 'desoldering', 'jumper', 'tracks repairing via jumper', 'micro jumper', 'micro soldering', 'solder mask', 'uv solder mask']"/>
    <n v="28"/>
    <x v="0"/>
    <n v="55101"/>
    <n v="1147"/>
    <n v="10"/>
    <n v="2.0997804032594689E-2"/>
    <n v="57"/>
    <x v="0"/>
  </r>
  <r>
    <x v="221"/>
    <x v="216"/>
    <s v="ðŸ”— You can find the product on: https://mavigadg..."/>
    <x v="221"/>
    <x v="187"/>
    <n v="2022"/>
    <s v="October"/>
    <x v="5"/>
    <n v="1000"/>
    <s v="UCJfNJmcv6LXCDsaa2kB_-7A"/>
    <x v="15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45651610"/>
    <n v="539531"/>
    <n v="1131"/>
    <n v="1.1843218672901131E-2"/>
    <n v="11"/>
    <x v="0"/>
  </r>
  <r>
    <x v="222"/>
    <x v="217"/>
    <s v="Elon Musk AI Robots  is a YouTube Channel That Mak..."/>
    <x v="222"/>
    <x v="188"/>
    <n v="2025"/>
    <s v="January"/>
    <x v="12"/>
    <n v="196"/>
    <s v="UCmpFo9yFL9gOdS1PXWc7ong"/>
    <x v="154"/>
    <s v="['Elon Musk', 'viral', 'viral video', 'ai', 'artificial intelligence', 'robot', '#Tesla', 'Tesla', '#ElonMusk', 'shorts', '#shorts']"/>
    <n v="28"/>
    <x v="0"/>
    <n v="2579189"/>
    <n v="34586"/>
    <n v="1354"/>
    <n v="1.393461277944346E-2"/>
    <n v="11"/>
    <x v="0"/>
  </r>
  <r>
    <x v="223"/>
    <x v="218"/>
    <s v="No description available"/>
    <x v="223"/>
    <x v="139"/>
    <n v="2024"/>
    <s v="November"/>
    <x v="32"/>
    <n v="241"/>
    <s v="UC8SFy66JbVwPcYhvplWPm1g"/>
    <x v="13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968028"/>
    <n v="217464.60837887001"/>
    <n v="319"/>
    <n v="4.3837033200873669E-2"/>
    <n v="53"/>
    <x v="0"/>
  </r>
  <r>
    <x v="224"/>
    <x v="219"/>
    <s v="No description available"/>
    <x v="224"/>
    <x v="189"/>
    <n v="2024"/>
    <s v="November"/>
    <x v="32"/>
    <n v="267"/>
    <s v="UCvo2tOQ0yDJLFRi7QAt58yA"/>
    <x v="8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0906587"/>
    <n v="998999"/>
    <n v="620"/>
    <n v="1.9636339006580818E-2"/>
    <n v="53"/>
    <x v="0"/>
  </r>
  <r>
    <x v="225"/>
    <x v="220"/>
    <s v="2 Khatarnak Phone Gadgets Comparison #shorts  #gad..."/>
    <x v="225"/>
    <x v="190"/>
    <n v="2023"/>
    <s v="April"/>
    <x v="16"/>
    <n v="821"/>
    <s v="UCglXlpWjIi95auM3umWWLdw"/>
    <x v="84"/>
    <s v="['GADGETS', 'shorts', 'tech master shorts', '#short', 'smartphone setting', 'smartphone', 'comedy', 'tips', 'mobile', 'tricks', 'india', 'friends', 'friend', 'android', 'prank', 'WORLDS BEST']"/>
    <n v="28"/>
    <x v="0"/>
    <n v="11344336"/>
    <n v="660990"/>
    <n v="577"/>
    <n v="5.8316943362749479E-2"/>
    <n v="46"/>
    <x v="0"/>
  </r>
  <r>
    <x v="226"/>
    <x v="221"/>
    <s v="No description available"/>
    <x v="226"/>
    <x v="191"/>
    <n v="2025"/>
    <s v="June"/>
    <x v="1"/>
    <n v="54"/>
    <s v="UCuFkA1HPWVD0mXl8o1uBZzA"/>
    <x v="15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74402"/>
    <n v="13252"/>
    <n v="240"/>
    <n v="2.844001500836843E-2"/>
    <n v="47"/>
    <x v="0"/>
  </r>
  <r>
    <x v="227"/>
    <x v="222"/>
    <s v="Detachable Aeroplane technology! #science #facts _x000a_..."/>
    <x v="227"/>
    <x v="192"/>
    <n v="2024"/>
    <s v="September"/>
    <x v="7"/>
    <n v="314"/>
    <s v="UCFJW46vi9NiBePRa92C4oNQ"/>
    <x v="156"/>
    <s v="['detachable aeroplane technology', 'ukraine technology', 'detachable aeroplane', 'aeroplane', 'detachable aeroplane cabin', 'detachable airplane technology', 'airplane detachable cabin parachute', 'innovation', 'science', 'facts', 'technology', 'tech', 'vigyan mitra', 'shorts', 'detachable plane technology', 'parachute', 'airbus', 'safety', 'simulator', 'plane crash landing', 'plane crash', 'aircraft emergency', 'aircraft emergency landing', 'aviation', 'ukranian engineer', 'plane', 'detachable cabin plane']"/>
    <n v="28"/>
    <x v="0"/>
    <n v="9205405"/>
    <n v="350130"/>
    <n v="4425"/>
    <n v="3.8515958830708699E-2"/>
    <n v="52"/>
    <x v="0"/>
  </r>
  <r>
    <x v="228"/>
    <x v="223"/>
    <s v="Unitree's G1 humanoid robot can be seen running, w..."/>
    <x v="228"/>
    <x v="193"/>
    <n v="2025"/>
    <s v="February"/>
    <x v="15"/>
    <n v="173"/>
    <s v="UCOmcA3f_RrH6b9NmcNa4tdg"/>
    <x v="157"/>
    <s v="['CNET', 'Technology', 'tech', 'Tech Devices']"/>
    <n v="28"/>
    <x v="0"/>
    <n v="469748"/>
    <n v="17219"/>
    <n v="1011"/>
    <n v="3.8808041758559911E-2"/>
    <n v="45"/>
    <x v="0"/>
  </r>
  <r>
    <x v="229"/>
    <x v="224"/>
    <s v="Here are the Best Gadgets at CES 2025 that will ma..."/>
    <x v="229"/>
    <x v="188"/>
    <n v="2025"/>
    <s v="January"/>
    <x v="12"/>
    <n v="196"/>
    <s v="UCqjVP9gAanUGFgTA5BRDvyA"/>
    <x v="158"/>
    <s v="['howtomen', 'CES', 'CES 2025', 'CES 2025 smart home', 'CES 2025 tech', 'CES 2025 best tech']"/>
    <n v="26"/>
    <x v="8"/>
    <n v="488542"/>
    <n v="7253"/>
    <n v="154"/>
    <n v="1.5161439548697963E-2"/>
    <n v="813"/>
    <x v="1"/>
  </r>
  <r>
    <x v="230"/>
    <x v="225"/>
    <s v="Top - 3 Amazing Gadgets For Home_x000a_ 3 Most Amazing G..."/>
    <x v="230"/>
    <x v="48"/>
    <n v="2024"/>
    <s v="July"/>
    <x v="3"/>
    <n v="375"/>
    <s v="UCVqI2QpteQwPCpIp0KKi0Tw"/>
    <x v="73"/>
    <s v="['Top - 3 Amazing Gadgets For Home', '3 Most Amazing Gadgets for home', 'Amazing Usefull Gadgets For Home', 'Best Home Gadgets', 'Top - 3 Amazing Home Gadgets', 'Top - 3 Awesome Gadgets for Home', 'Home Gadgets', 'Top - 3 Amazing Usefull Home Gadgets', 'Top - 3 Amazing Invention for Home', 'Top - 3 Awesome Invention For Home', 'Gadgets For Home', 'Tech Gadgets for Home', 'Gadget', 'Ghar ke liye Gajab ke Gadgets', 'Comedy', 'funny']"/>
    <n v="23"/>
    <x v="7"/>
    <n v="19605319"/>
    <n v="217464.60837887001"/>
    <n v="333"/>
    <n v="1.1109108113918983E-2"/>
    <n v="23"/>
    <x v="0"/>
  </r>
  <r>
    <x v="231"/>
    <x v="226"/>
    <s v="Rs.1,50,000 Vs Rs.10,000 Phone Display #shorts #ga..."/>
    <x v="231"/>
    <x v="194"/>
    <n v="2024"/>
    <s v="October"/>
    <x v="22"/>
    <n v="276"/>
    <s v="UCBbeXVY55K5estTHrKWJ5Yg"/>
    <x v="15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873293"/>
    <n v="111109"/>
    <n v="116"/>
    <n v="5.9374054138888042E-2"/>
    <n v="47"/>
    <x v="0"/>
  </r>
  <r>
    <x v="232"/>
    <x v="227"/>
    <s v="Disclaimer._x000a_Copyright Disclaimer Under Section 107..."/>
    <x v="232"/>
    <x v="68"/>
    <n v="2024"/>
    <s v="October"/>
    <x v="22"/>
    <n v="295"/>
    <s v="UCVlPnnIxBysk2x0wEPtE1Zw"/>
    <x v="160"/>
    <s v="['sigma', 'sigma sir', 'sigma math', 'sigma reel', 'physical', 'physics', 'physically', 'magic', 'science', 'education', 'Albert Einstein', 'knolage', 'iq', 'science test', 'test', 'gaming', 'ff', 'natok', 'news', 'movie', 'science and technology', 'technology', 'technical science']"/>
    <n v="28"/>
    <x v="0"/>
    <n v="19605872"/>
    <n v="243923"/>
    <n v="305"/>
    <n v="1.2456880265259306E-2"/>
    <n v="35"/>
    <x v="0"/>
  </r>
  <r>
    <x v="233"/>
    <x v="228"/>
    <s v="No description available"/>
    <x v="233"/>
    <x v="195"/>
    <n v="2025"/>
    <s v="February"/>
    <x v="15"/>
    <n v="174"/>
    <s v="UChvzFAyWyofbidb7Mh3WMZw"/>
    <x v="4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7999"/>
    <n v="1233"/>
    <n v="5"/>
    <n v="8.9710795005760909E-3"/>
    <n v="11"/>
    <x v="0"/>
  </r>
  <r>
    <x v="234"/>
    <x v="229"/>
    <s v="Pre-Historic Megastructures eBook: https://univers..."/>
    <x v="234"/>
    <x v="60"/>
    <n v="2024"/>
    <s v="March"/>
    <x v="9"/>
    <n v="492"/>
    <s v="UCOnnmKlDZltHAqJLz-XIpGA"/>
    <x v="161"/>
    <s v="['ancient egyptian technology and inventions', 'ancient egyptian technology', 'ancient civilizations', 'egypt', 'ancient egypt', 'schist disk', 'serapeum of saqqara', 'abu ghurab', 'giza', 'ancient history', 'pyramids', 'pyramid of giza', 'graham hancock', 'brien foerster', 'unchartedx', 'elephantine island', 'karnak', 'dendera temple', 'dendera light']"/>
    <n v="24"/>
    <x v="3"/>
    <n v="4563378"/>
    <n v="51706"/>
    <n v="6044"/>
    <n v="1.2655098920142053E-2"/>
    <n v="58"/>
    <x v="0"/>
  </r>
  <r>
    <x v="235"/>
    <x v="230"/>
    <s v="This Technology Can Save Plane Crashes_x000a__x000a_Imagine a ..."/>
    <x v="235"/>
    <x v="134"/>
    <n v="2025"/>
    <s v="June"/>
    <x v="1"/>
    <n v="39"/>
    <s v="UCEGWWnTvwDC94_jn8xYQRkw"/>
    <x v="16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790741"/>
    <n v="217464.60837887001"/>
    <n v="165"/>
    <n v="0.12153047725989967"/>
    <n v="31"/>
    <x v="0"/>
  </r>
  <r>
    <x v="236"/>
    <x v="93"/>
    <s v="#led #remote #circuit #shorts #ytshorts #short #yo..."/>
    <x v="236"/>
    <x v="196"/>
    <n v="2024"/>
    <s v="April"/>
    <x v="37"/>
    <n v="454"/>
    <s v="UCfBq1NGgEepzrSqiJ_OUffQ"/>
    <x v="16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614790"/>
    <n v="44855"/>
    <n v="200"/>
    <n v="1.2464071218521685E-2"/>
    <n v="9"/>
    <x v="0"/>
  </r>
  <r>
    <x v="237"/>
    <x v="231"/>
    <s v="50 Cent - Ayo Technology (Lyrics) ft. Justin Timbe..."/>
    <x v="237"/>
    <x v="197"/>
    <n v="2022"/>
    <s v="November"/>
    <x v="2"/>
    <n v="972"/>
    <s v="UC4JUzmhmiGmPl7uzLpzODyw"/>
    <x v="164"/>
    <s v="['50 Cent', 'Ayo Technology', 'Justin Timberlake', '50 cent ayo technology', 'Lyrics']"/>
    <n v="24"/>
    <x v="3"/>
    <n v="484094"/>
    <n v="4989"/>
    <n v="180"/>
    <n v="1.0677678302147929E-2"/>
    <n v="280"/>
    <x v="1"/>
  </r>
  <r>
    <x v="238"/>
    <x v="232"/>
    <s v="In the 90s and 2000s, technology was exciting and ..."/>
    <x v="238"/>
    <x v="198"/>
    <n v="2025"/>
    <s v="February"/>
    <x v="15"/>
    <n v="175"/>
    <s v="UCVSeCkn_4KUguSRFxS4YU3w"/>
    <x v="165"/>
    <s v="['the downfall of technology', 'apple', 'imac', 'microsoft', 'windows xp', 'windows 95', 'frutiger aero', 'the lost novelty of technology']"/>
    <n v="24"/>
    <x v="3"/>
    <n v="481501"/>
    <n v="29016"/>
    <n v="2453"/>
    <n v="6.5356042874261944E-2"/>
    <n v="908"/>
    <x v="1"/>
  </r>
  <r>
    <x v="239"/>
    <x v="54"/>
    <s v="There are 3 types of Â artificial intelligenceÂ (A..."/>
    <x v="239"/>
    <x v="199"/>
    <n v="2022"/>
    <s v="June"/>
    <x v="39"/>
    <n v="1128"/>
    <s v="UCv-OBAd6y1GeNK1Qx1aaJjg"/>
    <x v="166"/>
    <s v="['artificialintellience', 'ai', 'technology', 'tech', 'web', 'innovation']"/>
    <n v="27"/>
    <x v="2"/>
    <n v="627065"/>
    <n v="24194"/>
    <n v="100"/>
    <n v="3.8742395126502037E-2"/>
    <n v="51"/>
    <x v="0"/>
  </r>
  <r>
    <x v="240"/>
    <x v="233"/>
    <s v="In this videos you can see,Â Generates electricity..."/>
    <x v="240"/>
    <x v="200"/>
    <n v="2025"/>
    <s v="January"/>
    <x v="12"/>
    <n v="181"/>
    <s v="UCnrGU9pNN5t7nMdDc2etrRA"/>
    <x v="1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2850697"/>
    <n v="82138"/>
    <n v="26"/>
    <n v="6.3937387987593203E-3"/>
    <n v="5"/>
    <x v="0"/>
  </r>
  <r>
    <x v="241"/>
    <x v="234"/>
    <s v="Disgusting Alienware laptop is overheating and nee..."/>
    <x v="241"/>
    <x v="201"/>
    <n v="2024"/>
    <s v="August"/>
    <x v="8"/>
    <n v="342"/>
    <s v="UCClfFsWcT3N2I7VTXXyt84A"/>
    <x v="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4872214"/>
    <n v="691043"/>
    <n v="3365"/>
    <n v="4.6691635825035868E-2"/>
    <n v="60"/>
    <x v="0"/>
  </r>
  <r>
    <x v="242"/>
    <x v="235"/>
    <s v="#shorts #short #edit #trending #viralvideo #funny ..."/>
    <x v="242"/>
    <x v="202"/>
    <n v="2025"/>
    <s v="January"/>
    <x v="12"/>
    <n v="189"/>
    <s v="UCy32E1WycOEwPf9bGA7X6WA"/>
    <x v="16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7617013"/>
    <n v="328891"/>
    <n v="5280"/>
    <n v="4.3871659402445549E-2"/>
    <n v="28"/>
    <x v="0"/>
  </r>
  <r>
    <x v="243"/>
    <x v="236"/>
    <s v="No description available"/>
    <x v="243"/>
    <x v="1"/>
    <n v="2025"/>
    <s v="June"/>
    <x v="1"/>
    <n v="38"/>
    <s v="UCxVNTYSYaBXIqhhEURbYZLA"/>
    <x v="16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2808"/>
    <n v="5188"/>
    <n v="116"/>
    <n v="7.2849137457422261E-2"/>
    <n v="98"/>
    <x v="1"/>
  </r>
  <r>
    <x v="244"/>
    <x v="237"/>
    <s v="No description available"/>
    <x v="244"/>
    <x v="203"/>
    <n v="2021"/>
    <s v="September"/>
    <x v="41"/>
    <n v="1402"/>
    <s v="UCj3YnPuhaNVwCuPpUTFqWRg"/>
    <x v="16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147649"/>
    <n v="29710"/>
    <n v="1004"/>
    <n v="2.6762538023385199E-2"/>
    <n v="6"/>
    <x v="0"/>
  </r>
  <r>
    <x v="245"/>
    <x v="238"/>
    <s v="#shorts #apple #technology _x000a__x000a_I spend a LOT of time..."/>
    <x v="245"/>
    <x v="204"/>
    <n v="2023"/>
    <s v="March"/>
    <x v="38"/>
    <n v="860"/>
    <s v="UCMiJRAwDNSNzuYeN2uWa0pA"/>
    <x v="0"/>
    <s v="['apple', 'iphone', 'watch', 'shorts']"/>
    <n v="28"/>
    <x v="0"/>
    <n v="7739835"/>
    <n v="450070"/>
    <n v="1105"/>
    <n v="5.8292586340664886E-2"/>
    <n v="48"/>
    <x v="0"/>
  </r>
  <r>
    <x v="246"/>
    <x v="239"/>
    <s v="ðŸ˜‚ðŸ˜‚ðŸ˜‚vivo zoom ðŸ˜‚ðŸ˜‚ðŸ˜‚ #technology #sm..."/>
    <x v="246"/>
    <x v="177"/>
    <n v="2025"/>
    <s v="June"/>
    <x v="1"/>
    <n v="42"/>
    <s v="UCUxofTiQ3P1iC1lhuZW-KBQ"/>
    <x v="17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067"/>
    <n v="12"/>
    <n v="0"/>
    <n v="1.1246485473289597E-2"/>
    <n v="27"/>
    <x v="0"/>
  </r>
  <r>
    <x v="247"/>
    <x v="240"/>
    <s v="Link: âž¡ï¸ https://bit.ly/4dvnuqB_x000a_#PLAUDAchieve2..."/>
    <x v="247"/>
    <x v="205"/>
    <n v="2024"/>
    <s v="May"/>
    <x v="11"/>
    <n v="430"/>
    <s v="UCsTcErHg8oDvUnTzoqsYeNw"/>
    <x v="17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812649"/>
    <n v="71088"/>
    <n v="995"/>
    <n v="3.9766661940618397E-2"/>
    <n v="60"/>
    <x v="0"/>
  </r>
  <r>
    <x v="248"/>
    <x v="241"/>
    <s v="High voltage converts low voltage method | transfo..."/>
    <x v="248"/>
    <x v="65"/>
    <n v="2024"/>
    <s v="December"/>
    <x v="4"/>
    <n v="218"/>
    <s v="UCHg5YSsWMajbHHga3lcXywg"/>
    <x v="17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656374"/>
    <n v="4136"/>
    <n v="30"/>
    <n v="6.3469911970919016E-3"/>
    <n v="9"/>
    <x v="0"/>
  </r>
  <r>
    <x v="249"/>
    <x v="242"/>
    <s v="From December 2023, Scott Pelleyâ€™s report on qua..."/>
    <x v="249"/>
    <x v="206"/>
    <n v="2024"/>
    <s v="May"/>
    <x v="11"/>
    <n v="426"/>
    <s v="UCsN32BtMd0IoByjJRNF12cw"/>
    <x v="173"/>
    <s v="['60 minutes', 'cbs news', 'flying cars', 'artificial intelligence', '60 minutes quantum computing', 'artificial intelligence explained', 'quantum computing', 'evtols', 'carbon capture', 'technology', 'nuclear fusion', 'nvidia', 'chatgpt', 'openai', 'supersonic flight', 'wind power', 'hvac']"/>
    <n v="28"/>
    <x v="0"/>
    <n v="4944688"/>
    <n v="38775"/>
    <n v="2280"/>
    <n v="8.3028494416634586E-3"/>
    <n v="68"/>
    <x v="1"/>
  </r>
  <r>
    <x v="250"/>
    <x v="243"/>
    <s v="Samsung Vs iPhone à¤•à¥Œà¤¨à¤¸à¤¾ à¤¹à¥‹à¤¤à¤¾ à¤¹..."/>
    <x v="250"/>
    <x v="207"/>
    <n v="2024"/>
    <s v="January"/>
    <x v="6"/>
    <n v="544"/>
    <s v="UCglXlpWjIi95auM3umWWLdw"/>
    <x v="84"/>
    <s v="['tech master', 'shorts', 'technology', 'facts', 'apple', 'iphone', 'charging competition', 'fast charger', 'samsung', 's24ultra', 'iphone15pro max', 'fun', 'tech with fun', 'tech boy', 'viral shorts', 'Samsung Vs iPhone', 'daily shorts', 'funny']"/>
    <n v="28"/>
    <x v="0"/>
    <n v="98602873"/>
    <n v="2964109"/>
    <n v="14876"/>
    <n v="3.0211949300909317E-2"/>
    <n v="59"/>
    <x v="0"/>
  </r>
  <r>
    <x v="251"/>
    <x v="244"/>
    <s v="#gadjets_x000a_#tech_x000a_#anitech_x000a_#technology"/>
    <x v="251"/>
    <x v="208"/>
    <n v="2025"/>
    <s v="June"/>
    <x v="1"/>
    <n v="43"/>
    <s v="UChNDZkwOHEYwm5uVycADEdQ"/>
    <x v="17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9674"/>
    <n v="99"/>
    <n v="1"/>
    <n v="2.520542420728941E-3"/>
    <n v="11"/>
    <x v="0"/>
  </r>
  <r>
    <x v="252"/>
    <x v="245"/>
    <s v="No description available"/>
    <x v="252"/>
    <x v="164"/>
    <n v="2025"/>
    <s v="June"/>
    <x v="1"/>
    <n v="40"/>
    <s v="UCSBdEbYSaUasWOye_oAD68g"/>
    <x v="17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722"/>
    <n v="23"/>
    <n v="1"/>
    <n v="5.0825921219822112E-3"/>
    <n v="19"/>
    <x v="0"/>
  </r>
  <r>
    <x v="253"/>
    <x v="246"/>
    <s v="Universal Pull Plate #Agricultural #Machinery #sma..."/>
    <x v="253"/>
    <x v="209"/>
    <n v="2023"/>
    <s v="July"/>
    <x v="19"/>
    <n v="737"/>
    <s v="UCJNkXoq1G_veJrMf7lBoqZg"/>
    <x v="17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2466362"/>
    <n v="121015"/>
    <n v="128"/>
    <n v="5.3921947843625058E-3"/>
    <n v="11"/>
    <x v="0"/>
  </r>
  <r>
    <x v="254"/>
    <x v="247"/>
    <s v="No description available"/>
    <x v="254"/>
    <x v="210"/>
    <n v="2025"/>
    <s v="March"/>
    <x v="23"/>
    <n v="144"/>
    <s v="UCt22Df5wpyliVvk_Z5bllyA"/>
    <x v="17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321055"/>
    <n v="20135"/>
    <n v="1732"/>
    <n v="9.421146849169882E-3"/>
    <n v="8"/>
    <x v="0"/>
  </r>
  <r>
    <x v="255"/>
    <x v="248"/>
    <s v="No description available"/>
    <x v="255"/>
    <x v="137"/>
    <n v="2025"/>
    <s v="April"/>
    <x v="14"/>
    <n v="97"/>
    <s v="UCzRzCoTb6oVfzdQLmj1G6bA"/>
    <x v="17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37919"/>
    <n v="3310"/>
    <n v="10"/>
    <n v="7.5813106990105473E-3"/>
    <n v="12"/>
    <x v="0"/>
  </r>
  <r>
    <x v="256"/>
    <x v="249"/>
    <s v="Gadgets_x000a_Top 3 gadgets_x000a_Cool gadgets_x000a_iPhone_x000a_review _x000a_..."/>
    <x v="256"/>
    <x v="172"/>
    <n v="2024"/>
    <s v="August"/>
    <x v="8"/>
    <n v="336"/>
    <s v="UC4wjmqUx2k-eJ9msvMqfJUQ"/>
    <x v="179"/>
    <s v="['shorts', 'unboxing', 'gadgets', 'amazing gadgets', 'new gadgets', 'gadgets shorts', 'unboxing shorts', 'gadgets unboxing']"/>
    <n v="24"/>
    <x v="3"/>
    <n v="10272791"/>
    <n v="158166"/>
    <n v="97"/>
    <n v="1.5406037171397725E-2"/>
    <n v="19"/>
    <x v="0"/>
  </r>
  <r>
    <x v="257"/>
    <x v="250"/>
    <s v="No description available"/>
    <x v="257"/>
    <x v="211"/>
    <n v="2024"/>
    <s v="March"/>
    <x v="9"/>
    <n v="482"/>
    <s v="UCPkqxAYERgOelFbkinB3yyQ"/>
    <x v="18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136061"/>
    <n v="217464.60837887001"/>
    <n v="87"/>
    <n v="4.2357676121617324E-2"/>
    <n v="18"/>
    <x v="0"/>
  </r>
  <r>
    <x v="258"/>
    <x v="251"/>
    <s v="No description available"/>
    <x v="258"/>
    <x v="4"/>
    <n v="2024"/>
    <s v="December"/>
    <x v="4"/>
    <n v="216"/>
    <s v="UCtGAMwX23814n7XXa9gpBUA"/>
    <x v="18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13043462"/>
    <n v="217464.60837887001"/>
    <n v="15220"/>
    <n v="1.7839175548552216E-2"/>
    <n v="34"/>
    <x v="0"/>
  </r>
  <r>
    <x v="259"/>
    <x v="252"/>
    <s v="High voltage speaker reaction #project #experiment..."/>
    <x v="259"/>
    <x v="212"/>
    <n v="2025"/>
    <s v="April"/>
    <x v="14"/>
    <n v="90"/>
    <s v="UCHg5YSsWMajbHHga3lcXywg"/>
    <x v="17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489636"/>
    <n v="217464.60837887001"/>
    <n v="27"/>
    <n v="3.9618584616333399E-2"/>
    <n v="12"/>
    <x v="0"/>
  </r>
  <r>
    <x v="260"/>
    <x v="253"/>
    <s v="23 Cool Gadgets And Inventions ( 2025 ) You Can Bu..."/>
    <x v="260"/>
    <x v="213"/>
    <n v="2025"/>
    <s v="April"/>
    <x v="14"/>
    <n v="108"/>
    <s v="UC17Uwo5BkSTtGVbOkywJ7_Q"/>
    <x v="128"/>
    <s v="['Future Tech', 'Gadgets Under', 'cool gadgets', 'technology', 'tech under', 'under $25', 'new gadgets', 'gadgets on amazon', 'new gadgets on amazon', 'amazon gadgets', 'latest gadgets', 'cheapest gadgets', 'unique gadgets', 'amazon', 'cool gadgets on amazon india', 'gadget under rs 1000', 'gadgets under 500 rs', 'under 500 rs gadgets', 'new tech gadget', 'best gadgets', 'gadgets 2025', 'best tech gifts 2025', '2025', 'gifts', 'gifts 2025', 'under 50 dollars', 'gifts on amazon', 'tech gifts 2025', 'Google Pixel 9A', 'Pixel 9A']"/>
    <n v="28"/>
    <x v="0"/>
    <n v="52760"/>
    <n v="638"/>
    <n v="17"/>
    <n v="1.2414708112206217E-2"/>
    <n v="1188"/>
    <x v="1"/>
  </r>
  <r>
    <x v="261"/>
    <x v="88"/>
    <s v="technology âŒ Technologia âœ… _x000a_Free fire new tric..."/>
    <x v="261"/>
    <x v="214"/>
    <n v="2025"/>
    <s v="June"/>
    <x v="1"/>
    <n v="55"/>
    <s v="UCGuLe_kKT-j9wtCw5Ttp5pw"/>
    <x v="182"/>
    <s v="['Technology âŒ Technologia âœ…', 'Free fire new trick ðŸ˜Ž', 'free fire new place', 'new hidden place in br rank', 'new trending video in youtube', 'like target 1000000000 please complete', 'shortsfeed video']"/>
    <n v="20"/>
    <x v="10"/>
    <n v="43508"/>
    <n v="217464.60837887001"/>
    <n v="26"/>
    <n v="4.9988647692118695"/>
    <n v="14"/>
    <x v="0"/>
  </r>
  <r>
    <x v="262"/>
    <x v="254"/>
    <s v="No description available"/>
    <x v="262"/>
    <x v="94"/>
    <n v="2025"/>
    <s v="June"/>
    <x v="1"/>
    <n v="36"/>
    <s v="UC6aGUUSw66uqr67cTHT7_6g"/>
    <x v="18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4481"/>
    <n v="899"/>
    <n v="362"/>
    <n v="8.7079621573095775E-2"/>
    <n v="43"/>
    <x v="0"/>
  </r>
  <r>
    <x v="263"/>
    <x v="255"/>
    <s v="Hello Everyone! This is video. I want to show you ..."/>
    <x v="263"/>
    <x v="215"/>
    <n v="2025"/>
    <s v="May"/>
    <x v="0"/>
    <n v="63"/>
    <s v="UCsbc-o8AGM07PjW5A4Rg58g"/>
    <x v="18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9029"/>
    <n v="97"/>
    <n v="2"/>
    <n v="1.0964669398604496E-2"/>
    <n v="59"/>
    <x v="0"/>
  </r>
  <r>
    <x v="264"/>
    <x v="256"/>
    <s v="No description available"/>
    <x v="264"/>
    <x v="216"/>
    <n v="2025"/>
    <s v="May"/>
    <x v="0"/>
    <n v="61"/>
    <s v="UC1mYZHH0EqtmDtZ4c0U_LNg"/>
    <x v="18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4007"/>
    <n v="217464.60837887001"/>
    <n v="1970.1447811447799"/>
    <n v="54.762853296734406"/>
    <n v="18"/>
    <x v="0"/>
  </r>
  <r>
    <x v="265"/>
    <x v="257"/>
    <s v="No description available"/>
    <x v="265"/>
    <x v="194"/>
    <n v="2024"/>
    <s v="October"/>
    <x v="22"/>
    <n v="276"/>
    <s v="UCIKlJ-xmsLSSNRjFidOS4Dw"/>
    <x v="18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327908"/>
    <n v="19296"/>
    <n v="82"/>
    <n v="5.9095843956231624E-2"/>
    <n v="58"/>
    <x v="0"/>
  </r>
  <r>
    <x v="266"/>
    <x v="258"/>
    <s v="22000 mAh battery à¤µà¤¾à¤²à¤¾ à¥žà¥‹à¤¨  ðŸ¤¯! Th..."/>
    <x v="266"/>
    <x v="217"/>
    <n v="2024"/>
    <s v="March"/>
    <x v="9"/>
    <n v="495"/>
    <s v="UCglXlpWjIi95auM3umWWLdw"/>
    <x v="84"/>
    <s v="['tech master', 'shorts', 'technology', 'facts', 'amazingtipsandtricks', 'arvind kharra', '22000 mah battery phone', '10000 mah battery phone', 'big battery phone', '22000 mah battery', '22000 mah big battery', 'doogee v max 22000 mah battery', 'best battery phone', '21000 mah battery phone', '22000 mAh smartphone', 'Unihertz Tank', 'Unihertz Tank camera test', 'Unihertz Tank review', 'best rugged phone', 'best rugged phone 2022', 'best rugged phones', 'best rugged phones 2022', 'best rugged smartphone 2022']"/>
    <n v="28"/>
    <x v="0"/>
    <n v="26062005"/>
    <n v="1256104"/>
    <n v="34913"/>
    <n v="4.9536365294995534E-2"/>
    <n v="41"/>
    <x v="0"/>
  </r>
  <r>
    <x v="267"/>
    <x v="259"/>
    <s v="No description available"/>
    <x v="267"/>
    <x v="1"/>
    <n v="2025"/>
    <s v="June"/>
    <x v="1"/>
    <n v="38"/>
    <s v="UCVLaRbKaPFM29W91sHhGtqQ"/>
    <x v="14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134"/>
    <n v="258"/>
    <n v="5"/>
    <n v="2.8793518721261221E-2"/>
    <n v="56"/>
    <x v="0"/>
  </r>
  <r>
    <x v="268"/>
    <x v="260"/>
    <s v="USB Fingerprint Reader - https://simpleghar.oia.bi..."/>
    <x v="268"/>
    <x v="218"/>
    <n v="2024"/>
    <s v="April"/>
    <x v="37"/>
    <n v="479"/>
    <s v="UC85MIJMcZNnhxx84BZMlJgg"/>
    <x v="18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3903145"/>
    <n v="458553"/>
    <n v="315"/>
    <n v="1.9196971779236582E-2"/>
    <n v="41"/>
    <x v="0"/>
  </r>
  <r>
    <x v="269"/>
    <x v="261"/>
    <s v="China ki drone technology short video #china #dron..."/>
    <x v="269"/>
    <x v="219"/>
    <n v="2025"/>
    <s v="January"/>
    <x v="12"/>
    <n v="200"/>
    <s v="UC2Dz_VQ7asHD0NxfgSkb8nw"/>
    <x v="188"/>
    <s v="['China ki drone technology short video', 'China ki technology short video', 'China mein drone se samaan export hota hai', 'China ki drone harvesting short video', 'Drone se fire ko bujhana short video', 'China ka drone short video', 'China india se kitne years aage hai', 'China india se kitna develop hai']"/>
    <n v="24"/>
    <x v="3"/>
    <n v="843703"/>
    <n v="7197"/>
    <n v="32"/>
    <n v="8.5681809831184667E-3"/>
    <n v="27"/>
    <x v="0"/>
  </r>
  <r>
    <x v="270"/>
    <x v="262"/>
    <s v="Trick and Tools ðŸ”¥ðŸ’¯ #karmanwalavoice #tricks ..."/>
    <x v="270"/>
    <x v="8"/>
    <n v="2025"/>
    <s v="June"/>
    <x v="1"/>
    <n v="37"/>
    <s v="UCQ42svzl9N_9kW2IxCWnJgQ"/>
    <x v="189"/>
    <s v="['short videos', 'shorts', 'trick', 'tips', 'technically', 'viral video']"/>
    <n v="10"/>
    <x v="5"/>
    <n v="18562"/>
    <n v="235"/>
    <n v="0"/>
    <n v="1.2660273677405453E-2"/>
    <n v="60"/>
    <x v="0"/>
  </r>
  <r>
    <x v="271"/>
    <x v="263"/>
    <s v="No description available"/>
    <x v="271"/>
    <x v="220"/>
    <n v="2023"/>
    <s v="August"/>
    <x v="42"/>
    <n v="708"/>
    <s v="UCsa7w3Kjl8CAbHPVoVQ903Q"/>
    <x v="19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3594615"/>
    <n v="1172467"/>
    <n v="2259"/>
    <n v="4.9787885922275059E-2"/>
    <n v="56"/>
    <x v="0"/>
  </r>
  <r>
    <x v="272"/>
    <x v="264"/>
    <s v="New technology ðŸ˜±ðŸ’¯_x000a__x000a__x000a__x000a_#shorts #sigma #viralvi..."/>
    <x v="272"/>
    <x v="94"/>
    <n v="2025"/>
    <s v="June"/>
    <x v="1"/>
    <n v="36"/>
    <s v="UCRH-AyRxYxGHkZM0fMS6pbQ"/>
    <x v="19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5439"/>
    <n v="217464.60837887001"/>
    <n v="0"/>
    <n v="39.982461551548077"/>
    <n v="23"/>
    <x v="0"/>
  </r>
  <r>
    <x v="273"/>
    <x v="265"/>
    <s v="Check out these cutting-edge humanoid robots devel..."/>
    <x v="273"/>
    <x v="83"/>
    <n v="2024"/>
    <s v="June"/>
    <x v="25"/>
    <n v="403"/>
    <s v="UCHBDXQDmqnaqIEPdEapEFVQ"/>
    <x v="19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292742"/>
    <n v="3238"/>
    <n v="210"/>
    <n v="1.1778289415253022E-2"/>
    <n v="15"/>
    <x v="0"/>
  </r>
  <r>
    <x v="274"/>
    <x v="266"/>
    <s v="how to change ordinary lights into dimming lights ..."/>
    <x v="274"/>
    <x v="177"/>
    <n v="2025"/>
    <s v="June"/>
    <x v="1"/>
    <n v="42"/>
    <s v="UCCVwh-Am8U1glUmo-2GC7KQ"/>
    <x v="193"/>
    <s v="['tecnology']"/>
    <n v="28"/>
    <x v="0"/>
    <n v="32737"/>
    <n v="452"/>
    <n v="2"/>
    <n v="1.3868100314628708E-2"/>
    <n v="24"/>
    <x v="0"/>
  </r>
  <r>
    <x v="275"/>
    <x v="267"/>
    <s v="Youâ€™re using Google Keep just for simple notes? ..."/>
    <x v="275"/>
    <x v="1"/>
    <n v="2025"/>
    <s v="June"/>
    <x v="1"/>
    <n v="38"/>
    <s v="UCW2s_zlmBQ0l848Y6wmOiag"/>
    <x v="19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164"/>
    <n v="426"/>
    <n v="2"/>
    <n v="4.6704495853339155E-2"/>
    <n v="59"/>
    <x v="0"/>
  </r>
  <r>
    <x v="276"/>
    <x v="268"/>
    <s v="No description available"/>
    <x v="276"/>
    <x v="221"/>
    <n v="2023"/>
    <s v="August"/>
    <x v="42"/>
    <n v="695"/>
    <s v="UCk0fGHsCEzGig-rSzkfCjMw"/>
    <x v="19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3648455"/>
    <n v="210341"/>
    <n v="785"/>
    <n v="5.7867234212838035E-2"/>
    <n v="44"/>
    <x v="0"/>
  </r>
  <r>
    <x v="277"/>
    <x v="269"/>
    <s v="Homemade trick to clean milletðŸ˜¯ #technology #mi..."/>
    <x v="277"/>
    <x v="10"/>
    <n v="2024"/>
    <s v="September"/>
    <x v="7"/>
    <n v="300"/>
    <s v="UCS6-5eBZmPcyKA64d7stkGA"/>
    <x v="196"/>
    <s v="['technology', 'farming', 'millet', 'agriculture', 'viral shorts', 'machine', 'bajra', 'crop', 'china farming', 'Desi jugaad']"/>
    <n v="27"/>
    <x v="2"/>
    <n v="14158160"/>
    <n v="217464.60837887001"/>
    <n v="52"/>
    <n v="1.536333876569201E-2"/>
    <n v="15"/>
    <x v="0"/>
  </r>
  <r>
    <x v="278"/>
    <x v="270"/>
    <s v="Can robots really give birth? ðŸ¤” In this futuris..."/>
    <x v="278"/>
    <x v="222"/>
    <n v="2025"/>
    <s v="March"/>
    <x v="23"/>
    <n v="129"/>
    <s v="UCkUDHpSP0xouVm5QNSJy9ew"/>
    <x v="19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4510330"/>
    <n v="144821"/>
    <n v="812"/>
    <n v="3.271892165256919E-3"/>
    <n v="8"/>
    <x v="0"/>
  </r>
  <r>
    <x v="279"/>
    <x v="271"/>
    <s v="Explore how technology has transformed over genera..."/>
    <x v="279"/>
    <x v="223"/>
    <n v="2024"/>
    <s v="September"/>
    <x v="7"/>
    <n v="325"/>
    <s v="UCejUC-szNB74PmyTfbnsF7w"/>
    <x v="198"/>
    <s v="['evolution of toyota rav4: journey through generati', 'generation of computer', 'generations of computer', 'technology', 'how many generations of computer', 'technology evolution', 'gaming technology evolution', '1st generation of computer', 'evolution of rav4', 'evolution of iphone 2017', 'evolution of iphone 2018', 'third generation of computer', 'generations of computers', 'evolution of computer', 'evolution of pc', 'evolution of redmi note series', 'evolution of iphone 2007 - 2018']"/>
    <n v="27"/>
    <x v="2"/>
    <n v="1249"/>
    <n v="23"/>
    <n v="1"/>
    <n v="1.9215372297838269E-2"/>
    <n v="45"/>
    <x v="0"/>
  </r>
  <r>
    <x v="280"/>
    <x v="272"/>
    <s v="#gadjets_x000a_#tech_x000a_#anitech_x000a_#technology"/>
    <x v="280"/>
    <x v="177"/>
    <n v="2025"/>
    <s v="June"/>
    <x v="1"/>
    <n v="42"/>
    <s v="UChNDZkwOHEYwm5uVycADEdQ"/>
    <x v="17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64733"/>
    <n v="173"/>
    <n v="0"/>
    <n v="2.6725163363354085E-3"/>
    <n v="10"/>
    <x v="0"/>
  </r>
  <r>
    <x v="281"/>
    <x v="273"/>
    <s v="No description available"/>
    <x v="281"/>
    <x v="0"/>
    <n v="2025"/>
    <s v="May"/>
    <x v="0"/>
    <n v="85"/>
    <s v="UCCvHbZc83KCQW0U_NGdNjuQ"/>
    <x v="19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984172"/>
    <n v="7121"/>
    <n v="16"/>
    <n v="7.2517811927183462E-3"/>
    <n v="10"/>
    <x v="0"/>
  </r>
  <r>
    <x v="282"/>
    <x v="274"/>
    <s v="No description available"/>
    <x v="282"/>
    <x v="177"/>
    <n v="2025"/>
    <s v="June"/>
    <x v="1"/>
    <n v="42"/>
    <s v="UCBdAR7RGd5JuivKZtToGlZg"/>
    <x v="20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743578"/>
    <n v="20716"/>
    <n v="13"/>
    <n v="4.3699081157725249E-3"/>
    <n v="15"/>
    <x v="0"/>
  </r>
  <r>
    <x v="283"/>
    <x v="184"/>
    <s v="Visor is the world's smallest 4K headset. Spawn fi..."/>
    <x v="283"/>
    <x v="224"/>
    <n v="2024"/>
    <s v="February"/>
    <x v="29"/>
    <n v="515"/>
    <s v="UCGmuLwV0XD_uqL4wKZg4hgA"/>
    <x v="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8819965"/>
    <n v="1181196"/>
    <n v="1229"/>
    <n v="1.5001592553358783E-2"/>
    <n v="17"/>
    <x v="0"/>
  </r>
  <r>
    <x v="284"/>
    <x v="275"/>
    <s v="No description available"/>
    <x v="284"/>
    <x v="225"/>
    <n v="2023"/>
    <s v="September"/>
    <x v="21"/>
    <n v="694"/>
    <s v="UCsa7w3Kjl8CAbHPVoVQ903Q"/>
    <x v="19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0581042"/>
    <n v="2466928"/>
    <n v="4655"/>
    <n v="4.0797961183962471E-2"/>
    <n v="56"/>
    <x v="0"/>
  </r>
  <r>
    <x v="285"/>
    <x v="276"/>
    <s v="TECHNOLOGIA FULL VIDEO 2025//SINGER AVINASH NAYAK/..."/>
    <x v="285"/>
    <x v="226"/>
    <n v="2025"/>
    <s v="May"/>
    <x v="0"/>
    <n v="77"/>
    <s v="UCq6WGTBoS9TCsmJ2WM1mNaw"/>
    <x v="201"/>
    <s v="['suman gupta', 'ignesh kumar', 'ddr crew', 'Kumar Satish New Nagpuri song', 'singer avinash nayak and anita bara', 'nagpuri hd video 2024', 'nagpuri hd video 2025', 'kon colour ki saree pahni ho singer nitesh kachhap', 'thar me ghumabu singer nitesh kachhap and chinta devi', 'meakup wali singer kumar satish', 'bijuriya singer avinash nayak and divya rani', 'ludu budu sag singer kumar satish', 'nagpuri song 2024', 'technologia full video 2025 singer avinash nayak']"/>
    <n v="24"/>
    <x v="3"/>
    <n v="5475121"/>
    <n v="61780"/>
    <n v="1286"/>
    <n v="1.1518649542174502E-2"/>
    <n v="268"/>
    <x v="1"/>
  </r>
  <r>
    <x v="286"/>
    <x v="277"/>
    <s v="in this video you will Explore the cutting-edge ad..."/>
    <x v="286"/>
    <x v="227"/>
    <n v="2023"/>
    <s v="December"/>
    <x v="26"/>
    <n v="591"/>
    <s v="UCzuZiFB6aO2XSLqd6GS1RdQ"/>
    <x v="202"/>
    <s v="['India vs Japan technology', 'Japan facts', 'car parking Japan', 'hydraulic car parking', 'train technology', 'Japan technology', 'Indian technology', 'India vs Japan tech competition', 'Japan advancements in Hindi']"/>
    <n v="27"/>
    <x v="2"/>
    <n v="127859"/>
    <n v="2306"/>
    <n v="6"/>
    <n v="1.8082418914585598E-2"/>
    <n v="29"/>
    <x v="0"/>
  </r>
  <r>
    <x v="287"/>
    <x v="278"/>
    <s v="Instagram : AdvikJourney _x000a_Follow For more videos â..."/>
    <x v="287"/>
    <x v="228"/>
    <n v="2024"/>
    <s v="October"/>
    <x v="22"/>
    <n v="291"/>
    <s v="UCVktkp1b1NLkdfjdZIBjIoA"/>
    <x v="203"/>
    <s v="['China', 'Wuhan', 'Technology', 'Shorts', 'Ytshorts', 'Viral video', 'Videos', 'China shorts', 'Ytshort', 'Short', 'China technology', 'Viral shorts', 'Insta Reels', 'Funny shorts', 'Indian in china', 'China vlogs', 'China hindi vlogs', 'Student life in china', 'China facts', 'Technology shorts', 'Chinese technology', 'Tech products', 'Funny video', 'China hindi vlog', 'Indian to china', 'Travel vlogs china', 'Lifestyle vlogs', 'Trends', 'Trending shorts', 'China funny video', 'Indian travel vlogger']"/>
    <n v="22"/>
    <x v="6"/>
    <n v="3007853"/>
    <n v="65075"/>
    <n v="204"/>
    <n v="2.1702855824403653E-2"/>
    <n v="10"/>
    <x v="0"/>
  </r>
  <r>
    <x v="288"/>
    <x v="279"/>
    <s v="Technology Meme Funny jokes funny video Original V..."/>
    <x v="288"/>
    <x v="130"/>
    <n v="2025"/>
    <s v="May"/>
    <x v="0"/>
    <n v="58"/>
    <s v="UCoflJIrme3fQltSEh0EdeLg"/>
    <x v="20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4001755"/>
    <n v="62505"/>
    <n v="294"/>
    <n v="1.5692864755588485E-2"/>
    <n v="16"/>
    <x v="0"/>
  </r>
  <r>
    <x v="289"/>
    <x v="280"/>
    <s v="Buying the BIGGEST smartphones, gadgets, iPhones, ..."/>
    <x v="289"/>
    <x v="229"/>
    <n v="2021"/>
    <s v="December"/>
    <x v="43"/>
    <n v="1330"/>
    <s v="UCMiJRAwDNSNzuYeN2uWa0pA"/>
    <x v="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9951447"/>
    <n v="451980"/>
    <n v="20106"/>
    <n v="2.366174242900778E-2"/>
    <n v="1153"/>
    <x v="1"/>
  </r>
  <r>
    <x v="290"/>
    <x v="281"/>
    <s v="A swirling vortex pulls a bottle through a drain a..."/>
    <x v="290"/>
    <x v="43"/>
    <n v="2025"/>
    <s v="June"/>
    <x v="1"/>
    <n v="50"/>
    <s v="UCEV-89cFprOKSNyaz7BhoIg"/>
    <x v="205"/>
    <s v="['#Technology', '#ScienceTrick', '#WaterVortex', '#DrainPhysics', '#SatisfyingVideo', '#Shorts', '#PhysicsHack', '#NatureVsTech', '#AmazingScience', '#BottleFlipGoneRight']"/>
    <n v="22"/>
    <x v="6"/>
    <n v="146570"/>
    <n v="560"/>
    <n v="5"/>
    <n v="3.8548133997407382E-3"/>
    <n v="12"/>
    <x v="0"/>
  </r>
  <r>
    <x v="291"/>
    <x v="282"/>
    <s v="Not sure how legal some of these are lol_x000a__x000a_Become a..."/>
    <x v="291"/>
    <x v="55"/>
    <n v="2025"/>
    <s v="May"/>
    <x v="0"/>
    <n v="65"/>
    <s v="UCWBWgCD4oAqT3hUeq40SCUw"/>
    <x v="4"/>
    <s v="['sambucha', 'sambuca', 'technology', 'tech', 'secret', 'government', 'FBI', 'education']"/>
    <n v="24"/>
    <x v="3"/>
    <n v="1087696"/>
    <n v="21642"/>
    <n v="2403"/>
    <n v="2.2106360600756093E-2"/>
    <n v="1245"/>
    <x v="1"/>
  </r>
  <r>
    <x v="292"/>
    <x v="283"/>
    <s v="Technologia free fireðŸ¤£ #technology #freefire #m..."/>
    <x v="292"/>
    <x v="212"/>
    <n v="2025"/>
    <s v="April"/>
    <x v="14"/>
    <n v="90"/>
    <s v="UCy9bz9gV_Qo0PD0dSDKEP7A"/>
    <x v="20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339484"/>
    <n v="2223"/>
    <n v="25"/>
    <n v="6.6218142828528004E-3"/>
    <n v="7"/>
    <x v="0"/>
  </r>
  <r>
    <x v="293"/>
    <x v="284"/>
    <s v="This budget Gaming PC is my customers very first c..."/>
    <x v="293"/>
    <x v="230"/>
    <n v="2024"/>
    <s v="March"/>
    <x v="9"/>
    <n v="489"/>
    <s v="UCClfFsWcT3N2I7VTXXyt84A"/>
    <x v="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6261022"/>
    <n v="445870"/>
    <n v="2741"/>
    <n v="7.1651401320742839E-2"/>
    <n v="61"/>
    <x v="1"/>
  </r>
  <r>
    <x v="294"/>
    <x v="285"/>
    <s v="technology technology ðŸ˜œðŸ˜‚ #comedy #shorts #sh..."/>
    <x v="294"/>
    <x v="154"/>
    <n v="2025"/>
    <s v="April"/>
    <x v="14"/>
    <n v="116"/>
    <s v="UC7_i0PTN3xVmwmaKBuaNQMg"/>
    <x v="207"/>
    <s v="['shorts', 'shorts feed', 'trending shorts', 'viral videos', 'viral shorts', 'trending video', 'comedy', 'comedy video', 'comedy shorts', 'ajit', 'ajit shorts', 'Ajit video', 'the crazy comedy', 'video', 'social media', 'social marketing', 'network marketing', 'youtube']"/>
    <n v="23"/>
    <x v="7"/>
    <n v="156792"/>
    <n v="217464.60837887001"/>
    <n v="20"/>
    <n v="1.3870899559854457"/>
    <n v="43"/>
    <x v="0"/>
  </r>
  <r>
    <x v="295"/>
    <x v="286"/>
    <s v="No description available"/>
    <x v="295"/>
    <x v="164"/>
    <n v="2025"/>
    <s v="June"/>
    <x v="1"/>
    <n v="40"/>
    <s v="UCrLeNvwFO5Xcvk6Q7BuuP_A"/>
    <x v="20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49056"/>
    <n v="2435"/>
    <n v="2"/>
    <n v="3.7546837252871862E-3"/>
    <n v="6"/>
    <x v="0"/>
  </r>
  <r>
    <x v="296"/>
    <x v="287"/>
    <s v="Technology âŽ Technologia âœ… #shorts #memes #fun..."/>
    <x v="296"/>
    <x v="231"/>
    <n v="2024"/>
    <s v="December"/>
    <x v="4"/>
    <n v="210"/>
    <s v="UCnqvoLwsaPiLbSAUusADdcw"/>
    <x v="209"/>
    <s v="['funny memes', 'memes', 'shorts', 'viral memes', 'best memes', 'trending memes', 'technology memes', 'dank memes', 'funny memes reaction', 'unusual memes', 'viral funny memes video', 'memes video', 'funny comedy memes video', 'funny tech memes', 'viral shorts', 'hilarious memes', 'omg funny memes', 'school memes', 'funny short video', 'viralmeme', 'new funny short video', 'gym shorts', 'memes reaction', 'short', 'memes compilation']"/>
    <n v="22"/>
    <x v="6"/>
    <n v="2707209"/>
    <n v="74116"/>
    <n v="714"/>
    <n v="2.7641013309279039E-2"/>
    <n v="13"/>
    <x v="0"/>
  </r>
  <r>
    <x v="297"/>
    <x v="288"/>
    <s v="My review of WWDC 2025! All the updates coming to ..."/>
    <x v="297"/>
    <x v="147"/>
    <n v="2025"/>
    <s v="June"/>
    <x v="1"/>
    <n v="46"/>
    <s v="UCMiJRAwDNSNzuYeN2uWa0pA"/>
    <x v="0"/>
    <s v="['wwdc', 'wwdc 25', 'wwdc 2025', 'ios 26', 'iphone', 'apple', 'mac os', 'ios', 'mac os 26']"/>
    <n v="28"/>
    <x v="0"/>
    <n v="2359964"/>
    <n v="76764"/>
    <n v="4946"/>
    <n v="3.4623409509636591E-2"/>
    <n v="1002"/>
    <x v="1"/>
  </r>
  <r>
    <x v="298"/>
    <x v="289"/>
    <s v="This video explains why certain stones can crack o..."/>
    <x v="298"/>
    <x v="8"/>
    <n v="2025"/>
    <s v="June"/>
    <x v="1"/>
    <n v="37"/>
    <s v="UCJAliJPtOljSberbNEnUF5A"/>
    <x v="21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2968"/>
    <n v="345"/>
    <n v="0"/>
    <n v="1.0464693035670953E-2"/>
    <n v="24"/>
    <x v="0"/>
  </r>
  <r>
    <x v="299"/>
    <x v="290"/>
    <s v="Apple Intelligence Delays are either no big deal o..."/>
    <x v="299"/>
    <x v="101"/>
    <n v="2025"/>
    <s v="March"/>
    <x v="23"/>
    <n v="119"/>
    <s v="UCBJycsmduvYEL83R_U4JriQ"/>
    <x v="211"/>
    <s v="['Apple AI', 'Apple Intelligence', 'MKBHD']"/>
    <n v="28"/>
    <x v="0"/>
    <n v="7339248"/>
    <n v="194778"/>
    <n v="14438"/>
    <n v="2.8506462787468143E-2"/>
    <n v="1012"/>
    <x v="1"/>
  </r>
  <r>
    <x v="300"/>
    <x v="291"/>
    <s v="Electric Crossing Gate â€¢ Dc Motor | #tech #short..."/>
    <x v="300"/>
    <x v="102"/>
    <n v="2025"/>
    <s v="January"/>
    <x v="12"/>
    <n v="182"/>
    <s v="UCWOWcJqL16b5ZK0bU-mO20A"/>
    <x v="212"/>
    <s v="['dc motor project', 'dc motor project easy', 'dc motor project free energy', 'Electric Crossing Gate', 'Dc Motor', 'shorts video', 'dc motor project shorts', 'dc motor project ideas']"/>
    <n v="28"/>
    <x v="0"/>
    <n v="20936016"/>
    <n v="217464.60837887001"/>
    <n v="24"/>
    <n v="1.0388251918553654E-2"/>
    <n v="6"/>
    <x v="0"/>
  </r>
  <r>
    <x v="301"/>
    <x v="292"/>
    <s v="Apple Vision Pro à¤¸à¤¬à¤¸à¥‡ à¤®à¤¹à¤‚à¤—à¤¾ à¤šà..."/>
    <x v="301"/>
    <x v="232"/>
    <n v="2024"/>
    <s v="February"/>
    <x v="29"/>
    <n v="535"/>
    <s v="UCglXlpWjIi95auM3umWWLdw"/>
    <x v="84"/>
    <s v="['tech master', 'shorts', 'technology', 'apple', 'visionpro', 'expensivegadget', 'new apple product', 'trending gadget', 'dubai', 'unboxing', 'fun tech', 'visionpro2024', 'apple product']"/>
    <n v="28"/>
    <x v="0"/>
    <n v="4473021"/>
    <n v="257456"/>
    <n v="406"/>
    <n v="5.764828736551874E-2"/>
    <n v="51"/>
    <x v="0"/>
  </r>
  <r>
    <x v="302"/>
    <x v="293"/>
    <s v="No description available"/>
    <x v="302"/>
    <x v="233"/>
    <n v="2024"/>
    <s v="April"/>
    <x v="37"/>
    <n v="469"/>
    <s v="UCB2VRihXTrkzL5ifI1BlPVw"/>
    <x v="21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8700120"/>
    <n v="217464.60837887001"/>
    <n v="1460"/>
    <n v="7.6280032410620587E-3"/>
    <n v="14"/>
    <x v="0"/>
  </r>
  <r>
    <x v="303"/>
    <x v="294"/>
    <s v="Explore the fascinating world of engineering and m..."/>
    <x v="303"/>
    <x v="94"/>
    <n v="2025"/>
    <s v="June"/>
    <x v="1"/>
    <n v="36"/>
    <s v="UC-4Jx7yjLemePx2JFN9UbyA"/>
    <x v="21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76"/>
    <n v="2"/>
    <n v="0"/>
    <n v="4.2016806722689074E-3"/>
    <n v="20"/>
    <x v="0"/>
  </r>
  <r>
    <x v="304"/>
    <x v="295"/>
    <s v="No description available"/>
    <x v="304"/>
    <x v="181"/>
    <n v="2022"/>
    <s v="August"/>
    <x v="40"/>
    <n v="1076"/>
    <s v="UCOvOXLATfCrOJmAYaO4mRBA"/>
    <x v="11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
    <x v="11"/>
    <n v="4006570"/>
    <n v="45260"/>
    <n v="184"/>
    <n v="1.13423701570171E-2"/>
    <n v="12"/>
    <x v="0"/>
  </r>
  <r>
    <x v="305"/>
    <x v="296"/>
    <s v="ðŸ‘‰ Grab your free seat to the 2-Day AI Mastermin..."/>
    <x v="305"/>
    <x v="143"/>
    <n v="2025"/>
    <s v="June"/>
    <x v="1"/>
    <n v="44"/>
    <s v="UCORX3Cl7ByidjEgzSCgv9Yw"/>
    <x v="215"/>
    <s v="['graphene', 'new graphene chip', 'light based chip', 'photonic chip', 'processor', 'new computer']"/>
    <n v="27"/>
    <x v="2"/>
    <n v="287788"/>
    <n v="16726"/>
    <n v="887"/>
    <n v="6.1201300957649384E-2"/>
    <n v="1158"/>
    <x v="1"/>
  </r>
  <r>
    <x v="306"/>
    <x v="297"/>
    <s v="Robots New Technology #robots #shorts #science_x000a__x000a__x000a_&quot;..."/>
    <x v="306"/>
    <x v="234"/>
    <n v="2025"/>
    <s v="January"/>
    <x v="12"/>
    <n v="179"/>
    <s v="UCiMCEBZ4QMZlFcSULgrJ9vg"/>
    <x v="216"/>
    <s v="['#robots', '#shorts', '#science']"/>
    <n v="28"/>
    <x v="0"/>
    <n v="3245054"/>
    <n v="217464.60837887001"/>
    <n v="498"/>
    <n v="6.716763677241426E-2"/>
    <n v="9"/>
    <x v="0"/>
  </r>
  <r>
    <x v="307"/>
    <x v="298"/>
    <s v="2000rs. Apple cloth vs 100rs. super clean jelly co..."/>
    <x v="307"/>
    <x v="235"/>
    <n v="2024"/>
    <s v="March"/>
    <x v="9"/>
    <n v="501"/>
    <s v="UCglXlpWjIi95auM3umWWLdw"/>
    <x v="84"/>
    <s v="['youtube shorts', 'youtube shorts video', 'best shorts', '#shorts', 'shorts', 'apple iphone #shorts', 'apple #shorts', 'dance short video', 'super cleaner', 'gadgets #short', 'shorts video', 'comparison', 'smartphone short video']"/>
    <n v="28"/>
    <x v="0"/>
    <n v="17888444"/>
    <n v="709022"/>
    <n v="5800"/>
    <n v="3.9959987576336994E-2"/>
    <n v="58"/>
    <x v="0"/>
  </r>
  <r>
    <x v="308"/>
    <x v="299"/>
    <s v="Check prices on Amazon below_x000a_Monsgeek FUN60 TMR: h..."/>
    <x v="308"/>
    <x v="177"/>
    <n v="2025"/>
    <s v="June"/>
    <x v="1"/>
    <n v="42"/>
    <s v="UCRYOj4DmyxhBVrdvbsUwmAA"/>
    <x v="217"/>
    <s v="['hall effect keyboard', 'best gaming keyboard', 'wooting', 'wooting 60HE', 'rapid trigger keyboard', 'optimum tech', 'optimum keyboard', 'razer vs wooting', 'snap tap', 'best keyboard for valorant']"/>
    <n v="28"/>
    <x v="0"/>
    <n v="419707"/>
    <n v="19816"/>
    <n v="2192"/>
    <n v="5.2436580757528467E-2"/>
    <n v="880"/>
    <x v="1"/>
  </r>
  <r>
    <x v="309"/>
    <x v="300"/>
    <s v="No description available"/>
    <x v="309"/>
    <x v="208"/>
    <n v="2025"/>
    <s v="June"/>
    <x v="1"/>
    <n v="43"/>
    <s v="UCVLaRbKaPFM29W91sHhGtqQ"/>
    <x v="14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1724"/>
    <n v="377"/>
    <n v="4"/>
    <n v="1.7538206591787883E-2"/>
    <n v="58"/>
    <x v="0"/>
  </r>
  <r>
    <x v="310"/>
    <x v="301"/>
    <s v="No description available"/>
    <x v="310"/>
    <x v="8"/>
    <n v="2025"/>
    <s v="June"/>
    <x v="1"/>
    <n v="37"/>
    <s v="UCVLaRbKaPFM29W91sHhGtqQ"/>
    <x v="14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1342"/>
    <n v="282"/>
    <n v="3"/>
    <n v="2.5127843413859988E-2"/>
    <n v="56"/>
    <x v="0"/>
  </r>
  <r>
    <x v="311"/>
    <x v="302"/>
    <s v="China has showcased its latest military weapon: ri..."/>
    <x v="311"/>
    <x v="236"/>
    <n v="2024"/>
    <s v="June"/>
    <x v="25"/>
    <n v="415"/>
    <s v="UC04KsGq3npibMCE9Td3mVDg"/>
    <x v="39"/>
    <s v="['Cheddar']"/>
    <n v="25"/>
    <x v="1"/>
    <n v="1588183"/>
    <n v="24567"/>
    <n v="1562"/>
    <n v="1.6452134294347692E-2"/>
    <n v="20"/>
    <x v="0"/>
  </r>
  <r>
    <x v="312"/>
    <x v="303"/>
    <s v="SUBSCRIBE THE CHANNEL FOR MORE VIDEOS_x000a__x000a_ DON'T FORG..."/>
    <x v="312"/>
    <x v="186"/>
    <n v="2024"/>
    <s v="September"/>
    <x v="7"/>
    <n v="306"/>
    <s v="UCglXlpWjIi95auM3umWWLdw"/>
    <x v="84"/>
    <s v="['tech master', 'shorts', 'technology', 'facts', 'amazingtipsandtricks', 'arvind kharra', 'gadgets', 'cool gadgets', 'gadgets for students', 'new students gadgets', 'latest students gadgets', 'student gadgets', 'new gadgets', 'gadgets for student', 'student gadgets on amazon', 'best gadgets for students', 'amazon gadgets', 'amazing students gadgets', 'study gadgets', 'must have students gadget', 'awesome student gadgets', 'students gadget innovations', 'gadgets on amazon', 'techmaster shorts']"/>
    <n v="28"/>
    <x v="0"/>
    <n v="5990153"/>
    <n v="252198"/>
    <n v="826"/>
    <n v="4.2239989529482803E-2"/>
    <n v="41"/>
    <x v="0"/>
  </r>
  <r>
    <x v="313"/>
    <x v="304"/>
    <s v="Self cleaning toilet_x000a_._x000a_._x000a_._x000a_._x000a_smart toilet_x000a_._x000a_._x000a_.  _x000a_..."/>
    <x v="313"/>
    <x v="8"/>
    <n v="2025"/>
    <s v="June"/>
    <x v="1"/>
    <n v="37"/>
    <s v="UCajho7UDcgrqh6GK6FjcqTA"/>
    <x v="218"/>
    <s v="['smart toilet', 'luxury home interior', 'luxury toilet', 'self cleaning public toilet', 'ai toilet in the world', 'how smart toilet works', 'amazing smart technologies', 'smart home accessories', 'self clean technology']"/>
    <n v="10"/>
    <x v="5"/>
    <n v="662796"/>
    <n v="4871"/>
    <n v="9"/>
    <n v="7.3627481155589354E-3"/>
    <n v="16"/>
    <x v="0"/>
  </r>
  <r>
    <x v="314"/>
    <x v="305"/>
    <s v="Buy Link - capsule pen - https://amzn.to/45FH672_x000a__x000a_..."/>
    <x v="314"/>
    <x v="237"/>
    <n v="2022"/>
    <s v="December"/>
    <x v="44"/>
    <n v="967"/>
    <s v="UCglXlpWjIi95auM3umWWLdw"/>
    <x v="84"/>
    <s v="['tech master', 'shorts', 'technology', 'facts', 'amazingtipsandtricks', 'arvind kharra', 'gadgets shorts', 'coolstuff', 'viral video', 'capsule', 'capsule pen', 'sprite key chain', 'magic knife']"/>
    <n v="22"/>
    <x v="6"/>
    <n v="33338250"/>
    <n v="1663541"/>
    <n v="1048"/>
    <n v="4.9930305279971207E-2"/>
    <n v="48"/>
    <x v="0"/>
  </r>
  <r>
    <x v="315"/>
    <x v="306"/>
    <s v="Belt and pulley blower_x000a_Subscribe: http://bit.ly/su..."/>
    <x v="315"/>
    <x v="238"/>
    <n v="2025"/>
    <s v="June"/>
    <x v="1"/>
    <n v="51"/>
    <s v="UCAL3JXZSzSm8AlZyD3nQdBA"/>
    <x v="219"/>
    <s v="['primitive technology', 'primitive', 'technology', 'primitive tech', 'technology primitive', 'tech primitive', 'prim technology', 'prim tech', 'tech prim', 'technology prim', 'building from scratch', 'build from scratch', 'rotor', 'clay pots', 'brick', 'fire', 'wood', 'shelter', 'pulley', 'blower', 'pots', 'rope', 'machine', 'survival', 'hand crank', 'stones', 'hand cranked blower', 'rotation', 'flame', 'hands', 'making fire', 'clay', 'making a fire', 'forging', 'fire starter', 'rural life', 'smelting', 'gas', 'clay pot']"/>
    <n v="28"/>
    <x v="0"/>
    <n v="1141872"/>
    <n v="55294"/>
    <n v="4840"/>
    <n v="5.266264520016254E-2"/>
    <n v="1668"/>
    <x v="1"/>
  </r>
  <r>
    <x v="316"/>
    <x v="307"/>
    <s v="Operational Amplifiers are the best! Watch the ful..."/>
    <x v="316"/>
    <x v="239"/>
    <n v="2025"/>
    <s v="May"/>
    <x v="0"/>
    <n v="78"/>
    <s v="UCJ0-OtVpF0wOKEqT2Z1HEtA"/>
    <x v="1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70931"/>
    <n v="11290"/>
    <n v="152"/>
    <n v="4.2232155050547927E-2"/>
    <n v="58"/>
    <x v="0"/>
  </r>
  <r>
    <x v="317"/>
    <x v="308"/>
    <s v="#shorts #chorbazar_x000a__x000a_SUBSCRIBE THE CHANNEL FOR MORE..."/>
    <x v="317"/>
    <x v="240"/>
    <n v="2023"/>
    <s v="November"/>
    <x v="28"/>
    <n v="612"/>
    <s v="UCglXlpWjIi95auM3umWWLdw"/>
    <x v="84"/>
    <s v="['tech master', 'shorts', 'technology', 'facts', 'amazingtipsandtricks', 'arvind kharra', 'cool gadgets', 'gadgets on amazon', 'amazon gadgets', 'chor bazaar gadgets', 'chor bazaar gadgets review', 'shopping at real chor bazzar', 'buy cheapest iphones', 'buy cheapest andriod phones', 'chor bazaar items review', 'cool gadgets in cheap price', 'cool cheap electronics on amazon', 'mumbai chor bazar', 'chor bazaar mumbai', 'chor bazar', 'tech', 'tech master shorts', 'india', 'hindi', '500 rs gadgets', '50rs gadgets']"/>
    <n v="28"/>
    <x v="0"/>
    <n v="17351050"/>
    <n v="828343"/>
    <n v="3094"/>
    <n v="4.7918540952853E-2"/>
    <n v="56"/>
    <x v="0"/>
  </r>
  <r>
    <x v="318"/>
    <x v="309"/>
    <s v="Technology Funny message ringtone|| cute message n..."/>
    <x v="318"/>
    <x v="38"/>
    <n v="2025"/>
    <s v="May"/>
    <x v="0"/>
    <n v="59"/>
    <s v="UCiqmTQTG62wlmmdzAqxTWHQ"/>
    <x v="220"/>
    <s v="['Cute message notification tone', 'Funny message ringtone', 'cute alert', 'cute alerts', 'cute notification', 'cute ringtone', 'cute tone', 'funny alert sound', 'funny ringtone', 'funny sounds', 'humorous notifications', 'love ringtone', 'message alert', 'message beep', 'message ringtone', 'message tone', 'notification alert', 'notification melody', 'notification sound', 'notification tones', 'playful notification', 'playful tones', 'ringtone', 'ringtones', 'sms alerts', 'sms ringtone', 'sms sound', 'sound effect']"/>
    <n v="10"/>
    <x v="5"/>
    <n v="290154"/>
    <n v="1255"/>
    <n v="4"/>
    <n v="4.3390751118371623E-3"/>
    <n v="5"/>
    <x v="0"/>
  </r>
  <r>
    <x v="319"/>
    <x v="310"/>
    <s v="Gyro Sensor Based Mini Drone, New Science Project ..."/>
    <x v="319"/>
    <x v="241"/>
    <n v="2023"/>
    <s v="May"/>
    <x v="20"/>
    <n v="793"/>
    <s v="UChvzFAyWyofbidb7Mh3WMZw"/>
    <x v="49"/>
    <s v="['shorts', 'science', 'technology', 'trending']"/>
    <n v="28"/>
    <x v="0"/>
    <n v="3989344"/>
    <n v="76633"/>
    <n v="502"/>
    <n v="1.933525913032318E-2"/>
    <n v="8"/>
    <x v="0"/>
  </r>
  <r>
    <x v="320"/>
    <x v="311"/>
    <s v="No description available"/>
    <x v="320"/>
    <x v="1"/>
    <n v="2025"/>
    <s v="June"/>
    <x v="1"/>
    <n v="38"/>
    <s v="UCgeu38G_jcXQ1xMiRZgD_AA"/>
    <x v="14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217758"/>
    <n v="14038"/>
    <n v="83"/>
    <n v="6.4847215716529363E-2"/>
    <n v="41"/>
    <x v="0"/>
  </r>
  <r>
    <x v="321"/>
    <x v="312"/>
    <s v="#gadget #techmaster _x000a__x000a_SUBSCRIBE THE CHANNEL FOR MO..."/>
    <x v="321"/>
    <x v="242"/>
    <n v="2024"/>
    <s v="April"/>
    <x v="37"/>
    <n v="467"/>
    <s v="UCglXlpWjIi95auM3umWWLdw"/>
    <x v="84"/>
    <s v="['tech master', 'shorts', 'technology', 'facts', 'amazingtipsandtricks', 'arvind kharra', 'ipl gadget', 'gadgets', 'ipl winner', 'ipl team', 'gedgets for circket', 'useful gadgets', 'india', 'hindi', 'tech', 'tech master shorts', 'l guard', 'led stumps price', 'cricket', 'ipl', 'viral', 'entertainment', 'funny', 'comedy']"/>
    <n v="28"/>
    <x v="0"/>
    <n v="14522160"/>
    <n v="632659"/>
    <n v="745"/>
    <n v="4.3616376627168413E-2"/>
    <n v="60"/>
    <x v="0"/>
  </r>
  <r>
    <x v="322"/>
    <x v="313"/>
    <s v="iOS 26 is official and it's officially terrible. _x000a_..."/>
    <x v="322"/>
    <x v="164"/>
    <n v="2025"/>
    <s v="June"/>
    <x v="1"/>
    <n v="40"/>
    <s v="UC8jkbVLPvztz8TuE98OYo8Q"/>
    <x v="221"/>
    <s v="['apple', 'iphone', 'jon prosser', 'front page tech', 'frontpagetech']"/>
    <n v="28"/>
    <x v="0"/>
    <n v="320398"/>
    <n v="19299"/>
    <n v="2555"/>
    <n v="6.8208915161767553E-2"/>
    <n v="505"/>
    <x v="1"/>
  </r>
  <r>
    <x v="323"/>
    <x v="314"/>
    <s v="Unbelievable China's technology in Bike ( à¤‡à¤¸ à..."/>
    <x v="323"/>
    <x v="243"/>
    <n v="2024"/>
    <s v="September"/>
    <x v="7"/>
    <n v="315"/>
    <s v="UC_e86divMiDWroG3HrCp30w"/>
    <x v="222"/>
    <s v="['shorts', 'ytshorts', 'youtubeshorts', 'shortsfeed', 'China superbike', 'China bike sensors', 'advance bike in china', &quot;Advance sensors in China's bike&quot;, 'shorts monetization', 'youtube monetization']"/>
    <n v="22"/>
    <x v="6"/>
    <n v="29050969"/>
    <n v="385458"/>
    <n v="1027"/>
    <n v="1.3303687047409675E-2"/>
    <n v="36"/>
    <x v="0"/>
  </r>
  <r>
    <x v="324"/>
    <x v="315"/>
    <s v="Learn 3D Animation Basic To Expert Level- visit th..."/>
    <x v="324"/>
    <x v="244"/>
    <n v="2024"/>
    <s v="June"/>
    <x v="25"/>
    <n v="398"/>
    <s v="UCHUByLzh_XbWd5-R9ZFJNCQ"/>
    <x v="223"/>
    <s v="['nuclear power', 'nuclear reactor', 'lifeada', '3d', 'animation']"/>
    <n v="27"/>
    <x v="2"/>
    <n v="3190790"/>
    <n v="142107"/>
    <n v="310"/>
    <n v="4.4633774081026957E-2"/>
    <n v="58"/>
    <x v="0"/>
  </r>
  <r>
    <x v="325"/>
    <x v="316"/>
    <s v="Three leading engineers discuss the impact of the ..."/>
    <x v="325"/>
    <x v="245"/>
    <n v="2024"/>
    <s v="August"/>
    <x v="8"/>
    <n v="350"/>
    <s v="UCQXHTFnQYFTqN0MqmNh9EIA"/>
    <x v="224"/>
    <s v="['BBC', 'BBC World Service', 'Podcasts', 'Radio', 'Podcast', 'World Service Radio', 'World Service', 'Documentaries', 'Investigations', 'Explainers', 'BBC Documentary', 'Docs', 'artificial intelligence', 'ai', 'tech pioneer', 'ai in medicine and healthcare', 'ai in sports', 'ai panel discussion', 'bbc ai news', 'bbc tech news', 'Regina Barzilay', 'David Silver', 'Paolo Pirjanian', 'engineers and scientists', 'bbc world questions', 'machine learning', 'will robots take over the world', 'AI discussion', 'google deep mind', 'AGI', 'narrow ai']"/>
    <n v="28"/>
    <x v="0"/>
    <n v="1694957"/>
    <n v="30137"/>
    <n v="903"/>
    <n v="1.8313148947141433E-2"/>
    <n v="1548"/>
    <x v="1"/>
  </r>
  <r>
    <x v="326"/>
    <x v="317"/>
    <s v="No description available"/>
    <x v="326"/>
    <x v="25"/>
    <n v="2025"/>
    <s v="June"/>
    <x v="1"/>
    <n v="41"/>
    <s v="UCoudl1tXTBXLnXM1dfn4rpQ"/>
    <x v="22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5769"/>
    <n v="126"/>
    <n v="17"/>
    <n v="3.9978752551091731E-3"/>
    <n v="10"/>
    <x v="0"/>
  </r>
  <r>
    <x v="327"/>
    <x v="318"/>
    <s v="Stay cool this summer with even more poolside hack..."/>
    <x v="327"/>
    <x v="246"/>
    <n v="2022"/>
    <s v="August"/>
    <x v="40"/>
    <n v="1083"/>
    <s v="UC6VroAlEXUAT1OkH61TK_KA"/>
    <x v="22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6"/>
    <x v="8"/>
    <n v="51334598"/>
    <n v="3061219"/>
    <n v="11926"/>
    <n v="5.9864986183392338E-2"/>
    <n v="60"/>
    <x v="0"/>
  </r>
  <r>
    <x v="328"/>
    <x v="319"/>
    <s v="Celebrity tech from Ronaldo, Mbappe, Will Smith, K..."/>
    <x v="328"/>
    <x v="247"/>
    <n v="2024"/>
    <s v="October"/>
    <x v="22"/>
    <n v="294"/>
    <s v="UCMiJRAwDNSNzuYeN2uWa0pA"/>
    <x v="0"/>
    <s v="['celebrity', 'celeb', 'tech', 'iphone', 'products', 'youtuber', 'celebrity products', 'youtuber products', 'influencer', 'rant', 'gadgets']"/>
    <n v="28"/>
    <x v="0"/>
    <n v="8359570"/>
    <n v="217368"/>
    <n v="6425"/>
    <n v="2.6770874578477124E-2"/>
    <n v="1635"/>
    <x v="1"/>
  </r>
  <r>
    <x v="329"/>
    <x v="320"/>
    <s v="Neuralink is a neurotechnology company founded by ..."/>
    <x v="329"/>
    <x v="248"/>
    <n v="2024"/>
    <s v="March"/>
    <x v="9"/>
    <n v="505"/>
    <s v="UCxlJ45KjG4XVcQ_hd8j227A"/>
    <x v="227"/>
    <s v="['neuralink device', 'neuralink implant', 'neuralink', 'elon musk', 'neuralink elon musk', 'What does the neuralink brain chip do', 'what is neuralink brain chip', 'neuralink brain chip', 'brain chip', 'brain chip elon musk', 'brain chip neuralink', 'brain chip wired neuralink', 'brain implant', 'brain implants neuralink', 'elon musk brain chip', 'human brain chip', 'implants brain', 'monkey brain chip', 'neuralink brain chips', 'neuralink brain implants', 'neuralink implants wired', 'binocs show', 'peekaboo kidz', 'brain']"/>
    <n v="27"/>
    <x v="2"/>
    <n v="1706186"/>
    <n v="6555"/>
    <n v="0"/>
    <n v="3.8419023482785582E-3"/>
    <n v="343"/>
    <x v="1"/>
  </r>
  <r>
    <x v="330"/>
    <x v="321"/>
    <s v="New technology used in the world #youtubeshorts #y..."/>
    <x v="330"/>
    <x v="249"/>
    <n v="2024"/>
    <s v="October"/>
    <x v="22"/>
    <n v="283"/>
    <s v="UCXbv3qLKS0B63kakKcc8E0g"/>
    <x v="110"/>
    <s v="['amazing facts', 'unique techniques', 'best technology used', 'amazing information about technology', 'technology used in ramleela']"/>
    <n v="27"/>
    <x v="2"/>
    <n v="3880144"/>
    <n v="217464.60837887001"/>
    <n v="116"/>
    <n v="5.6075395237617474E-2"/>
    <n v="18"/>
    <x v="0"/>
  </r>
  <r>
    <x v="331"/>
    <x v="322"/>
    <s v="Hello Everyone!_x000a_Welcome to my channel. My channel ..."/>
    <x v="331"/>
    <x v="250"/>
    <n v="2019"/>
    <s v="May"/>
    <x v="45"/>
    <n v="2253"/>
    <s v="UCfmX9fD7yKjPkgMJoOYqpzA"/>
    <x v="228"/>
    <s v="['how to get free internet life time', 'how to get free internet', 'internet free', 'internet', 'data internet free', 'free internet', 'free', 'how to free internet', 'vpn internet', 'vpn internet gratis', 'vpn internet free', 'free vpn internet', 'free internet 2018', 'free internet 2019', 'sim card', 'airtel internet', 'airtel 4g', 'jio', 'jio offer', 'data internet', 'free mb', 'telephone', 'New Technology 2019', 'Free internet 100% Working']"/>
    <n v="28"/>
    <x v="0"/>
    <n v="6377933"/>
    <n v="83467"/>
    <n v="2823"/>
    <n v="1.352946166101149E-2"/>
    <n v="617"/>
    <x v="1"/>
  </r>
  <r>
    <x v="332"/>
    <x v="323"/>
    <s v="Unique umbrella worth 11000rs!_x000a__x000a_Personally connect..."/>
    <x v="332"/>
    <x v="251"/>
    <n v="2024"/>
    <s v="July"/>
    <x v="3"/>
    <n v="372"/>
    <s v="UCq30pSBD9tX6d5_xT5aNPoA"/>
    <x v="71"/>
    <s v="['most expensive cars', 'most expensive car', 'expensive cars', 'most expensive cars in the world', 'top 10 most expensive cars in the world', 'umbrella', 'expensive', 'expensive car', 'most expensive vending machine', 'most expensive', 'the most expensive car in the world', 'most expensive car in the world 2023', 'car expensive', 'tech master', 'shorts', 'youtube shorts', 'summer', 'monsoon', 'hacks', 'master shorts', 'how to', 'shorts video', 'short', 'expensive umbrella', 'summer gadgets', 'tech', 'funny', 'iphone', 'youtube']"/>
    <n v="28"/>
    <x v="0"/>
    <n v="10693689"/>
    <n v="276100"/>
    <n v="12385"/>
    <n v="2.6977126415402581E-2"/>
    <n v="45"/>
    <x v="0"/>
  </r>
  <r>
    <x v="333"/>
    <x v="324"/>
    <s v="No description available"/>
    <x v="333"/>
    <x v="177"/>
    <n v="2025"/>
    <s v="June"/>
    <x v="1"/>
    <n v="42"/>
    <s v="UCJLUaNkv9Qck2jmZ-iFHXlA"/>
    <x v="22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22934"/>
    <n v="454"/>
    <n v="3"/>
    <n v="1.9926746315514082E-2"/>
    <n v="49"/>
    <x v="0"/>
  </r>
  <r>
    <x v="334"/>
    <x v="325"/>
    <s v="#science #technology #shortvideo #viral #fact #tre..."/>
    <x v="334"/>
    <x v="43"/>
    <n v="2025"/>
    <s v="June"/>
    <x v="1"/>
    <n v="50"/>
    <s v="UCEFXPX6j6z3HHVAGhuFONug"/>
    <x v="230"/>
    <s v="['science', 'technology', 'shortvideo', 'trending', 'viral', 'fact', 'trendingshorts', 'youtubeshorts', 'viralshort', 'sciencefacts', 'latest', 'trend']"/>
    <n v="28"/>
    <x v="0"/>
    <n v="36807"/>
    <n v="217464.60837887001"/>
    <n v="6"/>
    <n v="5.9084035204952867"/>
    <n v="19"/>
    <x v="0"/>
  </r>
  <r>
    <x v="335"/>
    <x v="326"/>
    <s v="No description available"/>
    <x v="335"/>
    <x v="252"/>
    <n v="2024"/>
    <s v="November"/>
    <x v="32"/>
    <n v="252"/>
    <s v="UC8SFy66JbVwPcYhvplWPm1g"/>
    <x v="13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8704366"/>
    <n v="217464.60837887001"/>
    <n v="913"/>
    <n v="1.1675221088962332E-2"/>
    <n v="56"/>
    <x v="0"/>
  </r>
  <r>
    <x v="336"/>
    <x v="327"/>
    <s v="#technologia #technolÃ³gia #viralvideo #viralshort..."/>
    <x v="336"/>
    <x v="253"/>
    <n v="2025"/>
    <s v="March"/>
    <x v="23"/>
    <n v="121"/>
    <s v="UCrltYZ4idW4o8NEqjtK5Xww"/>
    <x v="23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514264"/>
    <n v="2969"/>
    <n v="34"/>
    <n v="5.8394132196692749E-3"/>
    <n v="8"/>
    <x v="0"/>
  </r>
  <r>
    <x v="337"/>
    <x v="328"/>
    <s v="#vlog #souravjoshivlogs  #viralvideo #funny #comed..."/>
    <x v="337"/>
    <x v="254"/>
    <n v="2025"/>
    <s v="May"/>
    <x v="0"/>
    <n v="73"/>
    <s v="UCXCrlBq5NZIJ6XoJeQln7Ew"/>
    <x v="23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1891087"/>
    <n v="204109"/>
    <n v="649"/>
    <n v="1.7219451846580552E-2"/>
    <n v="11"/>
    <x v="0"/>
  </r>
  <r>
    <x v="338"/>
    <x v="329"/>
    <s v="Technology âŒTechnologia âœ… #shorts#funny #comed..."/>
    <x v="338"/>
    <x v="137"/>
    <n v="2025"/>
    <s v="April"/>
    <x v="14"/>
    <n v="97"/>
    <s v="UCRzUF1MIZFGoQbjppzbIShA"/>
    <x v="233"/>
    <s v="['Technology âŒTechnologia âœ… #shorts#funny #comedy #funnyvideo #comedy#reels #technology #trending', 'technology', 'technologia', 'trending reels', 'trending video', 'viral video', 'viral', 'short', 'short video', 'status', 'whatsApp status', 'reels', 'comedy', 'funny', 'funny video']"/>
    <n v="22"/>
    <x v="6"/>
    <n v="43254"/>
    <n v="335"/>
    <n v="8"/>
    <n v="7.9299024367688545E-3"/>
    <n v="9"/>
    <x v="0"/>
  </r>
  <r>
    <x v="339"/>
    <x v="330"/>
    <s v="No description available"/>
    <x v="339"/>
    <x v="94"/>
    <n v="2025"/>
    <s v="June"/>
    <x v="1"/>
    <n v="36"/>
    <s v="UCGg6TIvI9dxsZteF0414HfA"/>
    <x v="23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069"/>
    <n v="41"/>
    <n v="2"/>
    <n v="4.0224508886810104E-2"/>
    <n v="50"/>
    <x v="0"/>
  </r>
  <r>
    <x v="340"/>
    <x v="331"/>
    <s v="This is call the Bigme smartphone and it has a col..."/>
    <x v="340"/>
    <x v="75"/>
    <n v="2024"/>
    <s v="October"/>
    <x v="22"/>
    <n v="281"/>
    <s v="UCPMIXPIhGp2WJzocPRQiM1w"/>
    <x v="19"/>
    <s v="['bigme smartphone', 'bigme smartphone review', 'biome smartphone vs iPhone', 'smartphone', 'cool smartphone', 'not a normal smartphone', 'coolest smartphone', 'e-ink smartphone', 'kindle smartphone']"/>
    <n v="28"/>
    <x v="0"/>
    <n v="1735597"/>
    <n v="91350"/>
    <n v="426"/>
    <n v="5.2878634844379199E-2"/>
    <n v="33"/>
    <x v="0"/>
  </r>
  <r>
    <x v="341"/>
    <x v="332"/>
    <s v="Robot Motherâ€™s Tender Moment with Her Baby #tech..."/>
    <x v="341"/>
    <x v="134"/>
    <n v="2025"/>
    <s v="June"/>
    <x v="1"/>
    <n v="39"/>
    <s v="UCPdVC7w-AmZ6BGCoIoU1v3g"/>
    <x v="6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313123"/>
    <n v="5389"/>
    <n v="10"/>
    <n v="4.1115721832608214E-3"/>
    <n v="8"/>
    <x v="0"/>
  </r>
  <r>
    <x v="342"/>
    <x v="333"/>
    <s v="Bhai ye wale gadgets kuch next level useful hain:!..."/>
    <x v="342"/>
    <x v="255"/>
    <n v="2023"/>
    <s v="August"/>
    <x v="42"/>
    <n v="709"/>
    <s v="UCglXlpWjIi95auM3umWWLdw"/>
    <x v="84"/>
    <s v="['shorts', '#techmaster shorts', 'gadgets', 'yt shorts', 'most popular short', 'short videos', 'viral short', '#firstvlogviral', 'saste gadget', 'tech master', 'viral gadgets', 'cool gadgets', 'best shorts', 'new gadgets on amazon', 'gadgets under 100rs']"/>
    <n v="28"/>
    <x v="0"/>
    <n v="15812438"/>
    <n v="710249"/>
    <n v="953"/>
    <n v="4.497737793501546E-2"/>
    <n v="49"/>
    <x v="0"/>
  </r>
  <r>
    <x v="343"/>
    <x v="334"/>
    <s v="Ask your own templates here_x000a_https://t.me/findingme..."/>
    <x v="343"/>
    <x v="126"/>
    <n v="2025"/>
    <s v="April"/>
    <x v="14"/>
    <n v="112"/>
    <s v="UCpqKkuv9OZqYOdgeBSd_jJg"/>
    <x v="23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0494473"/>
    <n v="567006"/>
    <n v="825"/>
    <n v="9.3864938702747282E-3"/>
    <n v="10"/>
    <x v="0"/>
  </r>
  <r>
    <x v="344"/>
    <x v="335"/>
    <s v="12v battery repair,restoring old battery,battery r..."/>
    <x v="344"/>
    <x v="43"/>
    <n v="2025"/>
    <s v="June"/>
    <x v="1"/>
    <n v="50"/>
    <s v="UC6fVGlHVF4ucZyI8AV2qv2g"/>
    <x v="236"/>
    <s v="['12v battery repair', 'restoring old battery', 'battery refurbishment', 'how to repair 12v battery', 'fixing old batteries', 'battery reconditioning', 'battery rejuvenation', 'lead acid battery repair', 'diy battery repair', 'battery maintenance tips', 'extending battery life', 'battery troubleshooting', 'battery voltage test', 'battery capacity restore', 'old battery revival']"/>
    <n v="28"/>
    <x v="0"/>
    <n v="128919"/>
    <n v="1765"/>
    <n v="5"/>
    <n v="1.3729551113489866E-2"/>
    <n v="49"/>
    <x v="0"/>
  </r>
  <r>
    <x v="345"/>
    <x v="336"/>
    <s v="#technology #garenafreefire"/>
    <x v="345"/>
    <x v="150"/>
    <n v="2025"/>
    <s v="June"/>
    <x v="1"/>
    <n v="45"/>
    <s v="UC0eCxVUALXkmj8jimObz0Mw"/>
    <x v="237"/>
    <s v="['#technology #garenafreefire']"/>
    <n v="20"/>
    <x v="10"/>
    <n v="42124"/>
    <n v="337"/>
    <n v="2"/>
    <n v="8.047668787389611E-3"/>
    <n v="14"/>
    <x v="0"/>
  </r>
  <r>
    <x v="346"/>
    <x v="337"/>
    <s v="No description available"/>
    <x v="346"/>
    <x v="256"/>
    <n v="2024"/>
    <s v="August"/>
    <x v="8"/>
    <n v="341"/>
    <s v="UCKaWD4ZM7ixlot6ysBVKP_g"/>
    <x v="23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6558980"/>
    <n v="635651"/>
    <n v="3588"/>
    <n v="3.8603766657125019E-2"/>
    <n v="60"/>
    <x v="0"/>
  </r>
  <r>
    <x v="347"/>
    <x v="338"/>
    <s v="Mind Warehouse â–º https://goo.gl/aeW8Sk  _x000a__x000a_1) Peg..."/>
    <x v="347"/>
    <x v="257"/>
    <n v="2024"/>
    <s v="July"/>
    <x v="3"/>
    <n v="377"/>
    <s v="UC6H07z6zAwbHRl4Lbl0GSsw"/>
    <x v="239"/>
    <s v="['inventions', 'gadgets', 'technology', 'tech', 'techzone gadgets', 'techzone', 'cool tools', 'cool inventions', 'incredible inventions', 'camping inventions', 'construction technologies', 'construction gadgets', 'cool gadgets', 'construction', 'satisfying', 'satisfying video', 'road inventions', 'handyman tips and tricks', 'tools', 'concepts', 'mobile homes', 'car inventions', 'garden inventions', 'tech zone', '20 inventions', 'change the world', 'Pegasus', 'Fotokite Sigma', 'Varjo Teleport', 'SkyDeck', &quot;Movin'On&quot;, 'Simsoft', 'Pulsefire', 'Bruker HI90']"/>
    <n v="22"/>
    <x v="6"/>
    <n v="1006574"/>
    <n v="6913"/>
    <n v="281"/>
    <n v="7.1470155199717059E-3"/>
    <n v="1210"/>
    <x v="1"/>
  </r>
  <r>
    <x v="348"/>
    <x v="339"/>
    <s v="Weâ€™ve been visiting Rivian locations across the ..."/>
    <x v="348"/>
    <x v="150"/>
    <n v="2025"/>
    <s v="June"/>
    <x v="1"/>
    <n v="45"/>
    <s v="UCPMdVVKDEUrbp3nH46sTZmg"/>
    <x v="240"/>
    <s v="['Rivian', 'EAV', 'EV', 'electric adventure vehicle', 'electric adventure vehicles', 'adventure', 'outdoors', 'truck', 'SUV', 'R1T', 'R1S', 'Electric Truck', 'Rivian Truck', 'adventurous forever', 'tank turn']"/>
    <n v="2"/>
    <x v="13"/>
    <n v="133709"/>
    <n v="3740"/>
    <n v="221"/>
    <n v="2.9624034283406504E-2"/>
    <n v="360"/>
    <x v="1"/>
  </r>
  <r>
    <x v="349"/>
    <x v="340"/>
    <s v="Visit https://imprintapp.com/ColdFusion for 20% of..."/>
    <x v="349"/>
    <x v="258"/>
    <n v="2025"/>
    <s v="May"/>
    <x v="0"/>
    <n v="83"/>
    <s v="UC4QZ_LsYcvcq7qOsOhpAX4A"/>
    <x v="241"/>
    <s v="['Coldfusion', 'TV', 'Dagogo', 'Altraide', 'Technology', 'Apple', 'Google', 'Samsung', 'Facebook', 'Tesla']"/>
    <n v="28"/>
    <x v="0"/>
    <n v="481832"/>
    <n v="16362"/>
    <n v="3226"/>
    <n v="4.0653173720300854E-2"/>
    <n v="1287"/>
    <x v="1"/>
  </r>
  <r>
    <x v="350"/>
    <x v="341"/>
    <s v="ðŸ¤¯ Technology of Free Fire ðŸ”¥: The Funniest Sh..."/>
    <x v="350"/>
    <x v="73"/>
    <n v="2025"/>
    <s v="March"/>
    <x v="23"/>
    <n v="118"/>
    <s v="UCNzC0JIpxdXXo8zr4OXZong"/>
    <x v="242"/>
    <s v="['Technology of Free Fire', &quot;The Funniest Shorts You Can't Miss&quot;, 'craftland map funny shorts', 'ff', 'ff new update', 'free fire', 'free fire funny memes', 'free fire funny moments', 'free fire funny short video', 'free fire funny shorts', 'free fire funny video', 'free fire gameplay', 'free fire max', 'free fire memes', 'free fire new event', 'free fire new update', 'free fire tips and tricks', 'free fire viral shorts', 'funny moments', 'funny shorts', 'funny shorts in free fire', 'shorts', 'viral shorts']"/>
    <n v="20"/>
    <x v="10"/>
    <n v="75262"/>
    <n v="1046"/>
    <n v="12"/>
    <n v="1.4057558927480004E-2"/>
    <n v="15"/>
    <x v="0"/>
  </r>
  <r>
    <x v="351"/>
    <x v="342"/>
    <s v="No description available"/>
    <x v="351"/>
    <x v="148"/>
    <n v="2025"/>
    <s v="May"/>
    <x v="0"/>
    <n v="74"/>
    <s v="UCfibaUjy-EcvziuYkYYHnPg"/>
    <x v="24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17485"/>
    <n v="103"/>
    <n v="1"/>
    <n v="5.9479553903345724E-3"/>
    <n v="11"/>
    <x v="0"/>
  </r>
  <r>
    <x v="352"/>
    <x v="343"/>
    <s v="Googleâ€™s VIP Protection is LIVE! Shield your acc..."/>
    <x v="352"/>
    <x v="259"/>
    <n v="2025"/>
    <s v="April"/>
    <x v="14"/>
    <n v="95"/>
    <s v="UCW2s_zlmBQ0l848Y6wmOiag"/>
    <x v="19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1238"/>
    <n v="357"/>
    <n v="4"/>
    <n v="3.2123153586047337E-2"/>
    <n v="46"/>
    <x v="0"/>
  </r>
  <r>
    <x v="353"/>
    <x v="344"/>
    <s v="Amazon mobile order cheythappol #ytshorts #travel ..."/>
    <x v="353"/>
    <x v="177"/>
    <n v="2025"/>
    <s v="June"/>
    <x v="1"/>
    <n v="42"/>
    <s v="UCcpDsL4z6FiZG4dG-pIEHxQ"/>
    <x v="24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44678"/>
    <n v="4890"/>
    <n v="25"/>
    <n v="1.1052941679147608E-2"/>
    <n v="48"/>
    <x v="0"/>
  </r>
  <r>
    <x v="354"/>
    <x v="345"/>
    <s v="#whatsappstatus  #yearofyou  #elephant  #anime _x000a_#z..."/>
    <x v="354"/>
    <x v="94"/>
    <n v="2025"/>
    <s v="June"/>
    <x v="1"/>
    <n v="36"/>
    <s v="UCn7NttsdsYIak33KORE8F-Q"/>
    <x v="24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6783"/>
    <n v="42"/>
    <n v="0"/>
    <n v="6.1919504643962852E-3"/>
    <n v="10"/>
    <x v="0"/>
  </r>
  <r>
    <x v="355"/>
    <x v="346"/>
    <s v="WWDC25 unified Apple's ecosystem with a new naming..."/>
    <x v="355"/>
    <x v="260"/>
    <n v="2025"/>
    <s v="June"/>
    <x v="1"/>
    <n v="47"/>
    <s v="UCOmcA3f_RrH6b9NmcNa4tdg"/>
    <x v="157"/>
    <s v="['CNET', 'Technology', 'tech', 'Tech Devices', 'apple', 'apple news', 'wwdc', 'wwdc 2025', 'wwdc 25', 'iOS 26', 'supercut', 'apple event supercut', 'apple event', 'apple keynote', 'Tim Cook', 'apple announcements', 'Apple event']"/>
    <n v="28"/>
    <x v="0"/>
    <n v="942047"/>
    <n v="12596"/>
    <n v="3042"/>
    <n v="1.6600021018059609E-2"/>
    <n v="578"/>
    <x v="1"/>
  </r>
  <r>
    <x v="356"/>
    <x v="347"/>
    <s v="Hands on with iOS 26 and everything you need to kn..."/>
    <x v="356"/>
    <x v="147"/>
    <n v="2025"/>
    <s v="June"/>
    <x v="1"/>
    <n v="46"/>
    <s v="UCBJycsmduvYEL83R_U4JriQ"/>
    <x v="211"/>
    <s v="['WWDC', 'WWDC 2025', 'iOS 15', 'iPadOS', 'iPadOS 25', 'MKBHD', 'WWDC recap', 'WWDC impressions']"/>
    <n v="28"/>
    <x v="0"/>
    <n v="7002607"/>
    <n v="169445"/>
    <n v="14750"/>
    <n v="2.6303775151168701E-2"/>
    <n v="1103"/>
    <x v="1"/>
  </r>
  <r>
    <x v="357"/>
    <x v="348"/>
    <s v="No description available"/>
    <x v="357"/>
    <x v="1"/>
    <n v="2025"/>
    <s v="June"/>
    <x v="1"/>
    <n v="38"/>
    <s v="UC3dZHM0o8Gb6raWHTpaXAhQ"/>
    <x v="24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14806"/>
    <n v="1129"/>
    <n v="32"/>
    <n v="7.8414156423071729E-2"/>
    <n v="52"/>
    <x v="0"/>
  </r>
  <r>
    <x v="358"/>
    <x v="309"/>
    <s v="Technology Funny message ringtone|| cute message n..."/>
    <x v="358"/>
    <x v="261"/>
    <n v="2025"/>
    <s v="June"/>
    <x v="1"/>
    <n v="53"/>
    <s v="UC7J5Hmjdt4ha1cN6SF597rg"/>
    <x v="24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0"/>
    <x v="5"/>
    <n v="34496"/>
    <n v="217464.60837887001"/>
    <n v="0"/>
    <n v="6.3040528866787451"/>
    <n v="5"/>
    <x v="0"/>
  </r>
  <r>
    <x v="359"/>
    <x v="349"/>
    <s v="technologyâŽ technologiaâœ… Technologia original ..."/>
    <x v="359"/>
    <x v="0"/>
    <n v="2025"/>
    <s v="May"/>
    <x v="0"/>
    <n v="85"/>
    <s v="UCyfmOQPIrHTuv7rGLBmLuQw"/>
    <x v="248"/>
    <s v="['crazy _xyz_321k', 'technology', 'technologia', 'technologie', 'technologies', 'technology original video', 'technologia original video', 'technology funny video', 'technologia funny video', 'funny video', 'funny videos', 'funny shorts', 'viral funny shorts', 'funny comedy video', 'funny video 2025', 'comedy videos', 'new comedy video 2025', 'comedy club', 'youtube search', 'shorts', 'shorts 2025', 'shorts feed', 'viral video', 'viral reels', 'viral memes', 'trending', 'trending shorts', 'trending video', 'tiktok shorts']"/>
    <n v="23"/>
    <x v="7"/>
    <n v="107622"/>
    <n v="217464.60837887001"/>
    <n v="1970.1447811447799"/>
    <n v="2.0389395584547283"/>
    <n v="8"/>
    <x v="0"/>
  </r>
  <r>
    <x v="360"/>
    <x v="350"/>
    <s v="The Quick Response (QR) code was invented in 1994 ..."/>
    <x v="360"/>
    <x v="0"/>
    <n v="2025"/>
    <s v="May"/>
    <x v="0"/>
    <n v="85"/>
    <s v="UCxlJ45KjG4XVcQ_hd8j227A"/>
    <x v="227"/>
    <s v="['scan qr code', 'how to scan qr code on android', 'invention of qr code', 'what is qr code', 'qr code history', 'how do qr codes work technically', 'how barcode works', 'barcode', 'quick response code', 'what is barcode', 'masahiro hara qr code', 'masahiro hara', 'history of qr code', 'digital world technology', 'digital payments', 'upi digital payment', 'inventions that changed the world', 'origin of qr code', 'qr code invention', 'qr code generator', 'dr binocs show', 'peekaboo kidz', 'history of qr codes', 'barcodes']"/>
    <n v="27"/>
    <x v="2"/>
    <n v="440548"/>
    <n v="1973"/>
    <n v="0"/>
    <n v="4.4785131245630438E-3"/>
    <n v="393"/>
    <x v="1"/>
  </r>
  <r>
    <x v="361"/>
    <x v="351"/>
    <s v="No description available"/>
    <x v="361"/>
    <x v="94"/>
    <n v="2025"/>
    <s v="June"/>
    <x v="1"/>
    <n v="36"/>
    <s v="UCAdv2dc8GqOpTSh8S2UkdQw"/>
    <x v="24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328"/>
    <n v="217464.60837887001"/>
    <n v="0"/>
    <n v="50.245981603250925"/>
    <n v="19"/>
    <x v="0"/>
  </r>
  <r>
    <x v="362"/>
    <x v="352"/>
    <s v="No description available"/>
    <x v="362"/>
    <x v="121"/>
    <n v="2025"/>
    <s v="June"/>
    <x v="1"/>
    <n v="48"/>
    <s v="UCQe48l_82xd6kRPdKqfiMZA"/>
    <x v="25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22563"/>
    <n v="256"/>
    <n v="4"/>
    <n v="1.1523290342596287E-2"/>
    <n v="55"/>
    <x v="0"/>
  </r>
  <r>
    <x v="363"/>
    <x v="353"/>
    <s v="#gadjets_x000a_#tech_x000a_#anitech_x000a_#technology"/>
    <x v="363"/>
    <x v="164"/>
    <n v="2025"/>
    <s v="June"/>
    <x v="1"/>
    <n v="40"/>
    <s v="UChNDZkwOHEYwm5uVycADEdQ"/>
    <x v="17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66398"/>
    <n v="362"/>
    <n v="0"/>
    <n v="2.1755069171504465E-3"/>
    <n v="8"/>
    <x v="0"/>
  </r>
  <r>
    <x v="364"/>
    <x v="354"/>
    <s v="Chip stocks like Nvidia are in trouble after the D..."/>
    <x v="364"/>
    <x v="176"/>
    <n v="2025"/>
    <s v="January"/>
    <x v="12"/>
    <n v="180"/>
    <s v="UCsBjURrPoezykLs9EqgamOA"/>
    <x v="18"/>
    <s v="['webdev', 'app development', 'lesson', 'tutorial']"/>
    <n v="28"/>
    <x v="0"/>
    <n v="3863019"/>
    <n v="153735"/>
    <n v="9886"/>
    <n v="4.235573265365767E-2"/>
    <n v="217"/>
    <x v="1"/>
  </r>
  <r>
    <x v="365"/>
    <x v="355"/>
    <s v="No description available"/>
    <x v="365"/>
    <x v="94"/>
    <n v="2025"/>
    <s v="June"/>
    <x v="1"/>
    <n v="36"/>
    <s v="UCOwJ981d4tXiPgvY04AGwkQ"/>
    <x v="25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3715"/>
    <n v="187"/>
    <n v="0"/>
    <n v="5.5464926590538333E-3"/>
    <n v="12"/>
    <x v="0"/>
  </r>
  <r>
    <x v="366"/>
    <x v="356"/>
    <s v="#whatsappstatus  #yearofyou  #elephant  #anime _x000a_#z..."/>
    <x v="366"/>
    <x v="8"/>
    <n v="2025"/>
    <s v="June"/>
    <x v="1"/>
    <n v="37"/>
    <s v="UCn7NttsdsYIak33KORE8F-Q"/>
    <x v="24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79189"/>
    <n v="274"/>
    <n v="1"/>
    <n v="3.4727045422975411E-3"/>
    <n v="9"/>
    <x v="0"/>
  </r>
  <r>
    <x v="367"/>
    <x v="357"/>
    <s v="Bloombergâ€™s Caroline Hyde and Ed Ludlow discuss ..."/>
    <x v="367"/>
    <x v="43"/>
    <n v="2025"/>
    <s v="June"/>
    <x v="1"/>
    <n v="50"/>
    <s v="UCrM7B7SL_g1edFOnmj-SDKg"/>
    <x v="252"/>
    <s v="['Anna Rathbun', 'Caroline Hyde', &quot;Cecilia D'Anastasio&quot;, 'Ed Ludlow', 'Kailey Leinz', 'Matt Oguz', 'Max Chafkin', 'Michael Truell', 'Nancy Tengler', 'Nintendo Co. Ltd.', 'Tesla Motors Inc.', 'loren grush']"/>
    <n v="25"/>
    <x v="1"/>
    <n v="9923"/>
    <n v="166"/>
    <n v="24"/>
    <n v="1.9147435251436057E-2"/>
    <n v="2781"/>
    <x v="1"/>
  </r>
  <r>
    <x v="368"/>
    <x v="358"/>
    <s v="No description available"/>
    <x v="368"/>
    <x v="152"/>
    <n v="2025"/>
    <s v="June"/>
    <x v="1"/>
    <n v="49"/>
    <s v="UCS3Wkf4E8qFdFPX1coxNyAw"/>
    <x v="25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55921"/>
    <n v="669"/>
    <n v="4"/>
    <n v="1.2034834856315159E-2"/>
    <n v="12"/>
    <x v="0"/>
  </r>
  <r>
    <x v="369"/>
    <x v="359"/>
    <s v="No description available"/>
    <x v="369"/>
    <x v="8"/>
    <n v="2025"/>
    <s v="June"/>
    <x v="1"/>
    <n v="37"/>
    <s v="UCv-7XfJ44mshX_fWNp9-fOA"/>
    <x v="25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485"/>
    <n v="64"/>
    <n v="0"/>
    <n v="9.8689282960678481E-3"/>
    <n v="13"/>
    <x v="0"/>
  </r>
  <r>
    <x v="370"/>
    <x v="360"/>
    <s v="No description available"/>
    <x v="370"/>
    <x v="94"/>
    <n v="2025"/>
    <s v="June"/>
    <x v="1"/>
    <n v="36"/>
    <s v="UC1jadvunaVQZLRQfvkl7W9g"/>
    <x v="25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1415"/>
    <n v="47"/>
    <n v="5"/>
    <n v="3.674911660777385E-2"/>
    <n v="23"/>
    <x v="0"/>
  </r>
  <r>
    <x v="371"/>
    <x v="361"/>
    <s v="Top 10 Emerging Technologies of 2025 (According to..."/>
    <x v="371"/>
    <x v="262"/>
    <n v="2024"/>
    <s v="December"/>
    <x v="4"/>
    <n v="233"/>
    <s v="UCUTF61UNExRdjmoK5mXwWfQ"/>
    <x v="109"/>
    <s v="['top 10 emerging technologies of 2025 (according to science)', 'top 10 emerging technologies of 2025', 'emerging technologies of 2025', 'future technology trends', '2025 tech predictions', 'upcoming technologies 2025', 'scientific advancements 2025', 'top tech innovations of 2025', 'whatâ€™s next in technology', 'future technology breakthroughs', '2025 technology trends', 'cutting-edge technologies of 2025', 'technological advancements in 2025', 'future innovation predictions', 'ai uncovered']"/>
    <n v="28"/>
    <x v="0"/>
    <n v="136955"/>
    <n v="1615"/>
    <n v="82"/>
    <n v="1.2390931327808405E-2"/>
    <n v="631"/>
    <x v="1"/>
  </r>
  <r>
    <x v="372"/>
    <x v="362"/>
    <s v="No description available"/>
    <x v="372"/>
    <x v="216"/>
    <n v="2025"/>
    <s v="May"/>
    <x v="0"/>
    <n v="61"/>
    <s v="UCVf1xp-6b4iabCQembMf-dg"/>
    <x v="25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7"/>
    <x v="14"/>
    <n v="129050"/>
    <n v="621"/>
    <n v="3"/>
    <n v="4.8353351414180549E-3"/>
    <n v="11"/>
    <x v="0"/>
  </r>
  <r>
    <x v="373"/>
    <x v="363"/>
    <s v="In this rapidly evolving world of technology, stay..."/>
    <x v="373"/>
    <x v="263"/>
    <n v="2024"/>
    <s v="March"/>
    <x v="9"/>
    <n v="508"/>
    <s v="UCh2sbH_mPy4HzE8SWWj5gjg"/>
    <x v="257"/>
    <s v="['Job Oriented Training', 'Web Designing Training in Lucknow', 'Best Java Training Institute in Lucknow', 'Best PHP Training in Lucknow', 'CSS3', 'BOOTSTRAP 4', 'BOOTSTRAP 5', 'JavaScript', 'JS', 'Jquery', 'PHP', 'CI', 'CodeIgniter', 'Laravel', 'MySQL', 'Wordpress', 'Angluar Js', 'React Js', 'Node Js', 'Front End Web Development', 'UI/UX Design', 'Android Development', 'Display Advertising', 'E-mail Marketing', 'Search Engine Optimization', 'Search Media Optimization', 'SEO', 'SMO', 'PPC', 'Pay Per Click', 'Social Media', 'BCA', 'B.Tech', 'M.Tech', 'IT', 'CS', 'B.Voc']"/>
    <n v="27"/>
    <x v="2"/>
    <n v="8433"/>
    <n v="176"/>
    <n v="1"/>
    <n v="2.0988971896122376E-2"/>
    <n v="25"/>
    <x v="0"/>
  </r>
  <r>
    <x v="374"/>
    <x v="364"/>
    <s v="#boombaamfact #meme #memes #shorts #memesvideo #sh..."/>
    <x v="374"/>
    <x v="62"/>
    <n v="2024"/>
    <s v="December"/>
    <x v="4"/>
    <n v="220"/>
    <s v="UCeNwWy7uf8FySbJpxom9qkQ"/>
    <x v="25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719580"/>
    <n v="217464.60837887001"/>
    <n v="72"/>
    <n v="0.30231052611088416"/>
    <n v="40"/>
    <x v="0"/>
  </r>
  <r>
    <x v="375"/>
    <x v="365"/>
    <s v="aditya ranjan sir vikramjeet Sir in khan sir shadi..."/>
    <x v="375"/>
    <x v="261"/>
    <n v="2025"/>
    <s v="June"/>
    <x v="1"/>
    <n v="53"/>
    <s v="UCpv0zCVcnipfOfJIhAkE4Mw"/>
    <x v="25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667234"/>
    <n v="4228"/>
    <n v="17"/>
    <n v="2.5461332962259647E-3"/>
    <n v="6"/>
    <x v="0"/>
  </r>
  <r>
    <x v="376"/>
    <x v="366"/>
    <s v="No description available"/>
    <x v="376"/>
    <x v="94"/>
    <n v="2025"/>
    <s v="June"/>
    <x v="1"/>
    <n v="36"/>
    <s v="UCYMM9tFC6oYDqJfpILGayYA"/>
    <x v="26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382"/>
    <n v="310"/>
    <n v="5"/>
    <n v="9.3140153755174454E-2"/>
    <n v="6"/>
    <x v="0"/>
  </r>
  <r>
    <x v="377"/>
    <x v="367"/>
    <s v="No description available"/>
    <x v="377"/>
    <x v="85"/>
    <n v="2025"/>
    <s v="May"/>
    <x v="0"/>
    <n v="62"/>
    <s v="UCg000s7WtHV0yps-hQ-SHwA"/>
    <x v="14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1138"/>
    <n v="136"/>
    <n v="9"/>
    <n v="1.3018495241515533E-2"/>
    <n v="21"/>
    <x v="0"/>
  </r>
  <r>
    <x v="378"/>
    <x v="368"/>
    <s v="#whatsappstatus  #yearofyou  #elephant  #anime _x000a_#z..."/>
    <x v="378"/>
    <x v="94"/>
    <n v="2025"/>
    <s v="June"/>
    <x v="1"/>
    <n v="36"/>
    <s v="UCn7NttsdsYIak33KORE8F-Q"/>
    <x v="24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16107"/>
    <n v="93"/>
    <n v="1"/>
    <n v="5.8359719376668527E-3"/>
    <n v="9"/>
    <x v="0"/>
  </r>
  <r>
    <x v="379"/>
    <x v="369"/>
    <s v="Weekend ka vaar aa gaya hai bhailog..._x000a__x000a_#POCOF7 #O..."/>
    <x v="379"/>
    <x v="177"/>
    <n v="2025"/>
    <s v="June"/>
    <x v="1"/>
    <n v="42"/>
    <s v="UC1tVU8H153ZFO9eRsxdJlhA"/>
    <x v="261"/>
    <s v="['Nothing phone 3', 'poco f7', 'POCO F7', 'iqoo z10 lite', 'tech news', 'Tech', 'Technology', 'Technology Gyan']"/>
    <n v="28"/>
    <x v="0"/>
    <n v="296354"/>
    <n v="16633"/>
    <n v="1179"/>
    <n v="6.0103794785965434E-2"/>
    <n v="568"/>
    <x v="1"/>
  </r>
  <r>
    <x v="380"/>
    <x v="144"/>
    <s v="Broken Flex Repair #mobilerepair #technology _x000a_#sol..."/>
    <x v="380"/>
    <x v="43"/>
    <n v="2025"/>
    <s v="June"/>
    <x v="1"/>
    <n v="50"/>
    <s v="UCccExinXJkC9aQHROcCizaQ"/>
    <x v="90"/>
    <s v="['Broken Flex Repair #mobilerepair #technology', 'how to repair broken flex', 'broken flex repairing', 'broken flex', 'damage flex', 'cutted flex repair', 'turn flex repair', 'broken ribon belt repair', 'lcd flex', 'display flex', 'lcd flex repair', 'broken lcd flex repair', 'broken display flex repair', 'flex repair', 'mobile repair', 'mobile repairing', 'mobile repairing course', 'electronic', 'soldering', 'desoldering', 'soldering tutorial', 'micro soldering', 'micro jumper', 'solder mask', 'uv mask', 'uv curing mask']"/>
    <n v="28"/>
    <x v="0"/>
    <n v="33693"/>
    <n v="854"/>
    <n v="34"/>
    <n v="2.6355622829667885E-2"/>
    <n v="57"/>
    <x v="0"/>
  </r>
  <r>
    <x v="381"/>
    <x v="370"/>
    <s v="#gadjets_x000a_#tech_x000a_#anitech_x000a_#technology"/>
    <x v="381"/>
    <x v="8"/>
    <n v="2025"/>
    <s v="June"/>
    <x v="1"/>
    <n v="37"/>
    <s v="UChNDZkwOHEYwm5uVycADEdQ"/>
    <x v="17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8095"/>
    <n v="34"/>
    <n v="0"/>
    <n v="4.2001235330450899E-3"/>
    <n v="12"/>
    <x v="0"/>
  </r>
  <r>
    <x v="382"/>
    <x v="371"/>
    <s v="No description available"/>
    <x v="382"/>
    <x v="94"/>
    <n v="2025"/>
    <s v="June"/>
    <x v="1"/>
    <n v="36"/>
    <s v="UCOZl8NG3JDV09xo-lASN6zw"/>
    <x v="26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416"/>
    <n v="303"/>
    <n v="115"/>
    <n v="0.12236533957845433"/>
    <n v="57"/>
    <x v="0"/>
  </r>
  <r>
    <x v="383"/>
    <x v="372"/>
    <s v="I tested 100 years of tech! Learn more about AI an..."/>
    <x v="383"/>
    <x v="264"/>
    <n v="2025"/>
    <s v="May"/>
    <x v="0"/>
    <n v="70"/>
    <s v="UCXMVaxrax7RNDPdfRrXXgtQ"/>
    <x v="263"/>
    <s v="['shorts', 'youtube shorts', 'hafu', 'hafu go', 'experiments', 'experiment', 'science experiment', 'hafu go shorts', 'level 1 to 100', 'mr beast', 'diy', 'mrbeast', 'vector', '_vector_', '100 years of tech', '100 years', 'i tested', 'tested', 'banned', 'banned products']"/>
    <n v="24"/>
    <x v="3"/>
    <n v="1176050"/>
    <n v="11696"/>
    <n v="258"/>
    <n v="1.0164533820840951E-2"/>
    <n v="1314"/>
    <x v="1"/>
  </r>
  <r>
    <x v="384"/>
    <x v="373"/>
    <s v="High drama and hard racing lit up the night in St...."/>
    <x v="384"/>
    <x v="164"/>
    <n v="2025"/>
    <s v="June"/>
    <x v="1"/>
    <n v="40"/>
    <s v="UCy1F61QvUUQXAXi2Voa_fUw"/>
    <x v="264"/>
    <s v="['Indy', 'indycar', 'indy car', 'indycar news', 'indycar series', 'open wheel racing', 'motorsports', 'ntt indycar series', 'autosports', 'auto racing', 'indycar updates', 'IndyCar Series news', 'indycar highlights', 'motor racing', 'sports', 'sport', 'action', 'indycar videos', 'racing', '2025 indycar', '2025 indycar series', 'indycar on fox', 'fox sports indycar', 'indy 500', 'indianapolis 500', 'indycar 2025 highlights', 'indycar st louis', 'indycar gateway', 'indycar crash', 'kyle kirkwood', 'indycar 2025 gateway', 'indycar full race']"/>
    <n v="17"/>
    <x v="14"/>
    <n v="66301"/>
    <n v="1667"/>
    <n v="134"/>
    <n v="2.716399450988673E-2"/>
    <n v="528"/>
    <x v="1"/>
  </r>
  <r>
    <x v="385"/>
    <x v="374"/>
    <s v="Hello, Friends Welcome to Tech News No.1685. Today..."/>
    <x v="385"/>
    <x v="164"/>
    <n v="2025"/>
    <s v="June"/>
    <x v="1"/>
    <n v="40"/>
    <s v="UCEPL07qzVsOcHd3sMUws65g"/>
    <x v="265"/>
    <s v="['realme Narzo 80 Lite 5G', 'Lava Storm Lite', 'Lava Play', 'Samsung Galaxy M36', 'Tecno Pova 7 5G', 'POCO F7 leak', 'Dimensity 9500 Geekbench', 'iPhone 17 Pro Geekbench', 'Funtouch OS update', 'Nothing Phone 3 India', 'Galaxy S25 One UI 8', 'WhatsApp Telegram Ban Russia', 'AI Siri iOS 26.4', 'tech news India', 'new phone launches 2025', 'smartphone leaks June 2025', 'TrakinTech news', 'tech news', 'trakin tech news', 'trakin news', 'iphone 17 series', 'nothing phone 3', 'Nord CE 5', 'Nord 5', 'bullets wireless 3']"/>
    <n v="28"/>
    <x v="0"/>
    <n v="368021"/>
    <n v="15932"/>
    <n v="638"/>
    <n v="4.5024604574195493E-2"/>
    <n v="454"/>
    <x v="1"/>
  </r>
  <r>
    <x v="386"/>
    <x v="375"/>
    <s v="I bought the Cheapest Tech on the internet....why ..."/>
    <x v="386"/>
    <x v="154"/>
    <n v="2025"/>
    <s v="April"/>
    <x v="14"/>
    <n v="116"/>
    <s v="UCMiJRAwDNSNzuYeN2uWa0pA"/>
    <x v="0"/>
    <s v="['cheapest', 'tech', 'gadgets', 'cheap', 'cheap tech', 'cheap gadgets', 'tech gifts', 'I bought']"/>
    <n v="28"/>
    <x v="0"/>
    <n v="7242862"/>
    <n v="172242"/>
    <n v="6485"/>
    <n v="2.4676295088875089E-2"/>
    <n v="2306"/>
    <x v="1"/>
  </r>
  <r>
    <x v="387"/>
    <x v="376"/>
    <s v="#whatsappstatus  #yearofyou  #elephant  #anime _x000a_#z..."/>
    <x v="387"/>
    <x v="94"/>
    <n v="2025"/>
    <s v="June"/>
    <x v="1"/>
    <n v="36"/>
    <s v="UCn7NttsdsYIak33KORE8F-Q"/>
    <x v="24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19212"/>
    <n v="94"/>
    <n v="0"/>
    <n v="4.892775348740371E-3"/>
    <n v="11"/>
    <x v="0"/>
  </r>
  <r>
    <x v="388"/>
    <x v="286"/>
    <s v="No description available"/>
    <x v="388"/>
    <x v="94"/>
    <n v="2025"/>
    <s v="June"/>
    <x v="1"/>
    <n v="36"/>
    <s v="UCRViTbkidX2YMQuo3anHAhA"/>
    <x v="26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6068"/>
    <n v="147"/>
    <n v="0"/>
    <n v="4.0756349118332043E-3"/>
    <n v="6"/>
    <x v="0"/>
  </r>
  <r>
    <x v="389"/>
    <x v="377"/>
    <s v="Tecnologia in Cricket #technology #memes #shorts #..."/>
    <x v="389"/>
    <x v="260"/>
    <n v="2025"/>
    <s v="June"/>
    <x v="1"/>
    <n v="47"/>
    <s v="UCspyRYwKoAXVspnIyEV_a5w"/>
    <x v="267"/>
    <s v="['shorts', 'cricket', 'tecnology', 'memes', 'technologia']"/>
    <n v="23"/>
    <x v="7"/>
    <n v="31197"/>
    <n v="217464.60837887001"/>
    <n v="0"/>
    <n v="6.9706897579533287"/>
    <n v="11"/>
    <x v="0"/>
  </r>
  <r>
    <x v="390"/>
    <x v="378"/>
    <s v="No description available"/>
    <x v="390"/>
    <x v="1"/>
    <n v="2025"/>
    <s v="June"/>
    <x v="1"/>
    <n v="38"/>
    <s v="UCu2ElvU6KgMS6jMUsEma1Sg"/>
    <x v="26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576"/>
    <n v="106"/>
    <n v="1"/>
    <n v="1.1173767752715121E-2"/>
    <n v="24"/>
    <x v="0"/>
  </r>
  <r>
    <x v="390"/>
    <x v="378"/>
    <s v="No description available"/>
    <x v="390"/>
    <x v="1"/>
    <n v="2025"/>
    <s v="June"/>
    <x v="1"/>
    <n v="38"/>
    <s v="UCu2ElvU6KgMS6jMUsEma1Sg"/>
    <x v="26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633"/>
    <n v="106"/>
    <n v="1"/>
    <n v="1.1107650783764144E-2"/>
    <n v="24"/>
    <x v="0"/>
  </r>
  <r>
    <x v="391"/>
    <x v="379"/>
    <s v="No description available"/>
    <x v="391"/>
    <x v="164"/>
    <n v="2025"/>
    <s v="June"/>
    <x v="1"/>
    <n v="40"/>
    <s v="UC5JWy-pwJL4QsM2OrnRv7jA"/>
    <x v="26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2713"/>
    <n v="22"/>
    <n v="0"/>
    <n v="8.1091043125691119E-3"/>
    <n v="23"/>
    <x v="0"/>
  </r>
  <r>
    <x v="392"/>
    <x v="380"/>
    <s v="No description available"/>
    <x v="392"/>
    <x v="25"/>
    <n v="2025"/>
    <s v="June"/>
    <x v="1"/>
    <n v="41"/>
    <s v="UCRDFPlaigrXGcgrEqutDKuQ"/>
    <x v="27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2714"/>
    <n v="953"/>
    <n v="6"/>
    <n v="2.9314666503637586E-2"/>
    <n v="27"/>
    <x v="0"/>
  </r>
  <r>
    <x v="393"/>
    <x v="381"/>
    <s v="Check out the Secretlab Titan Evo ergonomic gaming..."/>
    <x v="393"/>
    <x v="177"/>
    <n v="2025"/>
    <s v="June"/>
    <x v="1"/>
    <n v="42"/>
    <s v="UCdBK94H6oZT2Q7l0-b0xmMg"/>
    <x v="271"/>
    <s v="['shortcircuit', 'SC', 'unboxing', 'first impression', 'tech', 'gadget', 'home', 'fun', 'buy', 'Motorola', 'RAZR 2025', 'RAZR Ultra', 'Foldable Phones', 'Flip Phone', 'Motorola Razr', 'Smartphone Review', 'Android Phones', 'Tech Review', 'ShortCircuit', 'Linus Tech Tips', 'LMG', 'Motorola Comparison']"/>
    <n v="28"/>
    <x v="0"/>
    <n v="660910"/>
    <n v="17279"/>
    <n v="1132"/>
    <n v="2.7857045588658064E-2"/>
    <n v="857"/>
    <x v="1"/>
  </r>
  <r>
    <x v="394"/>
    <x v="382"/>
    <s v="The Most Dangerous Neodymium Magnets on Earth! ðŸ§..."/>
    <x v="394"/>
    <x v="265"/>
    <n v="2025"/>
    <s v="March"/>
    <x v="23"/>
    <n v="131"/>
    <s v="UC6TEngWEu42_bJ6rYzlosNA"/>
    <x v="27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8113333"/>
    <n v="203344"/>
    <n v="138"/>
    <n v="2.5079951728839429E-2"/>
    <n v="42"/>
    <x v="0"/>
  </r>
  <r>
    <x v="395"/>
    <x v="383"/>
    <s v="I bought and tested the best survival tech I could..."/>
    <x v="395"/>
    <x v="20"/>
    <n v="2025"/>
    <s v="February"/>
    <x v="15"/>
    <n v="154"/>
    <s v="UCMiJRAwDNSNzuYeN2uWa0pA"/>
    <x v="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041116"/>
    <n v="212188"/>
    <n v="6254"/>
    <n v="3.1023775208361856E-2"/>
    <n v="1987"/>
    <x v="1"/>
  </r>
  <r>
    <x v="396"/>
    <x v="384"/>
    <s v="No description available"/>
    <x v="396"/>
    <x v="94"/>
    <n v="2025"/>
    <s v="June"/>
    <x v="1"/>
    <n v="36"/>
    <s v="UCbwA8vh9fdS8_X37FaFIk2w"/>
    <x v="27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13025"/>
    <n v="367"/>
    <n v="2"/>
    <n v="2.8330134357005758E-2"/>
    <n v="51"/>
    <x v="0"/>
  </r>
  <r>
    <x v="397"/>
    <x v="385"/>
    <s v="No description available"/>
    <x v="397"/>
    <x v="1"/>
    <n v="2025"/>
    <s v="June"/>
    <x v="1"/>
    <n v="38"/>
    <s v="UCr9a47pzGZNAUY5srcczTAQ"/>
    <x v="27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7870"/>
    <n v="3060"/>
    <n v="60"/>
    <n v="6.5176519740965111E-2"/>
    <n v="80"/>
    <x v="1"/>
  </r>
  <r>
    <x v="398"/>
    <x v="386"/>
    <s v="No description available"/>
    <x v="398"/>
    <x v="95"/>
    <n v="2025"/>
    <s v="May"/>
    <x v="0"/>
    <n v="60"/>
    <s v="UCILOFtyUUceEnd5yEenavOw"/>
    <x v="27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205"/>
    <n v="65"/>
    <n v="5"/>
    <n v="2.1840873634945399E-2"/>
    <n v="55"/>
    <x v="0"/>
  </r>
  <r>
    <x v="399"/>
    <x v="286"/>
    <s v="No description available"/>
    <x v="399"/>
    <x v="8"/>
    <n v="2025"/>
    <s v="June"/>
    <x v="1"/>
    <n v="37"/>
    <s v="UCRViTbkidX2YMQuo3anHAhA"/>
    <x v="26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98184"/>
    <n v="416"/>
    <n v="2"/>
    <n v="4.2573128004562864E-3"/>
    <n v="6"/>
    <x v="0"/>
  </r>
  <r>
    <x v="400"/>
    <x v="387"/>
    <s v="#road #shorts #technology #rohossomoy _x000a__x000a__x000a_à¦œà¦¾à¦ª..."/>
    <x v="400"/>
    <x v="94"/>
    <n v="2025"/>
    <s v="June"/>
    <x v="1"/>
    <n v="36"/>
    <s v="UC6gfR-c57XtR8Ytm7vv1GUg"/>
    <x v="276"/>
    <s v="['road', 'shorts', 'technology', 'rohossomoy', 'road technology', 'drainage system', 'road tech']"/>
    <n v="27"/>
    <x v="2"/>
    <n v="8312"/>
    <n v="100"/>
    <n v="0"/>
    <n v="1.203079884504331E-2"/>
    <n v="31"/>
    <x v="0"/>
  </r>
  <r>
    <x v="401"/>
    <x v="388"/>
    <s v="to aaj hum krenge vivo k y series ka phone vivo Y4..."/>
    <x v="401"/>
    <x v="94"/>
    <n v="2025"/>
    <s v="June"/>
    <x v="1"/>
    <n v="36"/>
    <s v="UC1tVU8H153ZFO9eRsxdJlhA"/>
    <x v="261"/>
    <s v="['vivo y400 pro', 'vivo Y400 Pro', 'vivo Y400 Pro unboxing', 'vivo y400 pro camera test', 'vivo y400 pro review', 'vivo y400 pro price', 'vivo y400 pro bgmi test', 'vivo y400 pro test']"/>
    <n v="28"/>
    <x v="0"/>
    <n v="323608"/>
    <n v="18473"/>
    <n v="1275"/>
    <n v="6.1024449333761832E-2"/>
    <n v="846"/>
    <x v="1"/>
  </r>
  <r>
    <x v="402"/>
    <x v="389"/>
    <s v="iOS 26 Best Features Explained By Prasad tech in t..."/>
    <x v="402"/>
    <x v="150"/>
    <n v="2025"/>
    <s v="June"/>
    <x v="1"/>
    <n v="45"/>
    <s v="UCb-xXZ7ltTvrh9C6DgB9H-Q"/>
    <x v="277"/>
    <s v="['prasadtechintelugu', 'prasad', 'techtelugu', 'technews', 'Prasad tech in telugu', 'iOS 26 features', 'iOS 26 hands-on', 'iOS 26 review', 'iOS 26 update', 'iOS 26 supported device', 'iOS 26 new lock screen features', 'Whatâ€™s new in iOS 26 for iPhone', 'iOS 26 vs iOS 25 comparison', 'Hidden features in iOS 26', 'iOS 26 performance on iPhone 15']"/>
    <n v="28"/>
    <x v="0"/>
    <n v="471343"/>
    <n v="16705"/>
    <n v="689"/>
    <n v="3.6903062101272324E-2"/>
    <n v="702"/>
    <x v="1"/>
  </r>
  <r>
    <x v="403"/>
    <x v="390"/>
    <s v="Welcome to Lord Gizmo, your ultimate destination f..."/>
    <x v="403"/>
    <x v="8"/>
    <n v="2025"/>
    <s v="June"/>
    <x v="1"/>
    <n v="37"/>
    <s v="UCtNqDwpTHxhT4b0VIZ680Tw"/>
    <x v="278"/>
    <s v="['Lord Gizmo', 'construction technology', 'futuristic construction', 'advanced construction methods', 'construction innovations', 'smart construction tools', 'future of construction', 'automated construction', 'robotics in construction', 'construction site technology', 'high tech building', 'sustainable construction', 'prefab technology', 'building automation', 'smart infrastructure', 'construction equipment 2025', 'next-gen building techniques', 'tech in construction']"/>
    <n v="28"/>
    <x v="0"/>
    <n v="15534"/>
    <n v="155"/>
    <n v="3"/>
    <n v="1.0171237285953393E-2"/>
    <n v="1523"/>
    <x v="1"/>
  </r>
  <r>
    <x v="404"/>
    <x v="54"/>
    <s v="#WhatisArtificialIntelligence #QuickSupport #Innov..."/>
    <x v="404"/>
    <x v="266"/>
    <n v="2020"/>
    <s v="November"/>
    <x v="46"/>
    <n v="1722"/>
    <s v="UCN3-BVMnr44LIUheSuppw1A"/>
    <x v="279"/>
    <s v="['What is Artificial Intelligence With Full Information?', 'What is Artificial Intelligence in Hindi?', 'Artificial Intelligence Kya Hain?', 'What is artificial intelligence with examples? What is artificial intelligence in computer?', 'Artificial intelligence Animation Video', 'Benefits of artificial intelligence', 'Artificial intelligence future', 'Who started AI?', 'Where is Artificial Intelligence used?', 'What is the disadvantage of Artificial Intelligence?', 'Types of artificial intelligence']"/>
    <n v="22"/>
    <x v="6"/>
    <n v="3430352"/>
    <n v="91926"/>
    <n v="2321"/>
    <n v="2.7474439940857381E-2"/>
    <n v="650"/>
    <x v="1"/>
  </r>
  <r>
    <x v="405"/>
    <x v="391"/>
    <s v="Japan Ki Technology |#shortvideo #japan"/>
    <x v="405"/>
    <x v="267"/>
    <n v="2023"/>
    <s v="October"/>
    <x v="47"/>
    <n v="658"/>
    <s v="UCYGG8zOddS-r1sRbgseabhQ"/>
    <x v="280"/>
    <s v="['Japan ki Technology', 'Japan', 'YouTube shorts video', 'shorts', 'intjar khan 0009']"/>
    <n v="24"/>
    <x v="3"/>
    <n v="324714"/>
    <n v="217464.60837887001"/>
    <n v="25"/>
    <n v="0.66978820863550692"/>
    <n v="55"/>
    <x v="0"/>
  </r>
  <r>
    <x v="406"/>
    <x v="392"/>
    <s v="Ha ha à¦à¦Ÿà¦¾ à¦¨à¦¾à¦•à¦¿ TechnologyðŸ˜‚ðŸ˜‚à¦¸..."/>
    <x v="406"/>
    <x v="94"/>
    <n v="2025"/>
    <s v="June"/>
    <x v="1"/>
    <n v="36"/>
    <s v="UCOsIy06fqolrwK72HTgyTkQ"/>
    <x v="281"/>
    <s v="['funny', 'comedy', 'shorts', 'new funny video', 'best funny', 'bangla funny', 'bd funny', 'hasir video']"/>
    <n v="24"/>
    <x v="3"/>
    <n v="1176285"/>
    <n v="18763"/>
    <n v="75"/>
    <n v="1.6014826338854954E-2"/>
    <n v="91"/>
    <x v="1"/>
  </r>
  <r>
    <x v="407"/>
    <x v="393"/>
    <s v="4 Satisfying Gadgets  #gadgets #shorts"/>
    <x v="407"/>
    <x v="3"/>
    <n v="2024"/>
    <s v="July"/>
    <x v="3"/>
    <n v="383"/>
    <s v="UCBbeXVY55K5estTHrKWJ5Yg"/>
    <x v="15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7236998"/>
    <n v="509957"/>
    <n v="272"/>
    <n v="2.9600804037918899E-2"/>
    <n v="42"/>
    <x v="0"/>
  </r>
  <r>
    <x v="408"/>
    <x v="394"/>
    <s v="No description available"/>
    <x v="408"/>
    <x v="8"/>
    <n v="2025"/>
    <s v="June"/>
    <x v="1"/>
    <n v="37"/>
    <s v="UCYmubRgKh0mk4TYQnonwTGQ"/>
    <x v="28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024"/>
    <n v="145"/>
    <n v="1"/>
    <n v="1.6179078014184396E-2"/>
    <n v="29"/>
    <x v="0"/>
  </r>
  <r>
    <x v="409"/>
    <x v="395"/>
    <s v="Check out the CORSAIR Platform:4 Elevate Desk at: ..."/>
    <x v="409"/>
    <x v="56"/>
    <n v="2025"/>
    <s v="April"/>
    <x v="14"/>
    <n v="89"/>
    <s v="UCdBK94H6oZT2Q7l0-b0xmMg"/>
    <x v="271"/>
    <s v="['shortcircuit', 'SC', 'unboxing', 'first impression', 'tech', 'gadget', 'home', 'fun', 'buy', 'Samsung Galaxy A35', 'A36 review', 'Galaxy A35 hands-on', 'Galaxy A36 hands-on', 'Galaxy A36 first impressions', 'Samsung budget phone review', 'Samsung midrange phone', 'Galaxy A series review', 'Linus Tech Tips', 'ShortCircuit', 'Linus Sebastian', 'smartphone review', 'cheap phone review', 'Galaxy A36 vs flagship', 'Galaxy A36 gaming', 'Galaxy A36 camera test', 'Galaxy A36 battery life', 'Galaxy A36 vs Pixel 9a', 'Android phone 2024']"/>
    <n v="28"/>
    <x v="0"/>
    <n v="843288"/>
    <n v="25034"/>
    <n v="3464"/>
    <n v="3.3793911451366558E-2"/>
    <n v="533"/>
    <x v="1"/>
  </r>
  <r>
    <x v="410"/>
    <x v="396"/>
    <s v="Get 40% off an annual Nebula subscription here: ht..."/>
    <x v="410"/>
    <x v="258"/>
    <n v="2025"/>
    <s v="May"/>
    <x v="0"/>
    <n v="83"/>
    <s v="UCtZO3K2p8mqFwiKWb9k7fXA"/>
    <x v="283"/>
    <s v="['techaltar', 'the story behind', 'the friday checkout', 'friday checkout', 'laptop', 'fairphone', 'fairphone 5', 'eos', 'e/os', 'european alternatives', 'european software', 'open source', 'american tech', 'boycott', 'tech giants', 'google', 'microsoft', 'nextcloud', 'next cloud', 'murena', 'proton', 'proton mail', 'proton drive', 'tariffs', 'trade war', 'trump', 'EU', 'european union', 'europe', 'german', 'dutch', 'french', 'US', 'USA', 'american']"/>
    <n v="28"/>
    <x v="0"/>
    <n v="272545"/>
    <n v="13055"/>
    <n v="1250"/>
    <n v="5.2486745308114258E-2"/>
    <n v="988"/>
    <x v="1"/>
  </r>
  <r>
    <x v="411"/>
    <x v="397"/>
    <s v="Why is Big Tech Slashing Jobs in 2025? | Vantage w..."/>
    <x v="411"/>
    <x v="38"/>
    <n v="2025"/>
    <s v="May"/>
    <x v="0"/>
    <n v="59"/>
    <s v="UCz8QaiQxApLq8sLNcszYyJw"/>
    <x v="284"/>
    <s v="['firstpost', 'vantage', 'palki sharma', 'vantage palki sharma', 'first post', 'firstpost palki sharma', 'vantage on firstpost', 'jobs in tech', 'tech jobs', 'jobs in technology', 'google jobs', 'job vacancy in microsoft', 'job vacancy in google', 'technology jobs', 'tech jobs 2025', 'technology jobs 2025', 'technology jobs in 2025', '2025 technology jobs', 'jobs in technology video', 'jobs in technologyvideos', 'jobs in technology 2025 video', 'tech jobs portal', 'tech jobs naukri', 'tech jobs linkedin']"/>
    <n v="25"/>
    <x v="1"/>
    <n v="223617"/>
    <n v="2274"/>
    <n v="215"/>
    <n v="1.1130638547158758E-2"/>
    <n v="378"/>
    <x v="1"/>
  </r>
  <r>
    <x v="412"/>
    <x v="398"/>
    <s v="Meibot in Lab ðŸ§ª #future #tech #technology ##mei..."/>
    <x v="412"/>
    <x v="1"/>
    <n v="2025"/>
    <s v="June"/>
    <x v="1"/>
    <n v="38"/>
    <s v="UCPdVC7w-AmZ6BGCoIoU1v3g"/>
    <x v="6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10606"/>
    <n v="721"/>
    <n v="3"/>
    <n v="6.5457570113737051E-3"/>
    <n v="11"/>
    <x v="0"/>
  </r>
  <r>
    <x v="413"/>
    <x v="399"/>
    <s v="ATM bike viral shorts #technology #atm #funny #hac..."/>
    <x v="413"/>
    <x v="8"/>
    <n v="2025"/>
    <s v="June"/>
    <x v="1"/>
    <n v="37"/>
    <s v="UCakSAR_crAk4P5DT6FsovwQ"/>
    <x v="47"/>
    <s v="['bike shorts', 'viral bike', 'ATM bike', 'viral ATM', 'machine', 'ATM', 'experiment ATM', 'bike experiment', 'ATM technology', 'ATM bike shorts', 'viral short', 'feed', 'shorts', 'new bike', 'new hack', 'YouTube shorts', 'shorts feed']"/>
    <n v="22"/>
    <x v="6"/>
    <n v="13765"/>
    <n v="217464.60837887001"/>
    <n v="4"/>
    <n v="15.798663885134037"/>
    <n v="46"/>
    <x v="0"/>
  </r>
  <r>
    <x v="414"/>
    <x v="400"/>
    <s v="No description available"/>
    <x v="414"/>
    <x v="94"/>
    <n v="2025"/>
    <s v="June"/>
    <x v="1"/>
    <n v="36"/>
    <s v="UCKd9CHxXx0GPCQSlGYfVTuA"/>
    <x v="28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6934"/>
    <n v="104"/>
    <n v="0"/>
    <n v="3.861290562114799E-3"/>
    <n v="6"/>
    <x v="0"/>
  </r>
  <r>
    <x v="415"/>
    <x v="401"/>
    <s v="TECHNOLOGIA!!BOBY SHINGH!!CHOUDHURI &amp; BEBO!!BOBY S..."/>
    <x v="415"/>
    <x v="12"/>
    <n v="2025"/>
    <s v="May"/>
    <x v="0"/>
    <n v="66"/>
    <s v="UCTuaDfooCOEXbW4X-dbDmkw"/>
    <x v="286"/>
    <s v="['tenge tenge', 'tenge tenge kid', 'rango tenge tenge', 'tenge tenge uganda', 'tenge tenge kid dance', 'tenge tenge dance', 'tenge tenge original', 'tenge tenge original video', 'tengetenge', 'BADO BADI', 'PURTY STAR ENTERTAINMENT', 'NEW SANTALI VIDEO SONG', 'NEW SANTALI VIDEO', 'CHIN TAPAK', 'CHINTAPAKDUMDUM', 'CHINTAPAKDAMDAM', 'CHIN TAPAK DAM DAM', 'DAM DAM', 'LAKA LAKA', 'LAKA LAKA BOBY SINGH', 'AMBO KAIBU KI', 'BOBY SINGH', 'KHADAL KHADAL', 'TECHNOLOGIA', 'TECHNOLOGIA BOBY SINGH', 'BOBY SINGH TECHNOLOGIA']"/>
    <n v="24"/>
    <x v="3"/>
    <n v="992690"/>
    <n v="15827"/>
    <n v="573"/>
    <n v="1.6520766805347087E-2"/>
    <n v="194"/>
    <x v="1"/>
  </r>
  <r>
    <x v="416"/>
    <x v="286"/>
    <s v="No description available"/>
    <x v="416"/>
    <x v="1"/>
    <n v="2025"/>
    <s v="June"/>
    <x v="1"/>
    <n v="38"/>
    <s v="UCpM3JS2OolDneqp04flQP1g"/>
    <x v="28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9070"/>
    <n v="72"/>
    <n v="0"/>
    <n v="2.4767801857585141E-3"/>
    <n v="6"/>
    <x v="0"/>
  </r>
  <r>
    <x v="417"/>
    <x v="402"/>
    <s v="Official music video for Milow &quot;Ayo Technology&quot; _x000a_D..."/>
    <x v="417"/>
    <x v="268"/>
    <n v="2009"/>
    <s v="April"/>
    <x v="48"/>
    <n v="5943"/>
    <s v="UChCDNXr_7WGYGcVsk6JuboQ"/>
    <x v="288"/>
    <s v="['50 Cent (Musical Artist)', 'Alternative', 'Ayo Technology', 'Ayo Technology (Composition)', 'Belgium', 'Coming Of Age (Musical Album)', 'Homerun', 'Jonathan Vandenbroeck', 'Justin Timberlake (Musical Artist)', 'Milow', 'Milow songs', 'Official Music Video', 'Orchard Music', 'Radial', 'Records', 'Rock', 'The Orchard', 'official video']"/>
    <n v="10"/>
    <x v="5"/>
    <n v="78152857"/>
    <n v="238675"/>
    <n v="13765"/>
    <n v="3.2300802515767275E-3"/>
    <n v="214"/>
    <x v="1"/>
  </r>
  <r>
    <x v="418"/>
    <x v="403"/>
    <s v="Song Title: Ayo Yo Technology (Nagamese Comedy Son..."/>
    <x v="418"/>
    <x v="269"/>
    <n v="2020"/>
    <s v="August"/>
    <x v="49"/>
    <n v="1798"/>
    <s v="UCr-4TcDYvJis3_Pgzyvwvag"/>
    <x v="28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5083502"/>
    <n v="83850"/>
    <n v="1559"/>
    <n v="1.6801213022046613E-2"/>
    <n v="291"/>
    <x v="1"/>
  </r>
  <r>
    <x v="419"/>
    <x v="404"/>
    <s v="No description available"/>
    <x v="419"/>
    <x v="270"/>
    <n v="2024"/>
    <s v="November"/>
    <x v="32"/>
    <n v="243"/>
    <s v="UCmJbw8OlRhzAXPjfVHXGndg"/>
    <x v="29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27148315"/>
    <n v="1001472"/>
    <n v="3127"/>
    <n v="3.7004101359513472E-2"/>
    <n v="60"/>
    <x v="0"/>
  </r>
  <r>
    <x v="420"/>
    <x v="405"/>
    <s v="AMD Doesnâ€™t Give a F**K Either - Tech News June ..."/>
    <x v="420"/>
    <x v="121"/>
    <n v="2025"/>
    <s v="June"/>
    <x v="1"/>
    <n v="48"/>
    <s v="UCvWWf-LYjaujE50iYai8WgQ"/>
    <x v="291"/>
    <s v="['computer', 'PC', 'PC gaming', 'personal computer', 'computer hardware', 'paulshardware', 'AMD', 'RX 9060 XT', '8GB', '16GB', 'RX 9060 XT launch', 'backlash', 'radeon', 'gpu', 'RTX 5060', 'RTX 5060 Ti', '5060 ti', '5060 ti 8gb', 'NVIDIA', 'Gaming GPUs', 'AMD Radeon', 'nvidia', 'intel', 'tech news', 'weekly tech news', 'graphics cards', 'gaming pc', 'sunday tech news', 'RTX 50 series', 'RX 9070 XT', 'gpu news', 'launch date', 'rtx 50 series', 'gpu availability', 'RTX 5060 launch', 'Windows 11']"/>
    <n v="28"/>
    <x v="0"/>
    <n v="113134"/>
    <n v="8898"/>
    <n v="1075"/>
    <n v="8.8152102816129549E-2"/>
    <n v="690"/>
    <x v="1"/>
  </r>
  <r>
    <x v="421"/>
    <x v="406"/>
    <s v="à¦Ÿà§‡à¦•à¦¨à§‹à¦²à¦œà¦¿ vs à¦¬à§Œà¦®à¦¾ ðŸ˜‚ðŸ¤£ ..."/>
    <x v="421"/>
    <x v="95"/>
    <n v="2025"/>
    <s v="May"/>
    <x v="0"/>
    <n v="60"/>
    <s v="UC62kJaLNMTv9DTbgFGUZYdQ"/>
    <x v="292"/>
    <s v="['bangla gaan', 'bangla natok', 'cartoon', 'chicken', 'comedy', 'comedy shorts', 'comedy video', 'dance', 'entertainment', 'funny moments', 'medical', 'meme', 'memes', 'music', 'new funny video', 'ranna banna', 'recipe', 'shorts', 'song', 'tiktok', 'trending', 'à¦Ÿà§à¦°à§‡à¦¨à§à¦¡à¦¿à¦‚ à¦•à¦®à§‡à¦¡à¦¿', 'à¦Ÿà§à¦°à§‡à¦¨à§à¦¡à¦¿à¦‚ à¦­à¦¿à¦¡à¦¿à¦“']"/>
    <n v="23"/>
    <x v="7"/>
    <n v="29593"/>
    <n v="183"/>
    <n v="9"/>
    <n v="6.4880208157334501E-3"/>
    <n v="26"/>
    <x v="0"/>
  </r>
  <r>
    <x v="422"/>
    <x v="286"/>
    <s v="No description available"/>
    <x v="422"/>
    <x v="1"/>
    <n v="2025"/>
    <s v="June"/>
    <x v="1"/>
    <n v="38"/>
    <s v="UCRViTbkidX2YMQuo3anHAhA"/>
    <x v="26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45406"/>
    <n v="1327"/>
    <n v="1"/>
    <n v="3.8447508149829475E-3"/>
    <n v="6"/>
    <x v="0"/>
  </r>
  <r>
    <x v="423"/>
    <x v="407"/>
    <s v="#avinashnayak #avinash #avinashnayaknagpurisongs #..."/>
    <x v="423"/>
    <x v="212"/>
    <n v="2025"/>
    <s v="April"/>
    <x v="14"/>
    <n v="90"/>
    <s v="UCpR-WSYHt_xsWNc3A5KJEdA"/>
    <x v="293"/>
    <s v="['MUH KO CHIPA LIYA', '#AVINASH NAYAK NEW NAGPURI SONG', '# AVINASH NAYAK', '#LATEST NAGPURI SONG', '#K K NEW SONG', '#K K FUNNY SONG', 'KK SONG 2025', 'new nagpuri song', 'new nagpuri video 2025', 'nagpuri video 2024', 'avinash nayak nagpuri song', 'mhu ko chamka liya nagpuri video', 'mhu ko chmka liya trending song', 'viral nagpuri song muh ko chamka liya', 'avinash nayak', 'nrh music', 'nrhmusicnagpuri', 'bidi ko fuk diya', 'bidi ko fuk diya nagpuri song', 'bidi ko fuk diya avinash nayak nagpuri song']"/>
    <n v="10"/>
    <x v="5"/>
    <n v="9385375"/>
    <n v="88912"/>
    <n v="1483"/>
    <n v="9.6314745015516155E-3"/>
    <n v="276"/>
    <x v="1"/>
  </r>
  <r>
    <x v="424"/>
    <x v="408"/>
    <s v="#whatsappstatus  #yearofyou  #elephant  #anime _x000a_#z..."/>
    <x v="424"/>
    <x v="94"/>
    <n v="2025"/>
    <s v="June"/>
    <x v="1"/>
    <n v="36"/>
    <s v="UCn7NttsdsYIak33KORE8F-Q"/>
    <x v="24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14184"/>
    <n v="92"/>
    <n v="0"/>
    <n v="6.4861816130851666E-3"/>
    <n v="10"/>
    <x v="0"/>
  </r>
  <r>
    <x v="425"/>
    <x v="409"/>
    <s v="No description available"/>
    <x v="425"/>
    <x v="260"/>
    <n v="2025"/>
    <s v="June"/>
    <x v="1"/>
    <n v="47"/>
    <s v="UC4_puqArPl3rWk4qg5sRQHQ"/>
    <x v="29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030"/>
    <n v="19"/>
    <n v="0"/>
    <n v="1.8446601941747572E-2"/>
    <n v="36"/>
    <x v="0"/>
  </r>
  <r>
    <x v="426"/>
    <x v="410"/>
    <s v="REMASTERED IN HD!_x000a_Official Music Video for Ayo Tec..."/>
    <x v="426"/>
    <x v="271"/>
    <n v="2009"/>
    <s v="June"/>
    <x v="50"/>
    <n v="5883"/>
    <s v="UC0sL86jDLgs2fGRD-XBnPQA"/>
    <x v="295"/>
    <s v="['50 CENT', '50 CENT AYO TECHNOLOGY', 'AYO TECHNOLOGY', 'AYO TECHNOLOGY 50 CENT', 'AYO TECHNOLOGY official music video', 'AYO TECHNOLOGY remastered video', '50 CENT remastered', '50 CENT remastered videos', '#remastered', 'hd music videos', 'remastered music videos', 'Curtis Jackson', 'In Da Club', 'JUSTIN TIMBERLAKE', '50 CENT JUSTIN TIMBERLAKE']"/>
    <n v="10"/>
    <x v="5"/>
    <n v="343758991"/>
    <n v="1734503"/>
    <n v="40241"/>
    <n v="5.1627566011793417E-3"/>
    <n v="249"/>
    <x v="1"/>
  </r>
  <r>
    <x v="427"/>
    <x v="271"/>
    <s v="Jim Al-Khalili explores the history of computer sc..."/>
    <x v="427"/>
    <x v="70"/>
    <n v="2025"/>
    <s v="January"/>
    <x v="12"/>
    <n v="177"/>
    <s v="UCZeq5B4ur7uk9fUBvYkHlOA"/>
    <x v="296"/>
    <s v="['doc of the day', 'documentary', 'current affairs', 'history', 'science', 'education', 'inspiration', 'culture', 'world events', 'diverse perspectives', 'daily dose', 'informative', 'thought-provoking']"/>
    <n v="22"/>
    <x v="6"/>
    <n v="186040"/>
    <n v="3127"/>
    <n v="228"/>
    <n v="1.803375618146635E-2"/>
    <n v="3561"/>
    <x v="1"/>
  </r>
  <r>
    <x v="428"/>
    <x v="411"/>
    <s v="The Fan With no Moving Parts! #science #technology..."/>
    <x v="428"/>
    <x v="138"/>
    <n v="2025"/>
    <s v="April"/>
    <x v="14"/>
    <n v="102"/>
    <s v="UCFJW46vi9NiBePRa92C4oNQ"/>
    <x v="156"/>
    <s v="['fan with no moving parts', 'laptop', 'cooling', 'smartphone cooling', 'future of cooling tech', 'technology', 'tech', 'future technology', 'science', 'science explained', 'science facts', 'Laptop Cooler', 'fanless', 'best laptop', 'quiet', 'silent', 'silent fan', 'PC fan', 'quietest fan', 'best fan', 'best PC fan', 'best laptop cooler', 'vigyan mitra', 'vigyan mitra new video']"/>
    <n v="28"/>
    <x v="0"/>
    <n v="767009"/>
    <n v="16185"/>
    <n v="49"/>
    <n v="2.1165331827918576E-2"/>
    <n v="43"/>
    <x v="0"/>
  </r>
  <r>
    <x v="429"/>
    <x v="412"/>
    <s v="No description available"/>
    <x v="429"/>
    <x v="94"/>
    <n v="2025"/>
    <s v="June"/>
    <x v="1"/>
    <n v="36"/>
    <s v="UC5C3bwo-CdJBvEqp5rieUYg"/>
    <x v="29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777"/>
    <n v="81"/>
    <n v="2"/>
    <n v="2.9888368743248111E-2"/>
    <n v="37"/>
    <x v="0"/>
  </r>
  <r>
    <x v="430"/>
    <x v="413"/>
    <s v="No description available"/>
    <x v="430"/>
    <x v="208"/>
    <n v="2025"/>
    <s v="June"/>
    <x v="1"/>
    <n v="43"/>
    <s v="UCO_wisVMKeWvbKZOGgYMeBA"/>
    <x v="29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866"/>
    <n v="16"/>
    <n v="0"/>
    <n v="1.8475750577367205E-2"/>
    <n v="37"/>
    <x v="0"/>
  </r>
  <r>
    <x v="431"/>
    <x v="414"/>
    <s v="Boost your career in Data Science, Software Develo..."/>
    <x v="431"/>
    <x v="272"/>
    <n v="2025"/>
    <s v="May"/>
    <x v="0"/>
    <n v="69"/>
    <s v="UCepBxbSrGZkgjgGJuY04c-Q"/>
    <x v="299"/>
    <s v="['How Pakistan Stole Nuclear B*mb Technology? | Professor Of How']"/>
    <n v="1"/>
    <x v="11"/>
    <n v="1595996"/>
    <n v="58787"/>
    <n v="5640"/>
    <n v="4.0367895658886363E-2"/>
    <n v="1240"/>
    <x v="1"/>
  </r>
  <r>
    <x v="432"/>
    <x v="415"/>
    <s v="Stunningly thin phones and silicon carbon batterie..."/>
    <x v="432"/>
    <x v="273"/>
    <n v="2025"/>
    <s v="May"/>
    <x v="0"/>
    <n v="57"/>
    <s v="UCBJycsmduvYEL83R_U4JriQ"/>
    <x v="211"/>
    <s v="['S25 Edge', 'iPhone Air', 'iPhone 17 Air', 'MKBHD', 'S25 Edge battery', 'S25 Edge vs', 'Samsung Edge', 'ultra thin phone', 'silicon carbon']"/>
    <n v="28"/>
    <x v="0"/>
    <n v="2497065"/>
    <n v="71407"/>
    <n v="4975"/>
    <n v="3.0588711146886445E-2"/>
    <n v="601"/>
    <x v="1"/>
  </r>
  <r>
    <x v="433"/>
    <x v="416"/>
    <s v="damage bluetooth headphone convert a bluetooth rec..."/>
    <x v="433"/>
    <x v="8"/>
    <n v="2025"/>
    <s v="June"/>
    <x v="1"/>
    <n v="37"/>
    <s v="UC-zx3tEi3t7JYCeR09f7Tpw"/>
    <x v="8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5532"/>
    <n v="210"/>
    <n v="0"/>
    <n v="8.2249725834247223E-3"/>
    <n v="32"/>
    <x v="0"/>
  </r>
  <r>
    <x v="434"/>
    <x v="417"/>
    <s v="There's been a lot of wild, crazy and bold technol..."/>
    <x v="434"/>
    <x v="8"/>
    <n v="2025"/>
    <s v="June"/>
    <x v="1"/>
    <n v="37"/>
    <s v="UC5SQGzkWyQSW_fe-URgq7xw"/>
    <x v="300"/>
    <s v="['football', 'skills', 'unisport', 'boots', 'soccer', 'cleats', 'review', 'learn', 'how to', 'tutorial']"/>
    <n v="17"/>
    <x v="14"/>
    <n v="21675"/>
    <n v="589"/>
    <n v="50"/>
    <n v="2.9480968858131489E-2"/>
    <n v="720"/>
    <x v="1"/>
  </r>
  <r>
    <x v="435"/>
    <x v="418"/>
    <s v="In this video on the Top 10 Technologies to Learn ..."/>
    <x v="435"/>
    <x v="249"/>
    <n v="2024"/>
    <s v="October"/>
    <x v="22"/>
    <n v="283"/>
    <s v="UCsvqVGtbbyHaMoevxPAq9Fg"/>
    <x v="301"/>
    <s v="['top 10 technologies to learn in 2025', 'trending technologies in 2025', 'high paying tech skills', 'new technology for 2025', 'technology 2025', 'top technologies', 'top technologies in the world', 'top technologies to learn for future', 'future technologies', 'blockchain', 'ar', 'vr', 'IOT', 'generative AI', 'machine learning', 'cybersecurity', 'quantum computing', 'artificial intelligence', 'ai', 'top technologies for software engineer', 'top emerging technologies 2024', 'top tech trends']"/>
    <n v="27"/>
    <x v="2"/>
    <n v="740105"/>
    <n v="5436"/>
    <n v="75"/>
    <n v="7.4462407361117677E-3"/>
    <n v="584"/>
    <x v="1"/>
  </r>
  <r>
    <x v="436"/>
    <x v="419"/>
    <s v="No description available"/>
    <x v="436"/>
    <x v="94"/>
    <n v="2025"/>
    <s v="June"/>
    <x v="1"/>
    <n v="36"/>
    <s v="UCxKMnAX1EcGz2kNczTT8YYQ"/>
    <x v="30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7669"/>
    <n v="807"/>
    <n v="16"/>
    <n v="4.6578753749504785E-2"/>
    <n v="51"/>
    <x v="0"/>
  </r>
  <r>
    <x v="437"/>
    <x v="420"/>
    <s v="No description available"/>
    <x v="437"/>
    <x v="264"/>
    <n v="2025"/>
    <s v="May"/>
    <x v="0"/>
    <n v="70"/>
    <s v="UCfOzcugDQBnnsCkJJS0MndQ"/>
    <x v="30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2578"/>
    <n v="34"/>
    <n v="6"/>
    <n v="1.5515903801396431E-2"/>
    <n v="30"/>
    <x v="0"/>
  </r>
  <r>
    <x v="438"/>
    <x v="421"/>
    <s v="No description available"/>
    <x v="438"/>
    <x v="43"/>
    <n v="2025"/>
    <s v="June"/>
    <x v="1"/>
    <n v="50"/>
    <s v="UCx4shTmKt1kflWK7NeTjNww"/>
    <x v="30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4131"/>
    <n v="75"/>
    <n v="0"/>
    <n v="3.1080353072810906E-3"/>
    <n v="15"/>
    <x v="0"/>
  </r>
  <r>
    <x v="439"/>
    <x v="422"/>
    <s v="No description available"/>
    <x v="439"/>
    <x v="177"/>
    <n v="2025"/>
    <s v="June"/>
    <x v="1"/>
    <n v="42"/>
    <s v="UCTLZdmZKMUp_bKFLy4SSRvA"/>
    <x v="30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965938"/>
    <n v="3908"/>
    <n v="6"/>
    <n v="4.0520199018984652E-3"/>
    <n v="16"/>
    <x v="0"/>
  </r>
  <r>
    <x v="440"/>
    <x v="423"/>
    <s v="Future Technology According to the Imagination  â€..."/>
    <x v="440"/>
    <x v="274"/>
    <n v="2021"/>
    <s v="September"/>
    <x v="41"/>
    <n v="1396"/>
    <s v="UCA85AiBRlxmY4ckhZqZ1hFg"/>
    <x v="306"/>
    <s v="['Mobile photography', 'special effects', 'creativity', 'photos', 'mobile special effects photography', 'special effects photography', 'taking pictures', 'special effects photos', 'illusion', 'Future technology', 'robots', 'computer special effects', 'science and technology', 'cars', 'video special effects', 'Woodcarving', 'carpenter', 'wooden product', 'Traditional craft', 'Good people', 'good deeds', 'old people', 'helping the poor', 'Fashion', 'Change makeup']"/>
    <n v="24"/>
    <x v="3"/>
    <n v="89671065"/>
    <n v="346478"/>
    <n v="2389"/>
    <n v="3.8905191992534048E-3"/>
    <n v="584"/>
    <x v="1"/>
  </r>
  <r>
    <x v="441"/>
    <x v="424"/>
    <s v="I check out Apple's latest iOS 26 CarPlay so think..."/>
    <x v="441"/>
    <x v="177"/>
    <n v="2025"/>
    <s v="June"/>
    <x v="1"/>
    <n v="42"/>
    <s v="UC8VSC5vv_SUeydoBo9ISucw"/>
    <x v="307"/>
    <s v="['Apple', 'Apple CarPlay', 'iOS', 'iOS 26', 'Apple iOS 26', 'Apple CarPlay iOS 26', 'iOS 26 Apple CarPlay', 'Apple CarPlay 2025', 'Apple CarPlay 2026', 'CarPlay', 'CarPlay 2025', 'CarPlay 2026', 'iOS 2026', 'iOS 26 CarPlay', 'Apple CarPlay iOS 26 Guide', 'New Apple CarPlay', 'New CarPlay 2026']"/>
    <n v="2"/>
    <x v="13"/>
    <n v="57369"/>
    <n v="934"/>
    <n v="137"/>
    <n v="1.8668618940542801E-2"/>
    <n v="501"/>
    <x v="1"/>
  </r>
  <r>
    <x v="442"/>
    <x v="425"/>
    <s v="Check out Hostinger Horizons https://hostinger.com..."/>
    <x v="442"/>
    <x v="222"/>
    <n v="2025"/>
    <s v="March"/>
    <x v="23"/>
    <n v="129"/>
    <s v="UCORX3Cl7ByidjEgzSCgv9Yw"/>
    <x v="215"/>
    <s v="['TSMC', 'genius', 'new technology', 'semiconductors', 'TSMC stock', 'ASML']"/>
    <n v="27"/>
    <x v="2"/>
    <n v="314050"/>
    <n v="14447"/>
    <n v="995"/>
    <n v="4.9170514249323359E-2"/>
    <n v="1467"/>
    <x v="1"/>
  </r>
  <r>
    <x v="443"/>
    <x v="426"/>
    <s v="No description available"/>
    <x v="443"/>
    <x v="275"/>
    <n v="2025"/>
    <s v="April"/>
    <x v="14"/>
    <n v="88"/>
    <s v="UC8SRwGeznFNvKKsxw5Rkl5g"/>
    <x v="30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329"/>
    <n v="60"/>
    <n v="0"/>
    <n v="9.4801706430715747E-3"/>
    <n v="28"/>
    <x v="0"/>
  </r>
  <r>
    <x v="444"/>
    <x v="427"/>
    <s v="Gyroscopic Transport_x000a_https://www.youtube.com/watch..."/>
    <x v="444"/>
    <x v="276"/>
    <n v="2024"/>
    <s v="June"/>
    <x v="25"/>
    <n v="404"/>
    <s v="UCrq8njNr92EBuA4KXJX3OiQ"/>
    <x v="136"/>
    <s v="['technology', 'future tech', 'future technology', 'future technologies', 'future of technology', 'future technology devices', 'future inventions', 'new technology', 'inventions', 'Gyroscopic Transport', 'Renault Float', 'Flying train', 'MG Maze Concept Car', 'SkyWay Technology Advantages', 'Airspace Cabin Vision 2035+', 'EHang 216', 'Virgin Hyperloop', 'Bellwether eVTOL', 'AVANT Solo Electric Sport Car', 'Plana eVTOL Aircraft', 'Kelekona aircraft', 'Star Raker', &quot;NASA's CAPSTONE&quot;, 'Nasa HAVOC']"/>
    <n v="28"/>
    <x v="0"/>
    <n v="1004863"/>
    <n v="4775"/>
    <n v="132"/>
    <n v="4.8832527419160618E-3"/>
    <n v="988"/>
    <x v="1"/>
  </r>
  <r>
    <x v="445"/>
    <x v="428"/>
    <s v="tecno spark go 1 |@7,299 | best smartphone under 7..."/>
    <x v="445"/>
    <x v="22"/>
    <n v="2024"/>
    <s v="September"/>
    <x v="7"/>
    <n v="323"/>
    <s v="UCKNnp_9uXIWVLfyw5_5Jo8Q"/>
    <x v="309"/>
    <s v="['tecno spark go 1', 'tecno spark go 1 unboxing', 'tecno spark go 1 review', 'best smartphone under 7000', 'best smartphone under 10000', 'best gaming smartphone under 7000', 'best gaming phone under 10k', 'tech news', 'kshyap ji TACHNICAL']"/>
    <n v="28"/>
    <x v="0"/>
    <n v="606613"/>
    <n v="217464.60837887001"/>
    <n v="91"/>
    <n v="0.35863987151424387"/>
    <n v="43"/>
    <x v="0"/>
  </r>
  <r>
    <x v="446"/>
    <x v="429"/>
    <s v="CES 2025 was crazy! Here is all of the best tech I..."/>
    <x v="446"/>
    <x v="188"/>
    <n v="2025"/>
    <s v="January"/>
    <x v="12"/>
    <n v="196"/>
    <s v="UCwOBG77Tm8cE24FPxHb_abw"/>
    <x v="310"/>
    <s v="['ces 2025', 'ces', 'best of ces', 'ces smart home tech', 'ces 2025 smart home', 'ces robot vacuums', 'ces ai', 'ces 2025 highlights', 'ces 2025 samsung', 'ces 2025 robots', 'CES 2025 cars', 'CES tech', 'new tech', 'new technology', 'smart home solver', 'smart home', 'home automation']"/>
    <n v="28"/>
    <x v="0"/>
    <n v="1611198"/>
    <n v="16351"/>
    <n v="734"/>
    <n v="1.0603910878737436E-2"/>
    <n v="978"/>
    <x v="1"/>
  </r>
  <r>
    <x v="447"/>
    <x v="430"/>
    <s v="Primitive Technology: Water powered forge blower_x000a_S..."/>
    <x v="447"/>
    <x v="45"/>
    <n v="2025"/>
    <s v="March"/>
    <x v="23"/>
    <n v="142"/>
    <s v="UCAL3JXZSzSm8AlZyD3nQdBA"/>
    <x v="219"/>
    <s v="['primitive technology', 'primitive', 'technology', 'primitive tech', 'technology primitive', 'tech primitive', 'prim technology', 'prim tech', 'tech prim', 'technology prim', 'building from scratch', 'build from scratch', 'hand crank', 'diy', 'fire', 'amazon', 'manual', 'building', 'charcoal', 'brick', 'bamboo', 'concrete']"/>
    <n v="28"/>
    <x v="0"/>
    <n v="2743296"/>
    <n v="85534"/>
    <n v="5806"/>
    <n v="3.329571435237029E-2"/>
    <n v="1353"/>
    <x v="1"/>
  </r>
  <r>
    <x v="448"/>
    <x v="431"/>
    <s v="[ Video Chapter ]_x000a__x000a_0:00 Process of Making Large Ge..."/>
    <x v="448"/>
    <x v="277"/>
    <n v="2024"/>
    <s v="November"/>
    <x v="32"/>
    <n v="257"/>
    <s v="UCSNIT8Z40XgB4RKk9Vhf1eA"/>
    <x v="311"/>
    <s v="['í•œêµ­ê³µìž¥', 'ì œì¡°ê³¼ì •', 'knowhow', 'skill', 'plant', 'works', 'planting']"/>
    <n v="26"/>
    <x v="8"/>
    <n v="1279779"/>
    <n v="4011"/>
    <n v="59"/>
    <n v="3.1802365877233491E-3"/>
    <n v="2080"/>
    <x v="1"/>
  </r>
  <r>
    <x v="449"/>
    <x v="432"/>
    <s v="Build better apps with PostHog https://posthog.com..."/>
    <x v="449"/>
    <x v="278"/>
    <n v="2025"/>
    <s v="January"/>
    <x v="12"/>
    <n v="178"/>
    <s v="UCsBjURrPoezykLs9EqgamOA"/>
    <x v="18"/>
    <s v="['webdev', 'app development', 'lesson', 'tutorial']"/>
    <n v="28"/>
    <x v="0"/>
    <n v="2426877"/>
    <n v="92609"/>
    <n v="8925"/>
    <n v="4.1837307782800696E-2"/>
    <n v="291"/>
    <x v="1"/>
  </r>
  <r>
    <x v="450"/>
    <x v="433"/>
    <s v="100 Coolest Amazon Gadgets and Inventions_x000a__x000a_â–º Sub..."/>
    <x v="450"/>
    <x v="279"/>
    <n v="2024"/>
    <s v="May"/>
    <x v="11"/>
    <n v="431"/>
    <s v="UCcq8pko7KqkgYeXMM_SGFNA"/>
    <x v="312"/>
    <s v="['techjoint', 'tech joint', 'Inventions', 'gadgets', 'technology', 'tech', 'gear', 'cool tools', 'review', 'list', 'top 10', 'amazing inventions', 'cool gadgets', 'Coolest Amazon Gadgets and Inventions', 'Amazon Gadgets', 'Gadgets and Inventions', 'mechanical keyboard', 'fun gadgets', 'professional drone', 'smart home control', 'portable projector', 'interactive shooting practice', 'guitar learning tool', 'music learning gadget', 'music synchronization lamp', 'dual cameras glasses']"/>
    <n v="28"/>
    <x v="0"/>
    <n v="2093102"/>
    <n v="15284"/>
    <n v="415"/>
    <n v="7.5003511534554937E-3"/>
    <n v="2716"/>
    <x v="1"/>
  </r>
  <r>
    <x v="451"/>
    <x v="434"/>
    <s v="motorola edge 60,_x000a_motorola edge 60 fusion,_x000a_vivo v5..."/>
    <x v="451"/>
    <x v="85"/>
    <n v="2025"/>
    <s v="May"/>
    <x v="0"/>
    <n v="62"/>
    <s v="UCFOT_LtNGgoqUSTDgJ1T6ag"/>
    <x v="313"/>
    <s v="['#motoedge60stylus #iphone16promax #iphone16 #short #shorts #funny #funnyvideo #tech #technology']"/>
    <n v="28"/>
    <x v="0"/>
    <n v="14863"/>
    <n v="468"/>
    <n v="0"/>
    <n v="3.1487586624503801E-2"/>
    <n v="35"/>
    <x v="0"/>
  </r>
  <r>
    <x v="452"/>
    <x v="435"/>
    <s v="Still can't believe Ashley Madison is a thing yike..."/>
    <x v="452"/>
    <x v="280"/>
    <n v="2024"/>
    <s v="May"/>
    <x v="11"/>
    <n v="422"/>
    <s v="UCMiJRAwDNSNzuYeN2uWa0pA"/>
    <x v="0"/>
    <s v="['fails', 'awkward', 'tech', 'rant', 'scam', 'fake', 'fail', 'gadgets', 'phone', 'technology', 'iphone', 'apple']"/>
    <n v="28"/>
    <x v="0"/>
    <n v="11527942"/>
    <n v="260879"/>
    <n v="8362"/>
    <n v="2.3355513065558449E-2"/>
    <n v="1701"/>
    <x v="1"/>
  </r>
  <r>
    <x v="453"/>
    <x v="436"/>
    <s v="â‚¹4 Vs â‚¹4000 Satisfying Products #shorts #gadge..."/>
    <x v="453"/>
    <x v="281"/>
    <n v="2024"/>
    <s v="April"/>
    <x v="37"/>
    <n v="452"/>
    <s v="UCBbeXVY55K5estTHrKWJ5Yg"/>
    <x v="15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565343"/>
    <n v="152565"/>
    <n v="122"/>
    <n v="3.3444803599641908E-2"/>
    <n v="41"/>
    <x v="0"/>
  </r>
  <r>
    <x v="454"/>
    <x v="437"/>
    <s v="Nintendo Switch 2 vs Steam Deck OLED - Which is th..."/>
    <x v="454"/>
    <x v="25"/>
    <n v="2025"/>
    <s v="June"/>
    <x v="1"/>
    <n v="41"/>
    <s v="UCzlXf-yUIaOpOjEjPrOO9TA"/>
    <x v="314"/>
    <s v="['nintendo switch', 'steam deck', 'nintendo switch oled', 'nintendo switch 2', 'nintendo switch 2 review', 'nintendo switch 2 mario kart world', 'steam deck review', 'steam deck oled', 'steam deck 2', 'steam deck oled review', 'steam deck vs rog ally', 'xbox ally x', 'xbox gaming', 'ps5', 'console gaming', 'handheld', 'best handheld console 2025', 'switch 2 vs steam deck', 'switch vs switch 2', 'steam deck lcd vs oled', 'gaming', 'nintendo switch games', 'steam deck games', 'steamOS', 'switch games']"/>
    <n v="28"/>
    <x v="0"/>
    <n v="123699"/>
    <n v="3336"/>
    <n v="1435"/>
    <n v="3.856943063403908E-2"/>
    <n v="808"/>
    <x v="1"/>
  </r>
  <r>
    <x v="455"/>
    <x v="438"/>
    <s v="RRB NTPC 2025 ðŸ”¥ Science and Technology | ISRO a..."/>
    <x v="455"/>
    <x v="191"/>
    <n v="2025"/>
    <s v="June"/>
    <x v="1"/>
    <n v="54"/>
    <s v="UCFYx_ojr3E2ooztXHlJUk7g"/>
    <x v="315"/>
    <s v="['science and technology', 'rrb ntpc science', 'rrb ntpc 2025', 'rrb ntpc science and technology', 'ntpc paper analysis', 'ntpc marathan class', 'ntpc science class', 'rrb ntpc gk gs', 'rrb ntpc science and tech', 'rrb ntpc gk gs classes', 'rrb ntpc gk gs syllabus', 'rrb ntpc gk gs previous year question', 'rrb ntpc', 'rrb ntpc gk gs marathon class', 'rrb ntpc science classes', 'rrb ntpc science practice set', 'rrb ntpc science pyq', 'ntpc gk gs practice set', 'gk gs', 'ntpc gk gs questions']"/>
    <n v="27"/>
    <x v="2"/>
    <n v="80139"/>
    <n v="4690"/>
    <n v="274"/>
    <n v="6.1942375123223398E-2"/>
    <n v="967"/>
    <x v="1"/>
  </r>
  <r>
    <x v="456"/>
    <x v="439"/>
    <s v="15 June Enjine falure TechnologyðŸ˜± #automobile #..."/>
    <x v="456"/>
    <x v="164"/>
    <n v="2025"/>
    <s v="June"/>
    <x v="1"/>
    <n v="40"/>
    <s v="UCYIdKenTPQ_h1zxceAy1RlA"/>
    <x v="316"/>
    <s v="['13 June Enjine falure TechnologyðŸ˜± #automobile #shorte #technology #shorte #ytshorts #mechanic']"/>
    <n v="2"/>
    <x v="13"/>
    <n v="113584"/>
    <n v="322"/>
    <n v="0"/>
    <n v="2.8349063248344838E-3"/>
    <n v="11"/>
    <x v="0"/>
  </r>
  <r>
    <x v="457"/>
    <x v="440"/>
    <s v="Jai Shree Ram_x000a_Technologia Original Video_x000a__x000a__x000a__x000a__x000a__x000a__x000a__x000a__x000a__x000a_..."/>
    <x v="457"/>
    <x v="72"/>
    <n v="2025"/>
    <s v="May"/>
    <x v="0"/>
    <n v="67"/>
    <s v="UCJxkRpNvJATf8yESLFYDjrw"/>
    <x v="317"/>
    <s v="['Jai Shree Ram', 'Technologia Original Video', 'Vedansh', 'Kala parda', 'Technologia', 'Funny', 'Shorts']"/>
    <n v="24"/>
    <x v="3"/>
    <n v="18060554"/>
    <n v="604517"/>
    <n v="1317"/>
    <n v="3.354459669398846E-2"/>
    <n v="43"/>
    <x v="0"/>
  </r>
  <r>
    <x v="458"/>
    <x v="441"/>
    <s v="The Giro d'Italia isn't just about epic racing; it..."/>
    <x v="458"/>
    <x v="178"/>
    <n v="2025"/>
    <s v="May"/>
    <x v="0"/>
    <n v="56"/>
    <s v="UC710HJmp-YgNbE5BnFBRoeg"/>
    <x v="318"/>
    <s v="[&quot;Giro d'Italia&quot;, 'Pro Bike Tech', 'Cycling Tech', 'Bike Check', 'GCN Italia', 'Giro 2025', 'Movistar Canyon', 'Astana XDS Helmets', 'Campagnolo 13 Speed', 'De Rosa Pininfarina', 'Bahrain Victorious', 'Vision Metron', 'Lidl-Trek', 'Red Bull Bora Hansgrohe', 'Specialized Tyres', 'Pinarello Dogma F', 'UAE Team Emirates', 'Colnago V1rs', 'Cervelo TT', 'BMC TT', 'Giant TT', 'Scott Plasma', 'Look Blade', 'Road Cycling', 'bike tech', 'cycling tech', 'cycling', 'tech', 'road', 'bike', 'road bike', 'bicycle', 'à®”', '5807', 'Ó—', 'Ñ«', 'sca15', 'gc21s', 'áž·', 'ê¤¬', 'c1', 'Õ‚', 'á•8', 'ð–¬«']"/>
    <n v="17"/>
    <x v="14"/>
    <n v="162870"/>
    <n v="2652"/>
    <n v="107"/>
    <n v="1.6939890710382512E-2"/>
    <n v="550"/>
    <x v="1"/>
  </r>
  <r>
    <x v="459"/>
    <x v="442"/>
    <s v="Meet our next chapter in software design, built wi..."/>
    <x v="459"/>
    <x v="260"/>
    <n v="2025"/>
    <s v="June"/>
    <x v="1"/>
    <n v="47"/>
    <s v="UCE_M8A5yxnLfW0KghEeajjw"/>
    <x v="319"/>
    <s v="['wwdc25', 'appleevent', 'liquidglass', 'applekeynote', 'applespecialevent', 'keynote', '2025', 'MacOS', 'iPadOS', 'iOS', 'visionpro', 'watchOS', 'tvOS']"/>
    <n v="28"/>
    <x v="0"/>
    <n v="2497590"/>
    <n v="57328"/>
    <n v="1970.1447811447799"/>
    <n v="2.3742145340566217E-2"/>
    <n v="274"/>
    <x v="1"/>
  </r>
  <r>
    <x v="460"/>
    <x v="443"/>
    <s v="ðŸ‘‰ Subscribe for more videos: https://www.youtub..."/>
    <x v="460"/>
    <x v="258"/>
    <n v="2025"/>
    <s v="May"/>
    <x v="0"/>
    <n v="83"/>
    <s v="UCn9l4gU5mkmmlC2eiVu0LHw"/>
    <x v="320"/>
    <s v="['AI', 'Bear', 'Cartoon', 'CartoonforKids', 'Cute', 'Grizzy', 'Kids', 'Lemmings', 'Slapstick', 'electricity', 'noise', 'phones', 'reset', 'robot', 'teddy']"/>
    <n v="1"/>
    <x v="11"/>
    <n v="5349325"/>
    <n v="15351"/>
    <n v="0"/>
    <n v="2.8697078603375191E-3"/>
    <n v="1547"/>
    <x v="1"/>
  </r>
  <r>
    <x v="461"/>
    <x v="444"/>
    <s v="new technology drone use in fireðŸ˜²ðŸ˜Š#technolog..."/>
    <x v="461"/>
    <x v="85"/>
    <n v="2025"/>
    <s v="May"/>
    <x v="0"/>
    <n v="62"/>
    <s v="UC2w35lK_m2xtQs4duoaFvHg"/>
    <x v="32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039"/>
    <n v="3"/>
    <n v="0"/>
    <n v="2.8873917228103944E-3"/>
    <n v="20"/>
    <x v="0"/>
  </r>
  <r>
    <x v="462"/>
    <x v="445"/>
    <s v="No description available"/>
    <x v="462"/>
    <x v="213"/>
    <n v="2025"/>
    <s v="April"/>
    <x v="14"/>
    <n v="108"/>
    <s v="UCyWy0uK-L2gcFp_ADZ2YogQ"/>
    <x v="322"/>
    <s v="['Nubbin', 'Black mirror', 'Nubbin device', 'Unboxing', 'New technology', 'Black mirror season 7']"/>
    <n v="23"/>
    <x v="7"/>
    <n v="241594"/>
    <n v="3533"/>
    <n v="112"/>
    <n v="1.5087295214285123E-2"/>
    <n v="62"/>
    <x v="1"/>
  </r>
  <r>
    <x v="463"/>
    <x v="446"/>
    <s v="ai dangerous for human, ai,future of ai,dangers of..."/>
    <x v="463"/>
    <x v="163"/>
    <n v="2025"/>
    <s v="May"/>
    <x v="0"/>
    <n v="76"/>
    <s v="UCZff6I2okeH71I5jsE0LirQ"/>
    <x v="323"/>
    <s v="['AFR Technology', 'ai dangerous for human', 'ai', 'future of ai', 'dangers of ai', 'dangerous side of ai', 'machine learning', 'ai privacy', 'google ai studio tutorial bangla', 'chatgpt tutorial', 'ai content creation', 'chatgpt explained', 'what is chatgpt']"/>
    <n v="28"/>
    <x v="0"/>
    <n v="716986"/>
    <n v="15929"/>
    <n v="958"/>
    <n v="2.3552761141779618E-2"/>
    <n v="272"/>
    <x v="1"/>
  </r>
  <r>
    <x v="464"/>
    <x v="447"/>
    <s v="10M technology #shorts #comedy #viralvideo #shortv..."/>
    <x v="464"/>
    <x v="94"/>
    <n v="2025"/>
    <s v="June"/>
    <x v="1"/>
    <n v="36"/>
    <s v="UCzu9818voaNQGhyDitA4waw"/>
    <x v="32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4640"/>
    <n v="14"/>
    <n v="0"/>
    <n v="3.0172413793103448E-3"/>
    <n v="9"/>
    <x v="0"/>
  </r>
  <r>
    <x v="465"/>
    <x v="448"/>
    <s v="iPhone 11 screen replacement #iphone11 #screenrepl..."/>
    <x v="465"/>
    <x v="226"/>
    <n v="2025"/>
    <s v="May"/>
    <x v="0"/>
    <n v="77"/>
    <s v="UCIGh6YjDGPTlNI4gZg3e32w"/>
    <x v="32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108"/>
    <n v="17"/>
    <n v="6"/>
    <n v="1.0910815939278937E-2"/>
    <n v="38"/>
    <x v="0"/>
  </r>
  <r>
    <x v="466"/>
    <x v="449"/>
    <s v="Iron knife made from bacteria_x000a_Subscribe: http://bi..."/>
    <x v="466"/>
    <x v="282"/>
    <n v="2022"/>
    <s v="June"/>
    <x v="39"/>
    <n v="1122"/>
    <s v="UCAL3JXZSzSm8AlZyD3nQdBA"/>
    <x v="219"/>
    <s v="['primitive technology', 'youtube primitive technology', 'primitive technology youtube', 'primitive technology knife', 'knife primitive technology', 'iron knife', 'knife iron', 'primitive technology iron', 'iron primitive technology', 'iron knife made from bacteria', 'how to make a knife', 'knife sharpening', 'knives', 'smelted iron', 'iron bacteria', 'iron tool', 'primitive tech', 'primitive', 'technology', 'primitive technology tool', 'multiblade blower', 'iron ore', 'primative technology', 'tool made of iron', 'iron tools']"/>
    <n v="28"/>
    <x v="0"/>
    <n v="7947737"/>
    <n v="260818"/>
    <n v="12964"/>
    <n v="3.4447793126521423E-2"/>
    <n v="695"/>
    <x v="1"/>
  </r>
  <r>
    <x v="467"/>
    <x v="450"/>
    <s v="Exclusive information and renders of the brand new..."/>
    <x v="467"/>
    <x v="37"/>
    <n v="2025"/>
    <s v="February"/>
    <x v="15"/>
    <n v="162"/>
    <s v="UC8jkbVLPvztz8TuE98OYo8Q"/>
    <x v="221"/>
    <s v="['apple', 'iphone', 'jon prosser', 'front page tech', 'frontpagetech']"/>
    <n v="28"/>
    <x v="0"/>
    <n v="1087634"/>
    <n v="16993"/>
    <n v="1891"/>
    <n v="1.7362458326973963E-2"/>
    <n v="422"/>
    <x v="1"/>
  </r>
  <r>
    <x v="468"/>
    <x v="451"/>
    <s v="Enjine falure TechnologyðŸ˜± #automobile #shorte #..."/>
    <x v="468"/>
    <x v="8"/>
    <n v="2025"/>
    <s v="June"/>
    <x v="1"/>
    <n v="37"/>
    <s v="UCYfdt1akjdAMYNCT89R5Rww"/>
    <x v="326"/>
    <s v="['Enjine falure TechnologyðŸ˜± #automobile #shorte #technology #shorte #ytshorts #mechanic #engine']"/>
    <n v="22"/>
    <x v="6"/>
    <n v="15304"/>
    <n v="88"/>
    <n v="0"/>
    <n v="5.7501306847882903E-3"/>
    <n v="14"/>
    <x v="0"/>
  </r>
  <r>
    <x v="469"/>
    <x v="452"/>
    <s v="What's going on, everyone? Ujjwal here, and welcom..."/>
    <x v="469"/>
    <x v="283"/>
    <n v="2024"/>
    <s v="April"/>
    <x v="37"/>
    <n v="455"/>
    <s v="UCs6EmLAT4lTWwCSJRgbbchQ"/>
    <x v="327"/>
    <s v="['tech channel', 'new', 'unboxing', 'experiment', 'funny', 'new studio', 'gaming', 'ujjwal', 'techno gamerz']"/>
    <n v="28"/>
    <x v="0"/>
    <n v="3611874"/>
    <n v="181285"/>
    <n v="5610"/>
    <n v="5.1744606816295363E-2"/>
    <n v="82"/>
    <x v="1"/>
  </r>
  <r>
    <x v="470"/>
    <x v="453"/>
    <s v="#gadgets #techmaster _x000a__x000a_SUBSCRIBE THE CHANNEL FOR M..."/>
    <x v="470"/>
    <x v="284"/>
    <n v="2023"/>
    <s v="November"/>
    <x v="28"/>
    <n v="605"/>
    <s v="UCglXlpWjIi95auM3umWWLdw"/>
    <x v="84"/>
    <s v="['tech master', 'shorts', 'technology', 'facts', 'amazingtipsandtricks', 'arvind kharra', 'best tech gadgets 2023', 'amazon tech gadgets', 'gadgets june 2023', 'tech', 'technology connections', 'technology world', 'futuristic', 'gadgets', 'cool gadgets', 'new gadgets', 'amazon gadgets', 'trending', 'viral', 'india', 'hindi', 'gadgets cool', '3 cool gadgets']"/>
    <n v="28"/>
    <x v="0"/>
    <n v="50641492"/>
    <n v="1429466"/>
    <n v="1996"/>
    <n v="2.8266584246767455E-2"/>
    <n v="60"/>
    <x v="0"/>
  </r>
  <r>
    <x v="471"/>
    <x v="454"/>
    <s v="Charcoal retort experiment_x000a_Subscribe: http://bit.l..."/>
    <x v="471"/>
    <x v="285"/>
    <n v="2025"/>
    <s v="May"/>
    <x v="0"/>
    <n v="86"/>
    <s v="UCAL3JXZSzSm8AlZyD3nQdBA"/>
    <x v="219"/>
    <s v="['primitive technology', 'primitive', 'technology', 'primitive tech', 'technology primitive', 'tech primitive', 'prim technology', 'prim tech', 'tech prim', 'technology prim', 'building from scratch', 'build from scratch', 'claypipe', 'experiment', 'fire', 'survival', 'building', 'fire making', 'building a hut', 'bushcraft', 'charcoal', 'roofing', 'hut', 'smelting', 'wood', 'gas']"/>
    <n v="28"/>
    <x v="0"/>
    <n v="1081527"/>
    <n v="50566"/>
    <n v="2139"/>
    <n v="4.8732024258294059E-2"/>
    <n v="1155"/>
    <x v="1"/>
  </r>
  <r>
    <x v="472"/>
    <x v="451"/>
    <s v="Enjine falure TechnologyðŸ˜± #automobile #shorte #..."/>
    <x v="472"/>
    <x v="94"/>
    <n v="2025"/>
    <s v="June"/>
    <x v="1"/>
    <n v="36"/>
    <s v="UCYfdt1akjdAMYNCT89R5Rww"/>
    <x v="326"/>
    <s v="['Enjine falure TechnologyðŸ˜± #automobile #shorte #technology #shorte #ytshorts #mechanic #engine']"/>
    <n v="22"/>
    <x v="6"/>
    <n v="11389"/>
    <n v="48"/>
    <n v="0"/>
    <n v="4.2145930283606992E-3"/>
    <n v="13"/>
    <x v="0"/>
  </r>
  <r>
    <x v="473"/>
    <x v="455"/>
    <s v="Hey #TechBarArmy _x000a_In this video, I and @Technology..."/>
    <x v="473"/>
    <x v="226"/>
    <n v="2025"/>
    <s v="May"/>
    <x v="0"/>
    <n v="77"/>
    <s v="UCdoDYkupTElV62K7ttA_E4w"/>
    <x v="328"/>
    <s v="['podcast', 'tech', 'tech podcast', 'best phone', 'best phone under 20000', 'best phone under 1 lakh', 'best phone under 40000', 'price', 'price in india', 'OnePlus', 'Xiaomi', 'Samsung', 'apple', 'realme', 'Google', 'vivo', 'techbar', 'tech bar', 'india', 'hindi', 'sanchit shokeen']"/>
    <n v="28"/>
    <x v="0"/>
    <n v="379321"/>
    <n v="17096"/>
    <n v="1819"/>
    <n v="4.9865417416910744E-2"/>
    <n v="899"/>
    <x v="1"/>
  </r>
  <r>
    <x v="474"/>
    <x v="456"/>
    <s v="Linus Sebastian talks about creating tech videos f..."/>
    <x v="474"/>
    <x v="286"/>
    <n v="2025"/>
    <s v="January"/>
    <x v="12"/>
    <n v="193"/>
    <s v="UC8-Th83bH_thdKZDJCrn88g"/>
    <x v="329"/>
    <s v="['tonight show', 'jimmy fallon', 'Linus Sebastian', 'tech videos', '20 years', 'electronic', 'show', 'CES', 'Bad Bunny', 'cutting-edge', 'technological inventions', 'Linus Tech Tips', 'tech', 'youtube', 'youtuber', 'tech tips youtuber', 'NBC', 'NBC TV', 'Television', 'Funny', 'Talk Show', 'comedic', 'humor', 'snl', 'tonight', 'jokes', 'funny video', 'interview', 'variety', 'comedy sketches', 'talent', 'celebrities', 'video', 'clip', 'highlight', 'reviews', 'Pete', 'LA CANCION', 'Callaita', 'No Me Conoce', 'QUE PRETENDES', 'Infeliz', 'Ignorantes', 'Soltera', 'I Like It', 'MIA', 'Latin Trap']"/>
    <n v="23"/>
    <x v="7"/>
    <n v="2732989"/>
    <n v="153954"/>
    <n v="9482"/>
    <n v="5.980119202821526E-2"/>
    <n v="526"/>
    <x v="1"/>
  </r>
  <r>
    <x v="475"/>
    <x v="457"/>
    <s v="Robotic &amp; Digital Animals Are Saving Real Wildlife..."/>
    <x v="475"/>
    <x v="0"/>
    <n v="2025"/>
    <s v="May"/>
    <x v="0"/>
    <n v="85"/>
    <s v="UC8RW9MMYBZHxRuYbCJDb78g"/>
    <x v="330"/>
    <s v="['Shorts', 'Mode', 'Shorts mode', 'Shorts mode new video', 'Viral', 'Trend', 'Youtube shorts', 'Ytshorts', 'Shortsindia', 'Newshorts', 'India shorts', 'Shorts india', 'Tech Trends', 'robotic animals', 'future of zoos', 'animal rights', 'animal robotics', 'spy animals', 'ethical technology', 'zoo alternatives', 'google digital animals', 'ai animals', 'replacing real animals', 'humane zoos', 'tech vs nature', 'robotic wildlife', 'discovery spy creatures', 'digital DNA animals', 'animals gadgets', 'gadgets', 'new gadgets', 'animal tech', 'tech', 'new']"/>
    <n v="28"/>
    <x v="0"/>
    <n v="17190"/>
    <n v="804"/>
    <n v="6"/>
    <n v="4.712041884816754E-2"/>
    <n v="50"/>
    <x v="0"/>
  </r>
  <r>
    <x v="476"/>
    <x v="458"/>
    <s v="Subscribe: http://bit.ly/SubscribeNanoRecords_x000a_Tech..."/>
    <x v="476"/>
    <x v="287"/>
    <n v="2023"/>
    <s v="January"/>
    <x v="35"/>
    <n v="920"/>
    <s v="UCt-Zwf8TON73Wtz21R8DgAg"/>
    <x v="331"/>
    <s v="['Psy trance', 'Psytrance', 'Progressive Trance', 'Progressive Psy', 'tracentral', 'Psychedelic Trance', 'Trance Music', 'Goa Trance', 'Trance Goa', 'Best trance', 'psytrance 2020', 'psy trance 2020', 'Psychedelic', 'Nano Records', 'Nano', 'Technology Live Set', 'Technology Set', 'Technology Universo Paralello 2022 / 2023', 'Technology mix', 'Technology set', 'psytrance set', 'psytrance mix', 'Universo Paralello 2022 / 2023', 'Universo']"/>
    <n v="10"/>
    <x v="5"/>
    <n v="40419"/>
    <n v="1199"/>
    <n v="64"/>
    <n v="3.1247680546277742E-2"/>
    <n v="44"/>
    <x v="0"/>
  </r>
  <r>
    <x v="477"/>
    <x v="459"/>
    <s v="No description available"/>
    <x v="477"/>
    <x v="258"/>
    <n v="2025"/>
    <s v="May"/>
    <x v="0"/>
    <n v="83"/>
    <s v="UCAlbpRY7uWKQIvzlBtqP6EQ"/>
    <x v="33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539"/>
    <n v="9"/>
    <n v="0"/>
    <n v="5.8479532163742687E-3"/>
    <n v="40"/>
    <x v="0"/>
  </r>
  <r>
    <x v="478"/>
    <x v="460"/>
    <s v="No description available"/>
    <x v="478"/>
    <x v="164"/>
    <n v="2025"/>
    <s v="June"/>
    <x v="1"/>
    <n v="40"/>
    <s v="UCIPYhRftFtFBnTHeMcCWPJQ"/>
    <x v="33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5328"/>
    <n v="103"/>
    <n v="6"/>
    <n v="2.4046946699611718E-3"/>
    <n v="10"/>
    <x v="0"/>
  </r>
  <r>
    <x v="479"/>
    <x v="461"/>
    <s v="No description available"/>
    <x v="479"/>
    <x v="208"/>
    <n v="2025"/>
    <s v="June"/>
    <x v="1"/>
    <n v="43"/>
    <s v="UCAdv2dc8GqOpTSh8S2UkdQw"/>
    <x v="24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1035"/>
    <n v="217464.60837887001"/>
    <n v="0"/>
    <n v="5.2994908828772997"/>
    <n v="10"/>
    <x v="0"/>
  </r>
  <r>
    <x v="480"/>
    <x v="462"/>
    <s v="Turns out that promising tech and ridiculous tech ..."/>
    <x v="480"/>
    <x v="286"/>
    <n v="2025"/>
    <s v="January"/>
    <x v="12"/>
    <n v="193"/>
    <s v="UCPvRdfUooqCf0zPOYvbBzVA"/>
    <x v="334"/>
    <s v="['pc', 'pc tips', 'pc building', 'mryeester']"/>
    <n v="28"/>
    <x v="0"/>
    <n v="752561"/>
    <n v="13505"/>
    <n v="529"/>
    <n v="1.8648322195808711E-2"/>
    <n v="601"/>
    <x v="1"/>
  </r>
  <r>
    <x v="481"/>
    <x v="463"/>
    <s v="#whatsappstatus  #yearofyou  #elephant  #anime _x000a_#z..."/>
    <x v="481"/>
    <x v="94"/>
    <n v="2025"/>
    <s v="June"/>
    <x v="1"/>
    <n v="36"/>
    <s v="UCn7NttsdsYIak33KORE8F-Q"/>
    <x v="24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21064"/>
    <n v="139"/>
    <n v="1"/>
    <n v="6.6464109380934295E-3"/>
    <n v="8"/>
    <x v="0"/>
  </r>
  <r>
    <x v="482"/>
    <x v="464"/>
    <s v="ðŸ¤– The untold story of how two tiny computers we..."/>
    <x v="482"/>
    <x v="191"/>
    <n v="2025"/>
    <s v="June"/>
    <x v="1"/>
    <n v="54"/>
    <s v="UCuEngqG-RQ_9gR_O44leAQg"/>
    <x v="335"/>
    <s v="['raspberry pi', 'arduino', 'raspberry pi vs arduino', 'maker projects', 'DIY electronics', 'tech history', 'programming', 'robotics', 'single board computer', 'microcontroller', 'tech education', 'maker movement', 'electronics projects', 'coding', 'tech story']"/>
    <n v="28"/>
    <x v="0"/>
    <n v="2652"/>
    <n v="55"/>
    <n v="1970.1447811447799"/>
    <n v="0.76362925382533176"/>
    <n v="58"/>
    <x v="0"/>
  </r>
  <r>
    <x v="483"/>
    <x v="465"/>
    <s v="Check prices on Amazon below_x000a_Monitor: https://geni..."/>
    <x v="483"/>
    <x v="214"/>
    <n v="2025"/>
    <s v="June"/>
    <x v="1"/>
    <n v="55"/>
    <s v="UCRYOj4DmyxhBVrdvbsUwmAA"/>
    <x v="217"/>
    <s v="['desk setup', 'minimal setup', 'optimum', 'best gaming setup', 'clean setup', 'clean desk setup', 'desk setup tour', 'optimum tech', 'wooting', '4K monitor', 'single monitor setup']"/>
    <n v="28"/>
    <x v="0"/>
    <n v="620769"/>
    <n v="25351"/>
    <n v="1163"/>
    <n v="4.2711540041464699E-2"/>
    <n v="694"/>
    <x v="1"/>
  </r>
  <r>
    <x v="484"/>
    <x v="466"/>
    <s v="ã€If there is any infringement, please contact us..."/>
    <x v="484"/>
    <x v="55"/>
    <n v="2025"/>
    <s v="May"/>
    <x v="0"/>
    <n v="65"/>
    <s v="UCCDS_HHq00aCH5KVT0XIhFA"/>
    <x v="336"/>
    <s v="['Popularscience', 'mechanical', 'technology', 'science', 'machine', 'mechanic', 'shorts', '#viralvideo', 'unique', 'interesting', 'interestingfacts', 'tech', 'sciencefacts']"/>
    <n v="28"/>
    <x v="0"/>
    <n v="7326"/>
    <n v="90"/>
    <n v="1"/>
    <n v="1.2421512421512421E-2"/>
    <n v="24"/>
    <x v="0"/>
  </r>
  <r>
    <x v="485"/>
    <x v="467"/>
    <s v="&quot;à¤­à¤µà¤¿à¤·à¥à¤¯ à¤•à¥€ à¤Ÿà¥‡à¤•à¥à¤¨à¥‹à¤²à¥..."/>
    <x v="485"/>
    <x v="87"/>
    <n v="2025"/>
    <s v="April"/>
    <x v="14"/>
    <n v="114"/>
    <s v="UCcBnLtwE-d_FTVE-n0z_9RQ"/>
    <x v="337"/>
    <s v="['&quot;à¤­à¤µà¤¿à¤·à¥à¤¯ à¤•à¥€ à¤Ÿà¥‡à¤•à¥à¤¨à¥‹à¤²à¥‰à¤œà¥€ Future technology', 'Technology of future Ai', 'Ghibli Artificial intelligence Ghibli Shorts Ai', 'Ai Future technology topology', 'Shorts Technology Topology Future sikandar movie full Salman khan']"/>
    <n v="27"/>
    <x v="2"/>
    <n v="1190"/>
    <n v="217464.60837887001"/>
    <n v="1"/>
    <n v="182.74420872173951"/>
    <n v="33"/>
    <x v="0"/>
  </r>
  <r>
    <x v="486"/>
    <x v="468"/>
    <s v="Does NVIDIA FINALLY Have A Real Competitor? China'..."/>
    <x v="486"/>
    <x v="56"/>
    <n v="2025"/>
    <s v="April"/>
    <x v="14"/>
    <n v="89"/>
    <s v="UCUI9vm69ZbAqRK3q3vKLWCQ"/>
    <x v="338"/>
    <s v="['Mint', 'Mint News', 'Live Mint', 'Business News', 'News', 'Today News']"/>
    <n v="25"/>
    <x v="1"/>
    <n v="25600"/>
    <n v="354"/>
    <n v="120"/>
    <n v="1.8515625000000001E-2"/>
    <n v="148"/>
    <x v="1"/>
  </r>
  <r>
    <x v="487"/>
    <x v="469"/>
    <s v="Programming schedule (EST):_x000a_12:00 AM - 5:00 AM: Bl..."/>
    <x v="487"/>
    <x v="75"/>
    <n v="2024"/>
    <s v="October"/>
    <x v="22"/>
    <n v="281"/>
    <s v="UCIALMKvObZNtJ6AmdCLP7Lg"/>
    <x v="339"/>
    <s v="['finance', 'news', 'Bloomberg', 'business', 'economy', 'us']"/>
    <n v="25"/>
    <x v="1"/>
    <n v="29732507"/>
    <n v="48267"/>
    <n v="0"/>
    <n v="1.623374712398117E-3"/>
    <n v="752"/>
    <x v="1"/>
  </r>
  <r>
    <x v="488"/>
    <x v="470"/>
    <s v="Vivo x200 ultra ðŸ”¥ Vivo x200 ultra review ðŸ¤¯_x000a__x000a_..."/>
    <x v="488"/>
    <x v="239"/>
    <n v="2025"/>
    <s v="May"/>
    <x v="0"/>
    <n v="78"/>
    <s v="UC-PQ65WptuguzIm2hygClcA"/>
    <x v="340"/>
    <s v="['Best camera phone', 'DSLR camera phone', 'Vivo x200 ultra', 'Vivo x200 ultra camera test', 'Vivo x200 ultra price', 'Vivo x200 ultra review', 'Vivo x200 ultra unboxing', 'Vivo x200 ultra vs x200 pro', 'Vivo x200 ultra zoom test', 'X200 ultra vs xiaomi 15 ultra', 'camera comparison', 'flagship vivo', 'mobile review', 'new smartphone', 'shorts', 'tech gadgets', 'tech news', 'vivo', 'vivo camera test', 'vivo photography', 'vivo smartphone', 'vivo specs', 'vivo tech', 'vivo x200', 'vivo x200 pro', 'vivo x200 review']"/>
    <n v="28"/>
    <x v="0"/>
    <n v="6030"/>
    <n v="121"/>
    <n v="1"/>
    <n v="2.023217247097844E-2"/>
    <n v="50"/>
    <x v="0"/>
  </r>
  <r>
    <x v="489"/>
    <x v="471"/>
    <s v="Visit https://www.squarespace.com/LTT and use offe..."/>
    <x v="489"/>
    <x v="18"/>
    <n v="2025"/>
    <s v="April"/>
    <x v="14"/>
    <n v="103"/>
    <s v="UCXuqSBlHAE6Xw-yeJA0Tunw"/>
    <x v="26"/>
    <s v="['malaysia', 'low yat', 'linus', 'ltt', 'linustechtips', 'hdmi cable', 'travel linus', 'trave vlog linsu', 'linux malaysia', 'travel malaysia', 'tech mall asia', 'asian tech mall']"/>
    <n v="28"/>
    <x v="0"/>
    <n v="1777792"/>
    <n v="69507"/>
    <n v="3400"/>
    <n v="4.1009859421124631E-2"/>
    <n v="501"/>
    <x v="1"/>
  </r>
  <r>
    <x v="490"/>
    <x v="472"/>
    <s v="Android 16 aa gaya hai doston !_x000a__x000a_ðŸ”¥ Subscribe fo..."/>
    <x v="490"/>
    <x v="12"/>
    <n v="2025"/>
    <s v="May"/>
    <x v="0"/>
    <n v="66"/>
    <s v="UCXUJJNoP1QupwsYIWFXmsZg"/>
    <x v="341"/>
    <s v="['android 16', 'android 16 update', 'android 16 beta', 'android 16 features', 'android 16 review', 'android', 'google android 16', 'android 16 changes', 'android 16 new features', 'android 16 vs android 15', 'android 16 dp1', 'android 16 developer preview', 'whats new android 16', 'android 16 release date', 'android 16 beta download', 'android 16 ui', 'android 16 new', 'android 16 beta 4', 'pixel android 16', 'android 16 beta 3', 'android 16 theme', 'android 16 beta 4.1', 'instalar android 16', 'Tech burner']"/>
    <n v="28"/>
    <x v="0"/>
    <n v="767236"/>
    <n v="19667"/>
    <n v="669"/>
    <n v="2.6505534151160789E-2"/>
    <n v="755"/>
    <x v="1"/>
  </r>
  <r>
    <x v="491"/>
    <x v="427"/>
    <s v="15 Technologies That Will Change The World_x000a__x000a_Lab-Gr..."/>
    <x v="491"/>
    <x v="213"/>
    <n v="2025"/>
    <s v="April"/>
    <x v="14"/>
    <n v="108"/>
    <s v="UC6J5mYhVIIvmuPE96g0JhDw"/>
    <x v="342"/>
    <s v="['99techspot', 'top 10', 'futuristic', 'review', 'science and technology', 'new technology', 'future technology', '15 Technologies That Will Change The World', '2030 technology that will change the world', '2030 technology predictions', 'Space', 'creativity', 'future city', 'machine learning', 'the world in 2050 future technology', 'generative ai', 'humanoid robot', '2050 future world', 'artificial intelligence', 'Flying train', 'Dive-XL', 'Int-Ball2', 'Kawasaki Corleo Walks']"/>
    <n v="28"/>
    <x v="0"/>
    <n v="465376"/>
    <n v="3583"/>
    <n v="123"/>
    <n v="7.9634532077288035E-3"/>
    <n v="973"/>
    <x v="1"/>
  </r>
  <r>
    <x v="492"/>
    <x v="473"/>
    <s v="CES 2025 Las Vegas. Exhibitor booth tours and high..."/>
    <x v="492"/>
    <x v="288"/>
    <n v="2025"/>
    <s v="January"/>
    <x v="12"/>
    <n v="198"/>
    <s v="UCtdowDqHNtzfJvN7Vw33dHw"/>
    <x v="343"/>
    <s v="['CES las vegas', 'las vegas convention', 'CES tours', 'CES2025', 'best of ces 2025', 'tour of ces 2025', 'ces 2025 booth highlights', 'ces show 2025', 'ces las vegas 2025', 'ces 2025 highlights', 'CES robotics', 'CES robots', 'CES 2025 robots', 'futuretech', 'technews', 'ces show recap', 'ces now', '2025ces', 'cestech', 'cesvegas', 'vegasces', 'cesvegas2025', 'vegasces2025']"/>
    <n v="28"/>
    <x v="0"/>
    <n v="1100130"/>
    <n v="8734"/>
    <n v="389"/>
    <n v="8.2926563224346213E-3"/>
    <n v="1792"/>
    <x v="1"/>
  </r>
  <r>
    <x v="493"/>
    <x v="474"/>
    <s v="OpenAI o3 and China. Learn more about AI at https:..."/>
    <x v="493"/>
    <x v="4"/>
    <n v="2024"/>
    <s v="December"/>
    <x v="4"/>
    <n v="216"/>
    <s v="UCvCYE-3TrY1GAe2l8K08N-w"/>
    <x v="344"/>
    <s v="['OpenAI o3', 'AI', 'OpenAI', 'robots']"/>
    <n v="28"/>
    <x v="0"/>
    <n v="2814241"/>
    <n v="53773"/>
    <n v="10486"/>
    <n v="2.283350999434661E-2"/>
    <n v="886"/>
    <x v="1"/>
  </r>
  <r>
    <x v="494"/>
    <x v="475"/>
    <s v="BUY Galaxy S25 Ultra - https://howl.link/bpma91ssq..."/>
    <x v="494"/>
    <x v="121"/>
    <n v="2025"/>
    <s v="June"/>
    <x v="1"/>
    <n v="48"/>
    <s v="UCXMznyE1ibZoCXEVJxrWgTw"/>
    <x v="345"/>
    <s v="['smartphones', 'tech tips', 'tech with benefits', 'features', 'samsung', 'samsung galaxy', 'samsung mobile', 'how to', 'smartphone camera', 'upgrade', 'comparison', 'review', 'tech review', 'software update', 'update', 'compare', 'software', 'galaxy', 'samsung apps', 'galaxy unpacked', 'hands on', 'unpacked', 'oneui', 'secret', 'hidden features', 'good lock', 'tech youtube', 'tips and tricks', 'samsung features', 'one ui', 'galaxy ai', 'long term review', 'one ui 7', 's25 ultra', 'galaxy s25']"/>
    <n v="28"/>
    <x v="0"/>
    <n v="31957"/>
    <n v="1166"/>
    <n v="44"/>
    <n v="3.7863378915417592E-2"/>
    <n v="600"/>
    <x v="1"/>
  </r>
  <r>
    <x v="495"/>
    <x v="476"/>
    <s v="Humanoid robots are more advanced than ever in 202..."/>
    <x v="495"/>
    <x v="289"/>
    <n v="2025"/>
    <s v="February"/>
    <x v="15"/>
    <n v="149"/>
    <s v="UCmeUuOcw8szgptZwo7MuuqA"/>
    <x v="346"/>
    <s v="['top 10 new humanoid robots of 2025 (updated)', 'top 10 humanoid robots of 2025', 'humanoid robots 2025', 'top humanoid robots 2025', 'best humanoid robots 2025', 'robots that look like humans', 'new humanoid robots 2025', 'updated humanoid robots 2025', 'ai humanoid robots 2025', 'latest humanoid robots 2025', 'humanoid robot trends 2025', 'robot advancements 2025', 'robots with ai 2025', 'personal assistant robots', 'healthcare humanoid robots', 'future of humanoid robots']"/>
    <n v="28"/>
    <x v="0"/>
    <n v="252848"/>
    <n v="1631"/>
    <n v="176"/>
    <n v="7.1465860912484974E-3"/>
    <n v="921"/>
    <x v="1"/>
  </r>
  <r>
    <x v="496"/>
    <x v="88"/>
    <s v="Check out this hilarious Teknologia Arab Meme Comp..."/>
    <x v="496"/>
    <x v="290"/>
    <n v="2025"/>
    <s v="March"/>
    <x v="23"/>
    <n v="133"/>
    <s v="UCxYiaxX6eNyVQdBAL1mF7dg"/>
    <x v="347"/>
    <s v="['teknologia arab meme', 'technologia arab meme', 'teknologia arab meme compilation', 'technologia arab meme compilation', 'teknologia meme', 'technologia meme', 'technology arab meme compilation', 'technologia meme arab', 'teknologia meme arab', 'technologia arab meme original', 'teknologia arab meme original', 'teknologia meme original', 'technologia meme original', 'teknologia meme original video', 'technologia meme original video', 'memes', 'meme compilation', 'technologia original video', 'technologia original']"/>
    <n v="24"/>
    <x v="3"/>
    <n v="800150"/>
    <n v="10677"/>
    <n v="578"/>
    <n v="1.4066112603886771E-2"/>
    <n v="124"/>
    <x v="1"/>
  </r>
  <r>
    <x v="497"/>
    <x v="477"/>
    <s v="Black Box Ki Khasiyat #tech #trending_shorts #tech..."/>
    <x v="497"/>
    <x v="25"/>
    <n v="2025"/>
    <s v="June"/>
    <x v="1"/>
    <n v="41"/>
    <s v="UC0hT5c-mJxs9hHQSin5wG-w"/>
    <x v="348"/>
    <s v="['Black Box Ki Khasiyat #tech #trending_shorts #technology #breaking_news #short_viral #youtube_short', 'black box', 'gujarat airoplane durghatna video']"/>
    <n v="28"/>
    <x v="0"/>
    <n v="1701"/>
    <n v="6"/>
    <n v="0"/>
    <n v="3.5273368606701938E-3"/>
    <n v="29"/>
    <x v="0"/>
  </r>
  <r>
    <x v="498"/>
    <x v="478"/>
    <s v="No description available"/>
    <x v="498"/>
    <x v="291"/>
    <n v="2025"/>
    <s v="May"/>
    <x v="0"/>
    <n v="79"/>
    <s v="UCV9OVzE_k2tDKVgu5DYOx5w"/>
    <x v="34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6392"/>
    <n v="125"/>
    <n v="3"/>
    <n v="2.002503128911139E-2"/>
    <n v="53"/>
    <x v="0"/>
  </r>
  <r>
    <x v="499"/>
    <x v="479"/>
    <s v="No description available"/>
    <x v="499"/>
    <x v="108"/>
    <n v="2025"/>
    <s v="June"/>
    <x v="1"/>
    <n v="52"/>
    <s v="UCx8_WwDn6CCZ4RvoMcksuRg"/>
    <x v="350"/>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715"/>
    <n v="12"/>
    <n v="0"/>
    <n v="6.9970845481049562E-3"/>
    <n v="59"/>
    <x v="0"/>
  </r>
  <r>
    <x v="500"/>
    <x v="480"/>
    <s v="Brajniketan TechTalks is a YouTube channel that of..."/>
    <x v="500"/>
    <x v="148"/>
    <n v="2025"/>
    <s v="May"/>
    <x v="0"/>
    <n v="74"/>
    <s v="UCjsrNWFjxkPxXpeF_woTDmQ"/>
    <x v="351"/>
    <s v="['#elonmusk', '#youtubeshortsfeed', '#shortsfeeds', '#nvidia', '#intel', '#jio', '#shorts', '#microsoft', '#iphone', '#Reliance', '#windows', '#Trump', '#Stargate', '#Youtube']"/>
    <n v="28"/>
    <x v="0"/>
    <n v="1954"/>
    <n v="26"/>
    <n v="0"/>
    <n v="1.3306038894575231E-2"/>
    <n v="32"/>
    <x v="0"/>
  </r>
  <r>
    <x v="408"/>
    <x v="394"/>
    <s v="No description available"/>
    <x v="408"/>
    <x v="8"/>
    <n v="2025"/>
    <s v="June"/>
    <x v="1"/>
    <n v="37"/>
    <s v="UCYmubRgKh0mk4TYQnonwTGQ"/>
    <x v="28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031"/>
    <n v="145"/>
    <n v="1"/>
    <n v="1.6166537482006423E-2"/>
    <n v="29"/>
    <x v="0"/>
  </r>
  <r>
    <x v="501"/>
    <x v="481"/>
    <s v="Interested in working with Micron to make cutting-..."/>
    <x v="501"/>
    <x v="292"/>
    <n v="2024"/>
    <s v="October"/>
    <x v="22"/>
    <n v="280"/>
    <s v="UCdp4_l1vPmpN-gDbUwhaRUQ"/>
    <x v="352"/>
    <s v="['graphics card', 'graphics processing unit', 'graphics pipeline', 'video games', 'GPU', 'cpu vs gpu', 'CUDA Core', '3090', '3090 vs 4090', 'Best Graphics Card', 'How do Graphics Cards Work?', '3090ti', '3080ti', '3080', '3070', '5090', '5080', '5090 titan', 'Nvidia', 'NVIDIA', 'Latest Graphics Cards', '5090 Release', '5090 GPU', '5080 Graphics Card', 'GPU Architecture', 'Tensor Cores', 'Bitcoin mining', 'GPU Mining', 'Neural Network', 'GPUs', 'Graphics Cards', 'How do GPUs Work?', 'GPU vs CPU explained', 'GPU vs CPU Architecture', 'Branch Education']"/>
    <n v="27"/>
    <x v="2"/>
    <n v="4876334"/>
    <n v="248095"/>
    <n v="8364"/>
    <n v="5.2592582870656525E-2"/>
    <n v="1710"/>
    <x v="1"/>
  </r>
  <r>
    <x v="502"/>
    <x v="482"/>
    <s v="Primitive Technology: Flywheel blower smelt/Monsoo..."/>
    <x v="502"/>
    <x v="293"/>
    <n v="2025"/>
    <s v="February"/>
    <x v="15"/>
    <n v="170"/>
    <s v="UCAL3JXZSzSm8AlZyD3nQdBA"/>
    <x v="219"/>
    <s v="['primitive technology', 'primitive', 'technology', 'primitive tech', 'technology primitive', 'tech primitive', 'prim technology', 'prim tech', 'tech prim', 'technology prim', 'building from scratch', 'build from scratch', 'building', 'rural life', 'fireplace', 'monsoon', 'flywheel', 'sticks', 'stones', 'huts', 'builder', 'primitive building', 'primitive survival life']"/>
    <n v="28"/>
    <x v="0"/>
    <n v="2725535"/>
    <n v="75897"/>
    <n v="3859"/>
    <n v="2.9262511763745468E-2"/>
    <n v="1989"/>
    <x v="1"/>
  </r>
  <r>
    <x v="503"/>
    <x v="483"/>
    <s v="Lava feature Phone 2025 With D2M Technology Launch..."/>
    <x v="503"/>
    <x v="275"/>
    <n v="2025"/>
    <s v="April"/>
    <x v="14"/>
    <n v="88"/>
    <s v="UCcd9jhJHg-JWuEz861i2saQ"/>
    <x v="353"/>
    <s v="['lava feature phone 2025 with D2M Technology launching soon', 'lava feature phone 2025', 'top best lava keypad phone', 'top lava keypad phone', 'lava new feature phone', 'lava new feature phone 2025', 'lava keypad phone 2025', 'lava keypad mobile', 'best lava keypad phone', 'lava', 'lava d2m feature phone', 'lava d2m keypad mobile', 'D2M', 'd2m', 'lava new d2m phone', 'feature phone with live tv', 'tv wala keypad mobile', 'lava india', 'lava international', 'sector55']"/>
    <n v="28"/>
    <x v="0"/>
    <n v="29339"/>
    <n v="408"/>
    <n v="40"/>
    <n v="1.5269777429360237E-2"/>
    <n v="167"/>
    <x v="1"/>
  </r>
  <r>
    <x v="504"/>
    <x v="484"/>
    <s v="Checkout LPU to learn new age skills - https://sho..."/>
    <x v="504"/>
    <x v="286"/>
    <n v="2025"/>
    <s v="January"/>
    <x v="12"/>
    <n v="193"/>
    <s v="UC00ifCvU8YOOzbL3RdiSTDw"/>
    <x v="354"/>
    <s v="['google', 'willow', 'google quantum ai', 'chip', 'microchip', 'technology', 'gadgets', 'quantum computer', 'ai', 'india', 'blockchain', 'supercomputer', 'microsoft', 'quantum mechanics', 'amazon', 'google ai', 'ancient computer', '1st computer', 'charles babbage', 'evolution of computers', 'google quantum chip', 'computer science', 'new technology 2025', 'science', 'space', 'aliens', 'fastest computer in the world', 'ibm', 'fastest processor in the world', 'humanoids', 'physics', 'astrophysics', 'how a computer works', 'tech', 'cryptocurrency']"/>
    <n v="28"/>
    <x v="0"/>
    <n v="2541185"/>
    <n v="64119"/>
    <n v="2774"/>
    <n v="2.6323545904764902E-2"/>
    <n v="1847"/>
    <x v="1"/>
  </r>
  <r>
    <x v="505"/>
    <x v="485"/>
    <s v="How the Next Big Solar Panel Tech is Already Here...."/>
    <x v="505"/>
    <x v="228"/>
    <n v="2024"/>
    <s v="October"/>
    <x v="22"/>
    <n v="291"/>
    <s v="UCjtUS7-SZTi6pXjUbzGHQCg"/>
    <x v="355"/>
    <s v="['best solar panels', 'cadmium telluride', 'cadmium telluride solar cell', 'energy', 'perovskite solar cell', 'perovskite solar panels', 'renewable energy', 'science', 'silicon solar cell', 'silicon solar panel', 'solar', 'solar energy', 'solar panel project', 'solar panels', 'solar power', 'undecided', 'undecided with matt ferrell', 'PureVis 2', 'water bottle', 'best water bottle', 'designer water bottle', 'water filter', 'water purification', 'LARQ']"/>
    <n v="28"/>
    <x v="0"/>
    <n v="1246937"/>
    <n v="28275"/>
    <n v="996"/>
    <n v="2.3474321477348094E-2"/>
    <n v="808"/>
    <x v="1"/>
  </r>
  <r>
    <x v="506"/>
    <x v="486"/>
    <s v="Chota packet bada dhamaaka !_x000a__x000a_ðŸ”¥ Subscribe for T..."/>
    <x v="506"/>
    <x v="238"/>
    <n v="2025"/>
    <s v="June"/>
    <x v="1"/>
    <n v="51"/>
    <s v="UCXUJJNoP1QupwsYIWFXmsZg"/>
    <x v="341"/>
    <s v="['oneplus 13s', 'oneplus 13', 'oneplus 13s review', 'oneplus', 'oneplus 13s unboxing', 'oneplus 13s specs', 'oneplus 13r', 'oneplus 13s price', 'oneplus 13 review', 'oneplus 13t', 'oneplus 13s features', 'oneplus 13s launch date', 'oneplus 13s camera test', 'oneplus 13s price in india', 'oneplus 13s vs', 'oneplus 13r review', 'oneplus 13s india', 'oneplus 13 camera', 'oneplus 13 vs oneplus 13s', 'oneplus 13s vs oneplus 13', 'oneplus 13 pro', 'oneplus 13s vs oneplus 13r', 'oneplus 13r vs oneplus 13s', 'techburner']"/>
    <n v="28"/>
    <x v="0"/>
    <n v="569490"/>
    <n v="15310"/>
    <n v="631"/>
    <n v="2.7991711882561589E-2"/>
    <n v="838"/>
    <x v="1"/>
  </r>
  <r>
    <x v="507"/>
    <x v="487"/>
    <s v="15 Emerging Technologies That Will Change The Futu..."/>
    <x v="507"/>
    <x v="294"/>
    <n v="2024"/>
    <s v="April"/>
    <x v="37"/>
    <n v="459"/>
    <s v="UC6J5mYhVIIvmuPE96g0JhDw"/>
    <x v="342"/>
    <s v="['concept', 'amazing inventions you must see', '99techspot', 'top 10', 'futuristic', 'review', 'Nanotechnology', 'MyEye Pro', '3D House Printer', 'Nanoscribe', '6G vision for 2030', 'CyberDog 2', 'Microsoft HoloLens 2', 'Satellite 5G', 'DJI Avata 2', 'Starship', 'AMBIDEX robot', 'Electric Atlas Robot', '20 Emerging Technologies That Will Change Our World', 'quantum computer', 'emerging technologies', '2050', 'humanoid robot', 'SpaceX', 'top 5', 'Mars', 'robots', 'virtual reality', '2050 future world', 'crispr', 'space tourism', 'generative ai']"/>
    <n v="28"/>
    <x v="0"/>
    <n v="578419"/>
    <n v="5542"/>
    <n v="223"/>
    <n v="9.9668233581538639E-3"/>
    <n v="990"/>
    <x v="1"/>
  </r>
  <r>
    <x v="508"/>
    <x v="488"/>
    <s v="The best of CES 2025! And the weirdest of CES 2025..."/>
    <x v="508"/>
    <x v="59"/>
    <n v="2025"/>
    <s v="January"/>
    <x v="12"/>
    <n v="197"/>
    <s v="UCYute_pau0Os_n-pi3CcFhw"/>
    <x v="356"/>
    <s v="['trisha hershberger', 'technology', 'tech', 'ces 2025 highlights', 'interesting engineering', 'ces 2025', 'ces robots', 'ces 2025 robots', 'weird tech', 'ces 2025 preview', 'ces 2025 unveiled', 'ces 2025 las vegas', 'weird tech products', 'tech trends 2025', 'tech trends', 'ai robots', 'food tech', 'beauty tech', 'gunnar glasses', 'tcl ces 2025', 'ces 2025 announcements', 'ces 2025 vlog', '2025 tech', 'ces hot tech', 'ces tech show', 'ces technology', 'best of ces 2025', 'gaming tech', 'home tech', 'ces best tech']"/>
    <n v="28"/>
    <x v="0"/>
    <n v="539853"/>
    <n v="8751"/>
    <n v="338"/>
    <n v="1.6836064632409192E-2"/>
    <n v="1214"/>
    <x v="1"/>
  </r>
  <r>
    <x v="509"/>
    <x v="489"/>
    <s v="Thanks to Intel for continuing to sponsor this awe..."/>
    <x v="509"/>
    <x v="295"/>
    <n v="2022"/>
    <s v="May"/>
    <x v="31"/>
    <n v="1157"/>
    <s v="UCXuqSBlHAE6Xw-yeJA0Tunw"/>
    <x v="26"/>
    <s v="['intel', 'extreme', 'tech', 'pc', 'gaming', 'build', 'guide', 'brandon', 'lee', 'upgrade', 'photo', 'editing', 'workstation']"/>
    <n v="28"/>
    <x v="0"/>
    <n v="4034331"/>
    <n v="131765"/>
    <n v="3428"/>
    <n v="3.3510636583859874E-2"/>
    <n v="1268"/>
    <x v="1"/>
  </r>
  <r>
    <x v="510"/>
    <x v="490"/>
    <s v="#Future #Technology #World #2100 #futuristic #sci-..."/>
    <x v="510"/>
    <x v="296"/>
    <n v="2024"/>
    <s v="August"/>
    <x v="8"/>
    <n v="352"/>
    <s v="UCENLJimUiMr6Lo0shZ1Vq_A"/>
    <x v="357"/>
    <s v="['future technology', 'future world', 'world in 2100', 'futuristic', 'sci-fi', 'science fiction', 'future predictions', 'future life', 'future of humanity', 'future of earth', 'future tech', 'artificial intelligence', 'robotics', 'virtual reality', 'augmented reality', 'space exploration', 'sustainable energy', 'smart cities', 'bioengineering', 'nanotechnology', 'future society', 'climate change', 'overpopulation', 'social issues in 2100', 'future jobs', 'education in 2100', 'healthcare in 2100', 'transportation in 2100']"/>
    <n v="27"/>
    <x v="2"/>
    <n v="587614"/>
    <n v="8504"/>
    <n v="738"/>
    <n v="1.5728011926196449E-2"/>
    <n v="752"/>
    <x v="1"/>
  </r>
  <r>
    <x v="298"/>
    <x v="491"/>
    <s v="â—INSTAGRAM!_x000a_https://instagram.com/lordngaming?ig..."/>
    <x v="511"/>
    <x v="172"/>
    <n v="2024"/>
    <s v="August"/>
    <x v="8"/>
    <n v="336"/>
    <s v="UCnaXMR7Tu3bj8cJ1ZzgcCTQ"/>
    <x v="358"/>
    <s v="['Hardest skyblock', 'Skyblock timelapse', 'The nothing skyblock', 'Can you beat skyblock with nothing', 'LordJon25', 'Lordn gaming', 'lordn 100 days', 'skyblock with nothing', 'nothing skyblock', 'we survived 300 days in skyblock without tree in minecraft hardcore', 'Lordn 100 days skyblock', 'Minecraft skyblock without tree', 'we survived 100 days in skyblock minecraft', 'We survived 100 days in minecraft skyblock with nothing', 'Skyblock with nothing minecraft', 'Minecraft oneblock 100 days', 'Oneblock 100']"/>
    <n v="20"/>
    <x v="10"/>
    <n v="413270"/>
    <n v="7744"/>
    <n v="294"/>
    <n v="1.9449754397851283E-2"/>
    <n v="1164"/>
    <x v="1"/>
  </r>
  <r>
    <x v="511"/>
    <x v="492"/>
    <s v="What does it take to truly transform healthcare? I..."/>
    <x v="512"/>
    <x v="38"/>
    <n v="2025"/>
    <s v="May"/>
    <x v="0"/>
    <n v="59"/>
    <s v="UCUI9vm69ZbAqRK3q3vKLWCQ"/>
    <x v="338"/>
    <s v="['Mint', 'Mint News', 'Live Mint', 'Business News', 'News', 'Today News']"/>
    <n v="25"/>
    <x v="1"/>
    <n v="120483"/>
    <n v="24"/>
    <n v="2"/>
    <n v="2.1579807939709337E-4"/>
    <n v="2687"/>
    <x v="1"/>
  </r>
  <r>
    <x v="512"/>
    <x v="493"/>
    <s v="#bajaj #freedom #motorcycle #cng #and #petrol"/>
    <x v="513"/>
    <x v="285"/>
    <n v="2025"/>
    <s v="May"/>
    <x v="0"/>
    <n v="86"/>
    <s v="UC8XyjHCZxoNa0h8xvgKw36Q"/>
    <x v="359"/>
    <s v="['Bajaj', 'Freedom', 'CNG', 'Petrol', 'Motorcycle']"/>
    <n v="2"/>
    <x v="13"/>
    <n v="4521"/>
    <n v="48"/>
    <n v="0"/>
    <n v="1.0617120106171201E-2"/>
    <n v="28"/>
    <x v="0"/>
  </r>
  <r>
    <x v="513"/>
    <x v="494"/>
    <s v="Alcatel V3 Ultra unboxing &amp; quick review_x000a__x000a_#Alcatel..."/>
    <x v="514"/>
    <x v="152"/>
    <n v="2025"/>
    <s v="June"/>
    <x v="1"/>
    <n v="49"/>
    <s v="UC1tVU8H153ZFO9eRsxdJlhA"/>
    <x v="261"/>
    <s v="['Alcatel phone', 'alcatel v3 ultra unboxing', 'alcatel v3 ultra camera', 'alcatel v3 ultra bgmi tes', 'alcatel v3 ultra price', 'alcatel v3 ultra']"/>
    <n v="28"/>
    <x v="0"/>
    <n v="379513"/>
    <n v="17123"/>
    <n v="1002"/>
    <n v="4.775857480507914E-2"/>
    <n v="631"/>
    <x v="1"/>
  </r>
  <r>
    <x v="514"/>
    <x v="495"/>
    <s v="Doston aaj ke video me hum unbox kar rahe hain all..."/>
    <x v="515"/>
    <x v="150"/>
    <n v="2025"/>
    <s v="June"/>
    <x v="1"/>
    <n v="45"/>
    <s v="UCEPL07qzVsOcHd3sMUws65g"/>
    <x v="265"/>
    <s v="['vivo t4 ultra', 'vivo t4 ultra review', 'vivo t4 ultra price in india', 'vivo t4 ultra unboxing', 'vivo t4 ultra 5g', 'vivo t4 ultra specification', 'vivo t4 ultra specs', 't4 ultra vivo', 'vivo t4 ultra buy or not', 'vivo t4 ultra comparison', 'vivo t4 ultra price', 'vivo t4 ultra camera test', 'vivo t4 ultra 5g unboxing', 'vivo t4 ultra vs', 'vivo t4 ultra first look', 'vivo t4 ultra vs vivo v50', 'vivo v50 vs vivo t4 ultra', 'vivo t4 ultra trakintech', 'best vivo under 35000', 't4 ultra', 'vivo v50 pro']"/>
    <n v="28"/>
    <x v="0"/>
    <n v="873493"/>
    <n v="31376"/>
    <n v="1621"/>
    <n v="3.7775918066887772E-2"/>
    <n v="742"/>
    <x v="1"/>
  </r>
  <r>
    <x v="515"/>
    <x v="496"/>
    <s v="Hidden instagram settings_x000a_Hidden instagram feature..."/>
    <x v="516"/>
    <x v="108"/>
    <n v="2025"/>
    <s v="June"/>
    <x v="1"/>
    <n v="52"/>
    <s v="UCD0ixD6V_esLsn1B66tkNnw"/>
    <x v="360"/>
    <s v="['Instagram tricks', 'Instagram tips', 'Instagram hacks', 'Instagram settings', 'Instagram features', 'Android tricks', 'Android hacks', 'Iphone tricks', 'Iphone hacks', 'Ios hacks']"/>
    <n v="24"/>
    <x v="3"/>
    <n v="1207"/>
    <n v="14"/>
    <n v="0"/>
    <n v="1.15990057995029E-2"/>
    <n v="42"/>
    <x v="0"/>
  </r>
  <r>
    <x v="516"/>
    <x v="497"/>
    <s v="No description available"/>
    <x v="517"/>
    <x v="191"/>
    <n v="2025"/>
    <s v="June"/>
    <x v="1"/>
    <n v="54"/>
    <s v="UCo0mAi0FlYnlwhGf7BvIuVg"/>
    <x v="36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1563"/>
    <n v="154"/>
    <n v="0"/>
    <n v="7.1418633770811112E-3"/>
    <n v="21"/>
    <x v="0"/>
  </r>
  <r>
    <x v="517"/>
    <x v="498"/>
    <s v="Welcome to Trending Machine â€” where inventions h..."/>
    <x v="518"/>
    <x v="0"/>
    <n v="2025"/>
    <s v="May"/>
    <x v="0"/>
    <n v="85"/>
    <s v="UCCfpI5ggGDPkD0F0Qfsbdpw"/>
    <x v="362"/>
    <s v="['trending machine', 'amazing inventions', 'amazing inventions that are on another level', 'crazy vehicles', 'inventions', 'technology', 'another level', 'amazing inventions you should see', 'machines', 'satisfying video', 'the most satisfying videos', 'amazing tools', 'road inventions', 'next level tools', 'next level', 'tips and hacks', 'gadgets', 'compilation', 'inventions that changed the world', 'new level', 'inventors', 'satisfying', 'awesome tools', 'new inventions', 'most amazing inventions you need to see']"/>
    <n v="22"/>
    <x v="6"/>
    <n v="523536"/>
    <n v="4065"/>
    <n v="74"/>
    <n v="7.9058555667614067E-3"/>
    <n v="20"/>
    <x v="0"/>
  </r>
  <r>
    <x v="518"/>
    <x v="499"/>
    <s v="I TRIED 7 COOL GADGETS FROM SHARK TANK_x000a_#ujjwal #te..."/>
    <x v="519"/>
    <x v="123"/>
    <n v="2025"/>
    <s v="March"/>
    <x v="23"/>
    <n v="130"/>
    <s v="UCs6EmLAT4lTWwCSJRgbbchQ"/>
    <x v="327"/>
    <s v="['best tech', 'gadgets', 'unboxing', 'amazing', 'useful', 'experiment', 'review', 'new', 'innovative', 'shark tank', 'shark tank india', 'future tech', 'cool', 'smart', 'smart living', 'smart gadgets', 'tech review', 'startup india', 'wearable tech', 'gaming', 'AI', 'made in india', 'digital india', 'ujjwal', 'technogamerz']"/>
    <n v="28"/>
    <x v="0"/>
    <n v="4358841"/>
    <n v="99282"/>
    <n v="8985"/>
    <n v="2.4838483440896331E-2"/>
    <n v="2294"/>
    <x v="1"/>
  </r>
  <r>
    <x v="519"/>
    <x v="500"/>
    <s v="No description available"/>
    <x v="520"/>
    <x v="38"/>
    <n v="2025"/>
    <s v="May"/>
    <x v="0"/>
    <n v="59"/>
    <s v="UCXJ3BsorN7sn1JnrudJJj8Q"/>
    <x v="36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331"/>
    <n v="18"/>
    <n v="0"/>
    <n v="3.3764772087788407E-3"/>
    <n v="56"/>
    <x v="0"/>
  </r>
  <r>
    <x v="520"/>
    <x v="501"/>
    <s v="Lost Your Phone? Do This ASAP! #gadgets360 #androi..."/>
    <x v="521"/>
    <x v="258"/>
    <n v="2025"/>
    <s v="May"/>
    <x v="0"/>
    <n v="83"/>
    <s v="UCx5e1u7BX0aKwEj3sdYXdXg"/>
    <x v="364"/>
    <s v="['how to know if your phone is hacked', 'phone spy', 'phone spying', 'android phone', 'phone tracking', 'phone monitoring', '#lostphone', 'how to tell if your iphone is hacked', '#phonesecurity', 'iphone', 'iphone 15', 'iphone 12', 'iphone 13', 'iphone fix', 'how to use find my iphone', 'iphone tips', 'how to study', 'iphone 15 pro', 'iphone hacks', 'what to do if i lose my iphone', 'how to check if your iphone has been hacked', 'iphone repair', 'how to spend money correctly', '#findmyiphone']"/>
    <n v="26"/>
    <x v="8"/>
    <n v="5091"/>
    <n v="39"/>
    <n v="0"/>
    <n v="7.6605774896876845E-3"/>
    <n v="39"/>
    <x v="0"/>
  </r>
  <r>
    <x v="521"/>
    <x v="502"/>
    <s v="Africaâ€™s tech startups raised a record $5 billio..."/>
    <x v="522"/>
    <x v="297"/>
    <n v="2022"/>
    <s v="April"/>
    <x v="51"/>
    <n v="1206"/>
    <s v="UCUMZ7gohGI9HcU9VNsr2FJQ"/>
    <x v="365"/>
    <s v="['News', 'bloomberg', 'quicktake', 'business', 'bloomberg quicktake', 'quicktake originals', 'bloomberg\nquicktake by bloomberg', 'documentary', 'mini documentary', 'mini doc', 'doc', 'us news', 'world news', 'finance', 'science', 'africa+', 'tech startups', 'investment', 'US', 'China', 'flutterwave', 'sendy', 'ihub', 'mopesa']"/>
    <n v="25"/>
    <x v="1"/>
    <n v="344551"/>
    <n v="7548"/>
    <n v="465"/>
    <n v="2.325635392148042E-2"/>
    <n v="967"/>
    <x v="1"/>
  </r>
  <r>
    <x v="522"/>
    <x v="503"/>
    <s v="ðŸ‘‰For business inquiries: info.prorobots@gmail.c..."/>
    <x v="523"/>
    <x v="298"/>
    <n v="2025"/>
    <s v="April"/>
    <x v="14"/>
    <n v="98"/>
    <s v="UCu8luTDe_Xxd2ahAXsCWX5g"/>
    <x v="366"/>
    <s v="['technology', 'expo 2025', 'robotics', 'autonomous vehicles', 'artificial intelligence', 'digital technology', 'robots', 'high tech', 'technology development', 'robot future', 'robots2025', 'robot control', 'robots with ai', 'modern technology', 'new robot models', 'robotics development', 'tech', 'ayo technology', 'cool gadgets', 'future', 'future technology', 'humanoid robots', 'boston dynamics', 'unitree', 'future of life', 'future transportation concept', 'aI for predicting crimes', 'figure robots at bmw factories', 'expo 2025 osaka']"/>
    <n v="28"/>
    <x v="0"/>
    <n v="253351"/>
    <n v="3346"/>
    <n v="127"/>
    <n v="1.3708254555932284E-2"/>
    <n v="1232"/>
    <x v="1"/>
  </r>
  <r>
    <x v="523"/>
    <x v="504"/>
    <s v="Here it is â€” the worldâ€™s first foldable laptop..."/>
    <x v="524"/>
    <x v="72"/>
    <n v="2025"/>
    <s v="May"/>
    <x v="0"/>
    <n v="67"/>
    <s v="UCgJCa5JyZUFkw2evyuvLbJA"/>
    <x v="367"/>
    <s v="['Huawei MateBook Fold first look', 'foldable display quality', 'flexible OLED crease', 'hinge durability', 'luxury laptop', 'business laptop', 'creator screen', 'Huawei foldable', '18-inch OLED PC', 'multitasking', 'mobile workstation', 'premium price.', 'foldable notebook test', 'Huawei Ultimate Design', '18-inch foldable screen', 'HarmonyOS laptop', 'multitasking gestures', 'premium tech.']"/>
    <n v="28"/>
    <x v="0"/>
    <n v="399707"/>
    <n v="6911"/>
    <n v="898"/>
    <n v="1.9536810713847892E-2"/>
    <n v="487"/>
    <x v="1"/>
  </r>
  <r>
    <x v="524"/>
    <x v="505"/>
    <s v="DeepSeek has released Janus Pro, a groundbreaking ..."/>
    <x v="525"/>
    <x v="278"/>
    <n v="2025"/>
    <s v="January"/>
    <x v="12"/>
    <n v="178"/>
    <s v="UC5l7RouTQ60oUjLjt1Nh-UQ"/>
    <x v="368"/>
    <s v="['AI News', 'AI Updates', 'AI Revolution', 'AI', 'deepseek', 'janus pro', 'ai model', 'dall-e 3', 'gpt-4', 'openai', 'multimodal ai', 'image generation', 'ai benchmarks', 'generative ai', 'tech innovation', 'ai competition', 'ai disruption', 'nvidia', 'ai efficiency', 'ai breakthroughs', 'ai technology', 'unified transformer', 'open-source ai', 'ai revolution', 'deep learning', 'artificial intelligence', 'ai advancements', 'ai research', 'ai market', 'ai cost efficiency', 'deepseek janus pro', 'generative models', 'future of ai']"/>
    <n v="28"/>
    <x v="0"/>
    <n v="938450"/>
    <n v="16415"/>
    <n v="1961"/>
    <n v="1.9581224359315894E-2"/>
    <n v="836"/>
    <x v="1"/>
  </r>
  <r>
    <x v="525"/>
    <x v="187"/>
    <s v="China's New Transport Tech: Is the US Ready for Th..."/>
    <x v="526"/>
    <x v="299"/>
    <n v="2024"/>
    <s v="December"/>
    <x v="4"/>
    <n v="209"/>
    <s v="UC1dOYS4SC0FMFYHQxAPkfhg"/>
    <x v="369"/>
    <s v="['discovery', 'unexplained', 'mysterious', 'top 10', 'top 15', 'space', 'universe', 'science', 'techology', 'mystery', 'facts', 'interesting', 'discovery channel', 'discovery plus', 'scientists discovery', 'aliens', 'ufo', 'terrifying discoveries', 'top', 'they discovered', 'invention', 'future', 'galaxy', 'james webb', 'elon musk', 'business', 'entertainment', 'ultimate discovery', 'china has launched new generation transport shocking the us', 'sky maglev train', 'land maglev train', 'shane two-wheeler', 't-flight', 'floating suv -yang wang u-eight', 'nio et-nine']"/>
    <n v="24"/>
    <x v="3"/>
    <n v="1935909"/>
    <n v="8010"/>
    <n v="256"/>
    <n v="4.269828798771017E-3"/>
    <n v="893"/>
    <x v="1"/>
  </r>
  <r>
    <x v="526"/>
    <x v="506"/>
    <s v="No description available"/>
    <x v="527"/>
    <x v="273"/>
    <n v="2025"/>
    <s v="May"/>
    <x v="0"/>
    <n v="57"/>
    <s v="UC91D3Ux_SGfUHoL4VybVgvA"/>
    <x v="370"/>
    <s v="['BYD YangWang U8', 'BYD', 'china ev', 'Tank 300', 'GWM', 'HUAWEI AITO M7', 'AITO M7', 'HUAWEI', 'Tank 400', 'Li L9', 'Li', 'L9', 'IM Motor', 'IM Motor LS6', 'LS6', 'Human Horizons', 'HiPhi Z', 'HiPhi', 'AITO M9', 'Li Auto', 'Mega', 'XPENG', 'XPENG X9', 'Tank 700 Hi4-T', 'Tank 700', 'YangWang', 'Xiaomi', 'Geely', 'Xiaomi SU7', 'electric car', 'electric vehicle', 'china car']"/>
    <n v="2"/>
    <x v="13"/>
    <n v="491435"/>
    <n v="5564"/>
    <n v="727"/>
    <n v="1.2801286029688564E-2"/>
    <n v="1140"/>
    <x v="1"/>
  </r>
  <r>
    <x v="527"/>
    <x v="507"/>
    <s v="Apple's iPhone 17 is going to be AWESOME this year..."/>
    <x v="528"/>
    <x v="191"/>
    <n v="2025"/>
    <s v="June"/>
    <x v="1"/>
    <n v="54"/>
    <s v="UCptwuAv0XQHo1OQUSaO6NHw"/>
    <x v="371"/>
    <s v="['iPhone leaks', 'iphone', 'iPhone 17 leaks', 'iPhone 17 lineup leaks', 'iPhone 17 leaked', 'iPhone 17 leak updates', 'iPhone 17 major leaks', 'iPhone 17 new leaks', 'iPhone 17 new leak updates', 'iPhone 17 major updates', 'iPhone 17 series leaks', 'iPhone 17 top 10 leaks', 'iPhone 17 top upgrades', 'iPhone 17 top 10 upgrades', 'iPhone 17 major features', 'iPhone 17 new major features', 'iPhone 17 new updates', 'iPhone 17 pro', 'iPhone 17 pro leaks', 'iPhone 17 ultra', 'iPhone 17 air', 'iPhone 17 air leaks']"/>
    <n v="28"/>
    <x v="0"/>
    <n v="142155"/>
    <n v="2841"/>
    <n v="371"/>
    <n v="2.2595054693820126E-2"/>
    <n v="565"/>
    <x v="1"/>
  </r>
  <r>
    <x v="528"/>
    <x v="508"/>
    <s v="No description available"/>
    <x v="529"/>
    <x v="254"/>
    <n v="2025"/>
    <s v="May"/>
    <x v="0"/>
    <n v="73"/>
    <s v="UCx4shTmKt1kflWK7NeTjNww"/>
    <x v="30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91"/>
    <n v="8"/>
    <n v="0"/>
    <n v="5.7512580877066861E-3"/>
    <n v="15"/>
    <x v="0"/>
  </r>
  <r>
    <x v="529"/>
    <x v="509"/>
    <s v="#21 #farming #agriculture #harvesting #harvest  #a..."/>
    <x v="530"/>
    <x v="300"/>
    <n v="2025"/>
    <s v="February"/>
    <x v="15"/>
    <n v="166"/>
    <s v="UCFlbLCKOhjvhmJnsyYMl-jA"/>
    <x v="372"/>
    <s v="['agriculture technology', 'heavy machinery', 'heavy equipment', 'biggest heavy equipment machines', 'biggest heavy machinery machines', 'harvest', 'modern agriculture technology', 'thegearbox', 'the gearbox', 'grape farm', 'japanese grapes', 'japanese farmers harvest expensive grapes', 'grape transportation', 'grape harvest', 'grape harvesting machine']"/>
    <n v="28"/>
    <x v="0"/>
    <n v="951324"/>
    <n v="12795"/>
    <n v="715"/>
    <n v="1.4201260558968342E-2"/>
    <n v="998"/>
    <x v="1"/>
  </r>
  <r>
    <x v="530"/>
    <x v="510"/>
    <s v="Primitive Technology - Meet Fish In The Lake Cacth..."/>
    <x v="531"/>
    <x v="301"/>
    <n v="2023"/>
    <s v="February"/>
    <x v="27"/>
    <n v="897"/>
    <s v="UCV3sPnh7wwVyZ1qnoudgVZA"/>
    <x v="373"/>
    <s v="['Primitive Technology - Meet Fish In The Lake Cacth And Cooking', 'Primitive', 'Technology', 'Cooking', 'Primitive Technology', 'Eating delicious', 'Kmeng Prey', 'Meet Fish In The Lake Cacth And Cooking', 'cooking', 'primitive technology', 'primitive', 'technology', 'kmeng prey', 'traditional cooking', 'mukbang', 'food']"/>
    <n v="24"/>
    <x v="3"/>
    <n v="3606687"/>
    <n v="16556"/>
    <n v="1970.1447811447799"/>
    <n v="5.1366100748816796E-3"/>
    <n v="945"/>
    <x v="1"/>
  </r>
  <r>
    <x v="531"/>
    <x v="511"/>
    <s v="Industrial manufacturing stands as the backbone of..."/>
    <x v="532"/>
    <x v="302"/>
    <n v="2024"/>
    <s v="February"/>
    <x v="29"/>
    <n v="524"/>
    <s v="UC4Tklxku1yPcRIH0VVCKoeA"/>
    <x v="37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2937151"/>
    <n v="26618"/>
    <n v="719"/>
    <n v="2.1130618325472124E-3"/>
    <n v="2680"/>
    <x v="1"/>
  </r>
  <r>
    <x v="532"/>
    <x v="512"/>
    <s v="As technology continues to evolve rapidly, 2025 pr..."/>
    <x v="533"/>
    <x v="260"/>
    <n v="2025"/>
    <s v="June"/>
    <x v="1"/>
    <n v="47"/>
    <s v="UCAsUHtfz0Fqe9ZtBgmL1XYQ"/>
    <x v="375"/>
    <s v="['best amazon finds', 'amazon gadgets', 'cool gadgets on amazon', 'gadgets on amazon', 'new gadgets on amazon', 'gadgets', '12 coolest gadgets on amazon', 'cool gadgets', 'amazon', '12 coolest gadgets on amazon and online', 'smart gadgets', 'amazon finds', 'cool tech gadgets on amazon', 'amazon gadgets 2025', '12 amazing kitchen gadgets on amazon that will change your life', 'coolest gadgets', 'best gadgets on amazon', 'home gadgets on amazon', 'viral gadgets on amazon', 'latest gadgets', '13 coolest gadgets on amazon']"/>
    <n v="28"/>
    <x v="0"/>
    <n v="598"/>
    <n v="6"/>
    <n v="0"/>
    <n v="1.0033444816053512E-2"/>
    <n v="726"/>
    <x v="1"/>
  </r>
  <r>
    <x v="533"/>
    <x v="513"/>
    <s v="Primitive Technology: Re-smelting previously made ..."/>
    <x v="534"/>
    <x v="87"/>
    <n v="2025"/>
    <s v="April"/>
    <x v="14"/>
    <n v="114"/>
    <s v="UCAL3JXZSzSm8AlZyD3nQdBA"/>
    <x v="219"/>
    <s v="['primitive technology', 'primitive', 'technology', 'primitive tech', 'technology primitive', 'tech primitive', 'prim technology', 'prim tech', 'tech prim', 'technology prim', 'building from scratch', 'build from scratch', 'fire', 'smelting', 'iron man', 'tools', 'rust', 'rust irl', 'fire making', 'survival tools', 'creating iron']"/>
    <n v="28"/>
    <x v="0"/>
    <n v="1354345"/>
    <n v="53312"/>
    <n v="3029"/>
    <n v="4.1600183114346788E-2"/>
    <n v="1765"/>
    <x v="1"/>
  </r>
  <r>
    <x v="534"/>
    <x v="514"/>
    <s v="How do you transfer data from a phone to a compute..."/>
    <x v="535"/>
    <x v="303"/>
    <n v="2019"/>
    <s v="May"/>
    <x v="45"/>
    <n v="2249"/>
    <s v="UCCspJ6mFfCwOV4qFjZWi2wg"/>
    <x v="376"/>
    <s v="['Mi9', 'xiaomi', 'xiaomi miui', 'xiami mi9', 'miui mi9', 'miui10', 'xiaomi redmi', 'redmi']"/>
    <n v="28"/>
    <x v="0"/>
    <n v="558398"/>
    <n v="13010"/>
    <n v="243"/>
    <n v="2.3733967528536994E-2"/>
    <n v="29"/>
    <x v="0"/>
  </r>
  <r>
    <x v="535"/>
    <x v="515"/>
    <s v="100â‚¹ VS 50000â‚¹ POWERBANK_x000a_#pen #technogamerz _x000a__x000a_..."/>
    <x v="536"/>
    <x v="304"/>
    <n v="2024"/>
    <s v="May"/>
    <x v="11"/>
    <n v="434"/>
    <s v="UCs6EmLAT4lTWwCSJRgbbchQ"/>
    <x v="327"/>
    <s v="['power bank', 'best tech', 'gadgets', 'unboxing', 'amazing', 'useful', 'gifts', 'toys', 'surprise', 'funny', 'experiment', 'ujjwal', 'techno gamerz']"/>
    <n v="28"/>
    <x v="0"/>
    <n v="6426488"/>
    <n v="205015"/>
    <n v="6750"/>
    <n v="3.2951901567387976E-2"/>
    <n v="1219"/>
    <x v="1"/>
  </r>
  <r>
    <x v="536"/>
    <x v="516"/>
    <s v="No description available"/>
    <x v="537"/>
    <x v="305"/>
    <n v="2025"/>
    <s v="May"/>
    <x v="0"/>
    <n v="64"/>
    <s v="UCrvE2SFjutwpy9W3i8Po6LQ"/>
    <x v="37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8504"/>
    <n v="270"/>
    <n v="5"/>
    <n v="3.233772342427093E-2"/>
    <n v="56"/>
    <x v="0"/>
  </r>
  <r>
    <x v="537"/>
    <x v="517"/>
    <s v="Stealth Technology: How Military Vehicles Become I..."/>
    <x v="538"/>
    <x v="306"/>
    <n v="2025"/>
    <s v="March"/>
    <x v="23"/>
    <n v="141"/>
    <s v="UCKFjNynYRgDfnSIXzELPqTA"/>
    <x v="378"/>
    <s v="['free documentary', 'free documentary engineering', 'engineering', 'engineering documentary', 'tech', 'tech documentary', 'constructions', 'constructions documentary', 'technology documentary']"/>
    <n v="28"/>
    <x v="0"/>
    <n v="49258"/>
    <n v="718"/>
    <n v="32"/>
    <n v="1.5225953144666855E-2"/>
    <n v="2884"/>
    <x v="1"/>
  </r>
  <r>
    <x v="538"/>
    <x v="508"/>
    <s v="No description available"/>
    <x v="539"/>
    <x v="191"/>
    <n v="2025"/>
    <s v="June"/>
    <x v="1"/>
    <n v="54"/>
    <s v="UCN9oidsuQgdNzkVjH7SOAYA"/>
    <x v="37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409"/>
    <n v="43"/>
    <n v="0"/>
    <n v="1.261366969785861E-2"/>
    <n v="55"/>
    <x v="0"/>
  </r>
  <r>
    <x v="539"/>
    <x v="518"/>
    <s v="vivo T4 Ultra Review in Telugu || Best Camera Phon..."/>
    <x v="540"/>
    <x v="8"/>
    <n v="2025"/>
    <s v="June"/>
    <x v="1"/>
    <n v="37"/>
    <s v="UCb-xXZ7ltTvrh9C6DgB9H-Q"/>
    <x v="277"/>
    <s v="['prasadtechintelugu', 'prasad', 'techtelugu', 'technews', 'Prasad tech in telugu', 'vivo t4 ultra review', 'vivo t4 ultra unboxing', 'vivo t4 ultra camera test', 'vivo t4 ultra telugu', 'vivo t4 ultra performance', 'vivo t4 ultra vs rvivo t3 ultra', 'vivo t4 ultra pubg test', 'dimensity 9300 plus phone', 'best phone under 40000', 'telugu tech reviews', 'best camera phone telugu']"/>
    <n v="28"/>
    <x v="0"/>
    <n v="143251"/>
    <n v="10834"/>
    <n v="426"/>
    <n v="7.8603290727464387E-2"/>
    <n v="709"/>
    <x v="1"/>
  </r>
  <r>
    <x v="540"/>
    <x v="519"/>
    <s v="No description available"/>
    <x v="541"/>
    <x v="72"/>
    <n v="2025"/>
    <s v="May"/>
    <x v="0"/>
    <n v="67"/>
    <s v="UC3Pk2HL3rN8j1uGXYLL_VfQ"/>
    <x v="380"/>
    <s v="['mobile se failti bimari', 'mobile aapki jaan bhi le sakta hai', 'aapka phone aapki jaan bhi le sakta hai', 'mobile manushya ke liye Khatarnak hai']"/>
    <n v="28"/>
    <x v="0"/>
    <n v="312"/>
    <n v="217464.60837887001"/>
    <n v="0"/>
    <n v="697.00194993227569"/>
    <n v="56"/>
    <x v="0"/>
  </r>
  <r>
    <x v="541"/>
    <x v="520"/>
    <s v="Here's another episode of some of the best Budget ..."/>
    <x v="542"/>
    <x v="272"/>
    <n v="2025"/>
    <s v="May"/>
    <x v="0"/>
    <n v="69"/>
    <s v="UC0MYNOsIrz6jmXfIMERyRHQ"/>
    <x v="118"/>
    <s v="['best budget tech', 'best budget tech 2025', 'best cheap tech', 'best cheap tech gadgets', 'budget technology', 'budget tech gifts', 'budget technology gifts for him', 'best gifts for him 2025', 'best tech gifts for him 2025', 'best tech under 25', 'best tech under 100', 'best tech under 50', 'dope tech', 'tech', 'technology', 'affordable tech', 'affordable tech gifts', 'cmf nothing phone 2 pro', 'karl conrad', 'affordable tech gadgets', 'budget tech gadgets']"/>
    <n v="28"/>
    <x v="0"/>
    <n v="45458"/>
    <n v="1287"/>
    <n v="48"/>
    <n v="2.9367768049628228E-2"/>
    <n v="689"/>
    <x v="1"/>
  </r>
  <r>
    <x v="542"/>
    <x v="521"/>
    <s v="triple maaja lete hai_x000a__x000a_ðŸ”¥ Subscribe for Tabahi V..."/>
    <x v="543"/>
    <x v="249"/>
    <n v="2024"/>
    <s v="October"/>
    <x v="22"/>
    <n v="283"/>
    <s v="UCXUJJNoP1QupwsYIWFXmsZg"/>
    <x v="341"/>
    <s v="['huawei triple folding phone', 'triple folding phone', 'folding smartphone', 'triple folding smartphone', 'folding phone', 'tcl triple foldable phone', 'xiaomi folding phone', 'huawei triple foldable phone', 'huawei mate xt - first look (triple folding phone)', 'smartphone', 'best foldable smartphone', 'huawei folding phone', 'huawei first triple folding phone - finally official!!', 'xiaomi triple folding phone', 'huaweis triple folding phone', 'triple folding display phone', 'foldable smartphone', 'tech burner']"/>
    <n v="28"/>
    <x v="0"/>
    <n v="3113836"/>
    <n v="63684"/>
    <n v="2014"/>
    <n v="2.109873480812734E-2"/>
    <n v="1071"/>
    <x v="1"/>
  </r>
  <r>
    <x v="543"/>
    <x v="522"/>
    <s v="ðŸ™à¤œà¥‹à¤¹à¤¾à¤° ðŸ™ _x000a__x000a__x000a_Mummy ka Damad Banaung..."/>
    <x v="544"/>
    <x v="56"/>
    <n v="2025"/>
    <s v="April"/>
    <x v="14"/>
    <n v="89"/>
    <s v="UC1vOukTmEH646JRvYyxpQnw"/>
    <x v="38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0"/>
    <x v="5"/>
    <n v="5313043"/>
    <n v="43968"/>
    <n v="1206"/>
    <n v="8.5024721237904523E-3"/>
    <n v="258"/>
    <x v="1"/>
  </r>
  <r>
    <x v="544"/>
    <x v="523"/>
    <s v="Discloses staggering new evidence of ancient techn..."/>
    <x v="545"/>
    <x v="110"/>
    <n v="2024"/>
    <s v="November"/>
    <x v="32"/>
    <n v="260"/>
    <s v="UCuVPpxrm2VAgpH3Ktln4HXg"/>
    <x v="38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30"/>
    <x v="15"/>
    <n v="8080299.3584589604"/>
    <n v="566"/>
    <n v="31"/>
    <n v="7.3883401284510975E-5"/>
    <n v="445"/>
    <x v="1"/>
  </r>
  <r>
    <x v="545"/>
    <x v="524"/>
    <s v="No description available"/>
    <x v="546"/>
    <x v="307"/>
    <n v="2022"/>
    <s v="May"/>
    <x v="31"/>
    <n v="1181"/>
    <s v="UC9XWJ3iy4FO6_hQbgGFPcfg"/>
    <x v="38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6"/>
    <x v="8"/>
    <n v="518748"/>
    <n v="13628"/>
    <n v="138"/>
    <n v="2.6536969781088313E-2"/>
    <n v="26"/>
    <x v="0"/>
  </r>
  <r>
    <x v="546"/>
    <x v="525"/>
    <s v="China's Canton Fair 2025...America is Done! (tarif..."/>
    <x v="547"/>
    <x v="308"/>
    <n v="2025"/>
    <s v="April"/>
    <x v="14"/>
    <n v="96"/>
    <s v="UCzDE2LGSmJnw53WrZ7mM_Aw"/>
    <x v="5"/>
    <s v="['canton fair', 'canton fair 2025', 'guangzhou china', 'Canton fair', 'Canton fair 2025', 'China', 'China ev cars', 'China factory', 'Inside china', 'Guangzhou', 'Travel', 'Foreigners in China', 'Travel in China', 'China travel', 'China technology', 'canton fair tips', 'canton fair first time', 'trump', 'trump tariffs', 'tariffs', 'tariffs trump', 'tariffs not working', 'china is winning', 'china has won', 'china trade battle', 'trade war', 'china trade war', 'ev cars', 'robots', 'china robots', 'chinese robots']"/>
    <n v="19"/>
    <x v="4"/>
    <n v="550003"/>
    <n v="17392"/>
    <n v="3143"/>
    <n v="3.7336159984581903E-2"/>
    <n v="653"/>
    <x v="1"/>
  </r>
  <r>
    <x v="547"/>
    <x v="526"/>
    <s v="This is not just true of slinkies - if you release..."/>
    <x v="548"/>
    <x v="309"/>
    <n v="2021"/>
    <s v="July"/>
    <x v="52"/>
    <n v="1468"/>
    <s v="UCHnyfMqiRRG1u-2MsSQLbXA"/>
    <x v="384"/>
    <s v="['veritasium', 'science', 'physics']"/>
    <n v="27"/>
    <x v="2"/>
    <n v="36380480"/>
    <n v="1565736"/>
    <n v="10939"/>
    <n v="4.3338488112306381E-2"/>
    <n v="42"/>
    <x v="0"/>
  </r>
  <r>
    <x v="548"/>
    <x v="527"/>
    <s v="Watch the full Apple Spring Loaded event: https://..."/>
    <x v="549"/>
    <x v="310"/>
    <n v="2021"/>
    <s v="April"/>
    <x v="53"/>
    <n v="1557"/>
    <s v="UCeeFfhMcJa1kjtfZAGskOCA"/>
    <x v="385"/>
    <s v="['Linus', 'LinusTechTips', 'tech news', 'Riley Murdock', 'tech', 'news', 'Apple', 'spring loaded', 'April 20', 'Apple event', 'M1', 'iMac', 'iPad Pro', 'M1 iMac', 'M1 iPad Pro', 'Apple TV 4K', 'purple iPhone', 'Airtags', 'Apple Card Family', 'Apple podcasts subscription']"/>
    <n v="28"/>
    <x v="0"/>
    <n v="506114"/>
    <n v="28060"/>
    <n v="906"/>
    <n v="5.7232165085336503E-2"/>
    <n v="59"/>
    <x v="0"/>
  </r>
  <r>
    <x v="549"/>
    <x v="528"/>
    <s v="Check out this trailer for Witcher 4 running on Un..."/>
    <x v="550"/>
    <x v="261"/>
    <n v="2025"/>
    <s v="June"/>
    <x v="1"/>
    <n v="53"/>
    <s v="UCKy1dAqELo0zrOtPkf0eTMw"/>
    <x v="386"/>
    <s v="['the witcher 4', 'the witcher 4 unreal engine', 'the witcher 4 ue 5.6', 'unreal engine 5.6', 'unreal engine 5.6 tech demo', 'upcoming video games', 'new video games 2025', 'upcoming video games 2025', 'summer of gaming', 'summerofgaming', 'ign summer of gaming 2025', 'ign summer of gaming', 'sog 2025', 'sog', 'witcher 4 trailer']"/>
    <n v="20"/>
    <x v="10"/>
    <n v="2442688"/>
    <n v="64839"/>
    <n v="4283"/>
    <n v="2.8297514868865774E-2"/>
    <n v="128"/>
    <x v="1"/>
  </r>
  <r>
    <x v="550"/>
    <x v="529"/>
    <s v="Doston aaj ke video me hum unbox kar rahe hain all..."/>
    <x v="551"/>
    <x v="116"/>
    <n v="2025"/>
    <s v="May"/>
    <x v="0"/>
    <n v="80"/>
    <s v="UCEPL07qzVsOcHd3sMUws65g"/>
    <x v="265"/>
    <s v="['vivo x200 pro', 'vivo x200 pro review', 'vivo x200 pro camera test', 'vivo x200 pro camera', 'vivo x200 pro unboxing', 'vivo x200 pro price', 'vivo x200 pro camera review', 'vivo x200', 'vivo x200 pro vs', 'vivo x200 pro first look', 'vivo x200 pro vs x100 ultra', 'vivo x200 pro video test', 'vivo x200 pro 5g', 'vivo x200 pro specs', 'vivo x200 pro malaysia', 'vivo', 'vivo x200 pro gaming test', 'vivo x200 pro vs oppo find x8 pro', 'vivo x200 pro zoom test', 'vivo x200 pro features', 'vivo x200 pro trakintech']"/>
    <n v="28"/>
    <x v="0"/>
    <n v="1271817"/>
    <n v="36745"/>
    <n v="1659"/>
    <n v="3.0196168159412871E-2"/>
    <n v="533"/>
    <x v="1"/>
  </r>
  <r>
    <x v="551"/>
    <x v="530"/>
    <s v="Stering  wheel #trending #mechanic #technology #ma..."/>
    <x v="552"/>
    <x v="191"/>
    <n v="2025"/>
    <s v="June"/>
    <x v="1"/>
    <n v="54"/>
    <s v="UCsLPffCVWCGcx3NQimCH6eA"/>
    <x v="38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
    <x v="13"/>
    <n v="4560"/>
    <n v="65"/>
    <n v="0"/>
    <n v="1.425438596491228E-2"/>
    <n v="33"/>
    <x v="0"/>
  </r>
  <r>
    <x v="552"/>
    <x v="531"/>
    <s v="With full screen mode, YouTube has made it easier ..."/>
    <x v="553"/>
    <x v="311"/>
    <n v="2022"/>
    <s v="December"/>
    <x v="44"/>
    <n v="948"/>
    <s v="UCMDQxm7cUx3yXkfeHa5zJIQ"/>
    <x v="388"/>
    <s v="['tips', 'tricks', 'help', 'tutorial', 'youtube', 'youtubehelp', 'support', 'how to']"/>
    <n v="26"/>
    <x v="8"/>
    <n v="989306"/>
    <n v="5953"/>
    <n v="245"/>
    <n v="6.2649978874079401E-3"/>
    <n v="47"/>
    <x v="0"/>
  </r>
  <r>
    <x v="553"/>
    <x v="532"/>
    <s v="Doston aaj ke video me hum unbox kar rahe hain all..."/>
    <x v="554"/>
    <x v="312"/>
    <n v="2025"/>
    <s v="April"/>
    <x v="14"/>
    <n v="106"/>
    <s v="UCEPL07qzVsOcHd3sMUws65g"/>
    <x v="265"/>
    <s v="['TrakinTech', 'iqoo z10 unboxing', 'iqoo z10 5g unboxing', 'iqoo z10 price in india', 'iqoo z10 launch date in india', 'iqoo z10 hindi', 'iqoo z10 5g price in india', 'iqoo z10x unboxing', 'iqoo z10x 5g unboxing', 'unboxing', 'iqoo z 10 unboxing', 'z10 iqoo unboxing', 'iqoo z10 5g mobile unboxing and review', 'vivo t4x unboxing', 'iQOO Z10 hindi unboxing', 'iqoo z10 trakintech', 'iqoo z10x trakintech', 'iqoo z10 series', 'iqoo', 'iqoo z10x vs', 'iqoo z10 vs', 'best gaming phone under 20000', 'best battery phone', 'iqoo vs']"/>
    <n v="28"/>
    <x v="0"/>
    <n v="909665"/>
    <n v="28875"/>
    <n v="1235"/>
    <n v="3.3100097288562273E-2"/>
    <n v="649"/>
    <x v="1"/>
  </r>
  <r>
    <x v="554"/>
    <x v="533"/>
    <s v="Apple just unveiled the Liquid Glass UI in iOS 26,..."/>
    <x v="555"/>
    <x v="260"/>
    <n v="2025"/>
    <s v="June"/>
    <x v="1"/>
    <n v="47"/>
    <s v="UCBKhdILeDie8iLkap216g7g"/>
    <x v="389"/>
    <s v="['iOS 26', 'iOS 26 update', 'Liquid Glass UI', 'iOS 26 features', 'iOS 26 redesign', 'iOS 26 UI', 'iOS 26 new design', 'iPhone UI 2025', 'Apple Liquid Glass', 'iOS 26 control center', 'iOS 26 wallpaper', 'iOS 26 animations', 'Apple iOS update', 'iPhone 16 UI', 'iOS 26 beta', 'iOS 26 review', 'iOS 26 changes', 'iOS 26 look', 'iOS 26 walkthrough']"/>
    <n v="28"/>
    <x v="0"/>
    <n v="76774"/>
    <n v="1310"/>
    <n v="464"/>
    <n v="2.3106780941464559E-2"/>
    <n v="688"/>
    <x v="1"/>
  </r>
  <r>
    <x v="555"/>
    <x v="534"/>
    <s v="Explore more about SST : https://scalerschooloftec..."/>
    <x v="556"/>
    <x v="80"/>
    <n v="2025"/>
    <s v="April"/>
    <x v="14"/>
    <n v="93"/>
    <s v="UCJpKrZ8rOKZp0uISVBfKBvQ"/>
    <x v="390"/>
    <s v="['Scaler School of Technology', 'SST college review', 'scaler btech alternative', 'scaler school admission', 'scaler college fees', 'scaler school degree', 'scaler school placements', 'is scaler worth it', 'scaler dual degree', 'scaler school curriculum', 'scaler school campus', 'scaler innovation lab', 'scaler internship support', 'scaler scholarship', 'NSET entrance exam', 'scaler vs traditional engineering', 'scaler hostel life', 'scaler student life', 'pathshala by nova', 'jee 2025', 'jee 2025 aspirants']"/>
    <n v="24"/>
    <x v="3"/>
    <n v="33748"/>
    <n v="1111"/>
    <n v="215"/>
    <n v="3.9291217257318954E-2"/>
    <n v="1091"/>
    <x v="1"/>
  </r>
  <r>
    <x v="556"/>
    <x v="535"/>
    <s v="Apple iOS 26 aagaya hai chaliye aaj is video mein ..."/>
    <x v="557"/>
    <x v="147"/>
    <n v="2025"/>
    <s v="June"/>
    <x v="1"/>
    <n v="46"/>
    <s v="UC1tVU8H153ZFO9eRsxdJlhA"/>
    <x v="261"/>
    <s v="['iOS 26', 'Apple iOS 26', 'iOS 26 First look', 'WWDC', 'iOS26', 'iOS 26 features']"/>
    <n v="28"/>
    <x v="0"/>
    <n v="951498"/>
    <n v="25055"/>
    <n v="1797"/>
    <n v="2.8220763469812865E-2"/>
    <n v="824"/>
    <x v="1"/>
  </r>
  <r>
    <x v="557"/>
    <x v="536"/>
    <s v="Motorola razr 60 ultra unboxing &amp; quick review_x000a__x000a_#M..."/>
    <x v="558"/>
    <x v="148"/>
    <n v="2025"/>
    <s v="May"/>
    <x v="0"/>
    <n v="74"/>
    <s v="UC1tVU8H153ZFO9eRsxdJlhA"/>
    <x v="261"/>
    <s v="['Motorola razr 60 ULTRA', 'Razr 60 ultra', 'motorola razr 60 ultra unboxing', 'motorola razr 60 ultra unboxing &amp; quick review']"/>
    <n v="28"/>
    <x v="0"/>
    <n v="271031"/>
    <n v="13354"/>
    <n v="704"/>
    <n v="5.1868605436278505E-2"/>
    <n v="862"/>
    <x v="1"/>
  </r>
  <r>
    <x v="558"/>
    <x v="537"/>
    <s v="New Channel Video Link :-  https://youtu.be/B_hs3a..."/>
    <x v="559"/>
    <x v="313"/>
    <n v="2020"/>
    <s v="November"/>
    <x v="46"/>
    <n v="1713"/>
    <s v="UCatL-c6pmnjzEOHSyjn-sHA"/>
    <x v="391"/>
    <s v="['khan sir patna', 'khan gs research centre', 'khan sir official', 'khan sir', 'khan gs', 'khan sir live', 'Hyperloop', 'Technology', 'Hyperloop technology', 'Hyperloop technology in hindi', 'Hyperloop technology explained']"/>
    <n v="27"/>
    <x v="2"/>
    <n v="10046433"/>
    <n v="294250"/>
    <n v="8716"/>
    <n v="3.0156573980038487E-2"/>
    <n v="1012"/>
    <x v="1"/>
  </r>
  <r>
    <x v="559"/>
    <x v="538"/>
    <s v="garden reach shipbuilders share latest news ðŸ”¥ z..."/>
    <x v="560"/>
    <x v="43"/>
    <n v="2025"/>
    <s v="June"/>
    <x v="1"/>
    <n v="50"/>
    <s v="UCY6go1q1BnZZABHESo7NPGA"/>
    <x v="39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3891"/>
    <n v="81"/>
    <n v="26"/>
    <n v="2.7499357491647392E-2"/>
    <n v="161"/>
    <x v="1"/>
  </r>
  <r>
    <x v="560"/>
    <x v="539"/>
    <s v="No description available"/>
    <x v="561"/>
    <x v="147"/>
    <n v="2025"/>
    <s v="June"/>
    <x v="1"/>
    <n v="46"/>
    <s v="UCichf_oSrURF5aGlS52B8VQ"/>
    <x v="393"/>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2585"/>
    <n v="356"/>
    <n v="6"/>
    <n v="1.6028337392074387E-2"/>
    <n v="64"/>
    <x v="1"/>
  </r>
  <r>
    <x v="561"/>
    <x v="540"/>
    <s v="SEC 1 Information Technology Important Question l ..."/>
    <x v="562"/>
    <x v="38"/>
    <n v="2025"/>
    <s v="May"/>
    <x v="0"/>
    <n v="59"/>
    <s v="UCNJHSm_JXgumEsTOCW3gqVQ"/>
    <x v="394"/>
    <s v="['SEC 1 Information Technology Important Question', 'Semester 1 sec paper information questions answer', 'sec information technology', 'semester 1 information technology', 'information Technology semester 1 sec', 's c information technology most important thing', 'sec most important question', 'vbu sem 1 sec information technology', 'information Technology long question answer']"/>
    <n v="27"/>
    <x v="2"/>
    <n v="2025"/>
    <n v="30"/>
    <n v="21"/>
    <n v="2.5185185185185185E-2"/>
    <n v="205"/>
    <x v="1"/>
  </r>
  <r>
    <x v="562"/>
    <x v="427"/>
    <s v="15 Technologies That Will Change The World_x000a__x000a_00:00 ..."/>
    <x v="563"/>
    <x v="314"/>
    <n v="2025"/>
    <s v="April"/>
    <x v="14"/>
    <n v="91"/>
    <s v="UCPrfNyL7yN-15Q6Eu7UYkOA"/>
    <x v="395"/>
    <s v="['Technologies That Will Change The World', 'future technologies', '2030 technology that will change the world', 'change our world', 'emerging technologies', 'new technologies that will change the world', 'technologies', '15 technologies that will change the world', 'tech trends', '15 emerging technologies that will change the world', 'new techologies', 'change the world', 'best technologies', '15 Technologies That Will Change The World', 'inventions', 'incredible inventions', 'incredible Technologies', 'Futuristic', '15']"/>
    <n v="26"/>
    <x v="8"/>
    <n v="1001"/>
    <n v="20"/>
    <n v="1"/>
    <n v="2.097902097902098E-2"/>
    <n v="1036"/>
    <x v="1"/>
  </r>
  <r>
    <x v="563"/>
    <x v="541"/>
    <s v="ALL IMPORTANT QUESTIONS IT TRENDS AND TECHNOLOGIES..."/>
    <x v="564"/>
    <x v="85"/>
    <n v="2025"/>
    <s v="May"/>
    <x v="0"/>
    <n v="62"/>
    <s v="UCRY0JgrPoErOIc8AMecPvlg"/>
    <x v="396"/>
    <s v="['it trends and technologies all important questions', 'it trends and technologies important questions', 'it trends and technologies', 'pgdca 2nd sem it trends and technologies important questions', 'pgdca 2nd sem important questions', 'it trends exam important questions 2025', 'pgdca classes', 'DCA classes', 'unit 1to unit 5 all important questions', 'it trends important questions 2025', 'it trends ke important questions', 'it trends and technologies ke important questions']"/>
    <n v="27"/>
    <x v="2"/>
    <n v="10361"/>
    <n v="365"/>
    <n v="20"/>
    <n v="3.7158575427082327E-2"/>
    <n v="1798"/>
    <x v="1"/>
  </r>
  <r>
    <x v="564"/>
    <x v="542"/>
    <s v="Force restart iPhone_x000a_If iPhone isnâ€™t responding,..."/>
    <x v="565"/>
    <x v="315"/>
    <n v="2022"/>
    <s v="January"/>
    <x v="54"/>
    <n v="1272"/>
    <s v="UCgl4mMudw205_I9_jQvG5eA"/>
    <x v="397"/>
    <s v="['How to force restart iPhone 13', 'How to force restart iPhone 12', 'How to force restart iPhone 11', 'How to force restart iPhone xs', 'How to force restart iPhone xr', 'How to force restart iPhone se2', 'How to force restart iPhone se', 'How to force restart iPhone 8', 'How to force restart iPhone 6s', 'How to force restart iPhone 7', 'Nabeel nawab', 'Shorts']"/>
    <n v="28"/>
    <x v="0"/>
    <n v="3152660"/>
    <n v="210863"/>
    <n v="484"/>
    <n v="6.7037676121116774E-2"/>
    <n v="60"/>
    <x v="0"/>
  </r>
  <r>
    <x v="565"/>
    <x v="543"/>
    <s v="In this video we will learn that How to Add a Page..."/>
    <x v="566"/>
    <x v="316"/>
    <n v="2021"/>
    <s v="November"/>
    <x v="34"/>
    <n v="1336"/>
    <s v="UCIJr9qiD_TtLgEcLxiRQTUA"/>
    <x v="398"/>
    <s v="['vishvaa', 'How to Add a Page Border in Microsoft Word?', 'short', 'microsoft word', 'how to add border in word', 'how to add page border in word', 'how to make border in word', 'add border in word', 'how to create border in word', 'add border to word document', 'how to add frame in word', 'how to add border in ms word', 'how to add border to word document', 'add page border in word', 'how to make border in ms word', 'how to make page border in word', 'ms word', 'border', 'border in word']"/>
    <n v="27"/>
    <x v="2"/>
    <n v="407126"/>
    <n v="13506"/>
    <n v="53"/>
    <n v="3.3304185927698057E-2"/>
    <n v="27"/>
    <x v="0"/>
  </r>
  <r>
    <x v="566"/>
    <x v="544"/>
    <s v="The discovery of what may be an ancient smartphone..."/>
    <x v="567"/>
    <x v="277"/>
    <n v="2024"/>
    <s v="November"/>
    <x v="32"/>
    <n v="257"/>
    <s v="UCuVPpxrm2VAgpH3Ktln4HXg"/>
    <x v="38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30"/>
    <x v="15"/>
    <n v="8080299.3584589604"/>
    <n v="10"/>
    <n v="1"/>
    <n v="1.3613357020596664E-6"/>
    <n v="10"/>
    <x v="0"/>
  </r>
  <r>
    <x v="567"/>
    <x v="545"/>
    <s v="New upcoming phone april month ka...._x000a__x000a_#UpcomingPh..."/>
    <x v="568"/>
    <x v="317"/>
    <n v="2025"/>
    <s v="March"/>
    <x v="23"/>
    <n v="123"/>
    <s v="UC1tVU8H153ZFO9eRsxdJlhA"/>
    <x v="261"/>
    <s v="['New Phone', 'New Upcoming Phone', 'April', 'Phone', 'Smartphone', 'Technology Gyan', 'Manoj saru', 'Upcoming phone', 'best phone', 'Mobile']"/>
    <n v="28"/>
    <x v="0"/>
    <n v="1121422"/>
    <n v="50297"/>
    <n v="3630"/>
    <n v="4.8088052490498669E-2"/>
    <n v="591"/>
    <x v="1"/>
  </r>
  <r>
    <x v="568"/>
    <x v="546"/>
    <s v="Doston aaj ke video me hum unbox kar rahe hain Sam..."/>
    <x v="569"/>
    <x v="318"/>
    <n v="2025"/>
    <s v="April"/>
    <x v="14"/>
    <n v="99"/>
    <s v="UCEPL07qzVsOcHd3sMUws65g"/>
    <x v="265"/>
    <s v="['samsung galaxy m56', 'samsung galaxy m56 price', 'samsung galaxy m56 5g', 'samsung galaxy m56 unboxing', 'samsung galaxy m56 review', 'samsung galaxy m56 news', 'samsung galaxy m56 first look', 'samsung galaxy m56 features', 'samsung galaxy m56 rumours', 'samsung m56', &quot;samsung galaxy m56 hand's on&quot;, 'samsung galaxy m56 5g unboxing', 'samsung galaxy a56 5g', 'samsung galaxy a56', 'galaxy m56', 'samsung galaxy', 'samsung galaxy m56 specs', 'galaxy m56 trakintech', 'best samsung phone under 25k', 'galaxy m56 hindi']"/>
    <n v="28"/>
    <x v="0"/>
    <n v="1035950"/>
    <n v="30510"/>
    <n v="1719"/>
    <n v="3.1110574834692793E-2"/>
    <n v="578"/>
    <x v="1"/>
  </r>
  <r>
    <x v="569"/>
    <x v="547"/>
    <s v="No description available"/>
    <x v="570"/>
    <x v="138"/>
    <n v="2025"/>
    <s v="April"/>
    <x v="14"/>
    <n v="102"/>
    <s v="UCoGrMJ4YMsh4XKMPIpLTfbw"/>
    <x v="399"/>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60"/>
    <n v="19"/>
    <n v="0"/>
    <n v="1.9791666666666666E-2"/>
    <n v="116"/>
    <x v="1"/>
  </r>
  <r>
    <x v="570"/>
    <x v="548"/>
    <s v="Doston ye hain 2024 ka sabse bada video, jisme tec..."/>
    <x v="571"/>
    <x v="319"/>
    <n v="2024"/>
    <s v="December"/>
    <x v="4"/>
    <n v="215"/>
    <s v="UCEPL07qzVsOcHd3sMUws65g"/>
    <x v="265"/>
    <s v="['TrakinTech', 'Trakin Tech', &quot;india's biggest tech roundtable&quot;, 'roundtable', 'tech roundtable', 'tech', 'tech creators roundtable', 'trakintech roundtable', 'tech talk', 'tamil tech', 'roundtable 2023', 'creators roundtable', 'youtubers roundtable', 'tech burner', 'tech &amp; learning', 'tech bar', 'top tech youtubers', 'best tech youtubers of india', 'trakin tech', 'tech giants', 'arun prabhudesai trakin tech', 'technical guruji', 'beebom', 'trakin roundtable', 'Anarc watch', 'Best smartphone of 2024', 'Top brand on 2024']"/>
    <n v="28"/>
    <x v="0"/>
    <n v="2767552"/>
    <n v="100306"/>
    <n v="10287"/>
    <n v="3.996058610642185E-2"/>
    <n v="5"/>
    <x v="0"/>
  </r>
  <r>
    <x v="571"/>
    <x v="549"/>
    <s v="Modernising Monarchy focuses on the development of..."/>
    <x v="572"/>
    <x v="284"/>
    <n v="2023"/>
    <s v="November"/>
    <x v="28"/>
    <n v="605"/>
    <s v="UCKIGtTTjmldfj52hiz96abg"/>
    <x v="38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30"/>
    <x v="15"/>
    <n v="8080299.3584589604"/>
    <n v="0"/>
    <n v="0"/>
    <n v="0"/>
    <n v="3313"/>
    <x v="1"/>
  </r>
  <r>
    <x v="572"/>
    <x v="540"/>
    <s v="SEC 1 information Technology important questions l..."/>
    <x v="573"/>
    <x v="38"/>
    <n v="2025"/>
    <s v="May"/>
    <x v="0"/>
    <n v="59"/>
    <s v="UC4ISroJnBJiXdaEND3SY3iA"/>
    <x v="400"/>
    <s v="['sec 1 information Technology important questions', 'sec 1 information Technology important question answer', 'vbu semester 1 information Technology important questions', 'information Technology important question answer', 'sec information Technology important objective questions', 'information Technology previous year question paper', 'information Technology important question long video', 'computer ka Arth paribhasha karya visheshtaen aur anupryog']"/>
    <n v="27"/>
    <x v="2"/>
    <n v="2612"/>
    <n v="67"/>
    <n v="16"/>
    <n v="3.1776416539050535E-2"/>
    <n v="1263"/>
    <x v="1"/>
  </r>
  <r>
    <x v="573"/>
    <x v="550"/>
    <s v="#osakaexpo #robots  #japan _x000a_Step into Expo 2025 in..."/>
    <x v="574"/>
    <x v="298"/>
    <n v="2025"/>
    <s v="April"/>
    <x v="14"/>
    <n v="98"/>
    <s v="UC7rJGcPPTjJZJG31t4oz3uw"/>
    <x v="40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14814"/>
    <n v="3030"/>
    <n v="91"/>
    <n v="9.9137903651044749E-3"/>
    <n v="631"/>
    <x v="1"/>
  </r>
  <r>
    <x v="574"/>
    <x v="551"/>
    <s v="à¤®à¥‹à¤Ÿà¤° à¤¸à¥‡ à¤›à¥‹à¤Ÿà¤¾ à¤œà¤¨à¤°à¥‡à¤Ÿà¤..."/>
    <x v="575"/>
    <x v="320"/>
    <n v="2021"/>
    <s v="July"/>
    <x v="52"/>
    <n v="1483"/>
    <s v="UChCRomyek8kP86j0quT5jFg"/>
    <x v="402"/>
    <s v="['JP Experiment', '220v generator motor', 'mini generator 220v using dc motor', 'generator kaise banate hain', 'generator kaise banaye', '220v generator kaise banaen', 'generator kaise banate hain motor se', 'how to make 220v generator at home', 'mini generator 220v kaise banaye', 'Samer Experiment', 'dc motor generator 220v', 'how to make generator with magnet', 'à¤®à¥‹à¤Ÿà¤°', 'à¤¡à¥€à¤¸à¥€ à¤®à¥‹à¤Ÿà¤° à¤•à¥ˆà¤¸à¥‡ à¤¬à¤¨à¤¾à¤à¤‚', 'hacker jp']"/>
    <n v="28"/>
    <x v="0"/>
    <n v="8419378"/>
    <n v="217464.60837887001"/>
    <n v="446"/>
    <n v="2.5882031710521846E-2"/>
    <n v="58"/>
    <x v="0"/>
  </r>
  <r>
    <x v="575"/>
    <x v="552"/>
    <s v="gta kheli li jae_x000a__x000a_ðŸ”¥ Subscribe for Tabahi Videos..."/>
    <x v="576"/>
    <x v="154"/>
    <n v="2025"/>
    <s v="April"/>
    <x v="14"/>
    <n v="116"/>
    <s v="UCXUJJNoP1QupwsYIWFXmsZg"/>
    <x v="341"/>
    <s v="['gta 6', 'gta 6 trailer', 'gta 6 news', 'gta 6 leaks', 'gta 6 leak', 'gta vi', 'gta 6 gameplay', 'gta 6 release date', 'gta 6 reveal', 'gta 6 map', 'gta', 'gta 6 online', 'gta 6 official trailer', 'gta 6 teaser', 'gta 6 release', 'grand theft auto 6', 'gta 6 info', 'gta 5', 'gta 6 rumors', 'gta vi trailer', 'gta 6 details', 'gta 6 beta', 'gta 6 announcement', 'rockstar games gta 6', 'gta 6 teaser trailer', 'gta 6 leaked gameplay', 'gta 6 trailer official', 'gta 6 leaked', 'gta v', 'trailer gta 6', 'gta 6 new intel']"/>
    <n v="28"/>
    <x v="0"/>
    <n v="2602266"/>
    <n v="105714"/>
    <n v="5071"/>
    <n v="4.2572511803174617E-2"/>
    <n v="764"/>
    <x v="1"/>
  </r>
  <r>
    <x v="576"/>
    <x v="553"/>
    <s v="Canal principal: https://www.youtube.com/c/Pongamo..."/>
    <x v="577"/>
    <x v="321"/>
    <n v="2022"/>
    <s v="May"/>
    <x v="31"/>
    <n v="1180"/>
    <s v="UCPx9eXszFK8rkivV7tXZpHA"/>
    <x v="403"/>
    <s v="['walabot', 'ver tubos en las paredes', 'ver metales en paredes', 'rayos x', 'construccion aparato', 'construccion', 'gadget', 'pongamoslo a prueba', 'shorts', 'cortos', 'jimmy']"/>
    <n v="24"/>
    <x v="3"/>
    <n v="15631786"/>
    <n v="1692338"/>
    <n v="4662"/>
    <n v="0.10856085158791197"/>
    <n v="60"/>
    <x v="0"/>
  </r>
  <r>
    <x v="577"/>
    <x v="554"/>
    <s v="ðŸ•¹ï¸ Old Tech That Still Works â€“ Built to Las..."/>
    <x v="578"/>
    <x v="94"/>
    <n v="2025"/>
    <s v="June"/>
    <x v="1"/>
    <n v="36"/>
    <s v="UCetvIcfQ5MfL1B_3oebxbAA"/>
    <x v="40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616"/>
    <n v="7"/>
    <n v="1"/>
    <n v="1.2987012987012988E-2"/>
    <n v="48"/>
    <x v="0"/>
  </r>
  <r>
    <x v="578"/>
    <x v="555"/>
    <s v="No description available"/>
    <x v="579"/>
    <x v="8"/>
    <n v="2025"/>
    <s v="June"/>
    <x v="1"/>
    <n v="37"/>
    <s v="UCsVgd6S420V16aJmVcNNSYQ"/>
    <x v="40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5534"/>
    <n v="70"/>
    <n v="12"/>
    <n v="5.2787434015707478E-3"/>
    <n v="10"/>
    <x v="0"/>
  </r>
  <r>
    <x v="579"/>
    <x v="556"/>
    <s v="No description available"/>
    <x v="580"/>
    <x v="94"/>
    <n v="2025"/>
    <s v="June"/>
    <x v="1"/>
    <n v="36"/>
    <s v="UCO6cVKP66LTeHkoA6lD8CYA"/>
    <x v="406"/>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223"/>
    <n v="182"/>
    <n v="5"/>
    <n v="4.428131659957376E-2"/>
    <n v="6"/>
    <x v="0"/>
  </r>
  <r>
    <x v="580"/>
    <x v="286"/>
    <s v="No description available"/>
    <x v="581"/>
    <x v="8"/>
    <n v="2025"/>
    <s v="June"/>
    <x v="1"/>
    <n v="37"/>
    <s v="UCi9qNcs4B_Ow1BEfCBKKaoQ"/>
    <x v="40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98486"/>
    <n v="573"/>
    <n v="0"/>
    <n v="2.8868534808500347E-3"/>
    <n v="6"/>
    <x v="0"/>
  </r>
</pivotCacheRecords>
</file>

<file path=xl/pivotCache/pivotCacheRecords2.xml><?xml version="1.0" encoding="utf-8"?>
<pivotCacheRecords xmlns="http://schemas.openxmlformats.org/spreadsheetml/2006/main" xmlns:r="http://schemas.openxmlformats.org/officeDocument/2006/relationships" count="585">
  <r>
    <s v="gsJAlLOFBv0"/>
    <s v="TINY Tech That Actually Works"/>
    <s v="No description available"/>
    <s v="2025-05-02T17:37:10Z"/>
    <d v="2025-05-02T00:00:00"/>
    <n v="2025"/>
    <s v="May"/>
    <s v="2025-05"/>
    <n v="85"/>
    <s v="UCMiJRAwDNSNzuYeN2uWa0pA"/>
    <s v="Mrwhosetheboss"/>
    <s v="['tiny', 'tech', 'gadgets', 'small', 'miniature']"/>
    <n v="28"/>
    <x v="0"/>
    <n v="8962092"/>
    <n v="243350"/>
    <n v="515"/>
    <n v="2.7210722675018287E-2"/>
    <n v="57"/>
    <s v="Short"/>
  </r>
  <r>
    <s v="ypicIkaiViM"/>
    <s v="AI &amp; future of workforce: Andr..."/>
    <s v="Andrew Yang, Forward Party co-chair and former Dem..."/>
    <s v="2025-06-18T12:39:53Z"/>
    <d v="2025-06-18T00:00:00"/>
    <n v="2025"/>
    <s v="June"/>
    <s v="2025-06"/>
    <n v="38"/>
    <s v="UCrp_UI8XtuYfpiqluWLD7Lw"/>
    <s v="CNBC Television"/>
    <s v="['Squawk Box U.S.', 'CNBC', 'business news', 'finance stock', 'stock market', 'news channel', 'news station', 'breaking news', 'us news', 'world news', 'cable', 'cable news', 'finance news', 'money', 'money tips', 'financial news', 'stock market news', 'stocks']"/>
    <n v="25"/>
    <x v="1"/>
    <n v="289626"/>
    <n v="3393"/>
    <n v="1240"/>
    <n v="1.599649202764945E-2"/>
    <n v="470"/>
    <s v="Long"/>
  </r>
  <r>
    <s v="1Nef8LPO-jo"/>
    <s v="5 ILLEGAL gadgets that will ge..."/>
    <s v="#shorts #technology _x000a__x000a_I spend a LOT of time trying..."/>
    <s v="2022-11-01T11:00:06Z"/>
    <d v="2022-11-01T00:00:00"/>
    <n v="2022"/>
    <s v="November"/>
    <s v="2022-11"/>
    <n v="998"/>
    <s v="UCMiJRAwDNSNzuYeN2uWa0pA"/>
    <s v="Mrwhosetheboss"/>
    <s v="['shorts', 'tech']"/>
    <n v="28"/>
    <x v="0"/>
    <n v="81372201"/>
    <n v="4178447"/>
    <n v="6378"/>
    <n v="5.1428189831070198E-2"/>
    <n v="47"/>
    <s v="Short"/>
  </r>
  <r>
    <s v="lCHqmzynO-s"/>
    <s v="Overrated vs. Underrated Tech"/>
    <s v="ðŸ’¬ Join my Discord server: https://discord.gg/go..."/>
    <s v="2024-07-08T18:04:31Z"/>
    <d v="2024-07-08T00:00:00"/>
    <n v="2024"/>
    <s v="July"/>
    <s v="2024-07"/>
    <n v="383"/>
    <s v="UCPk2s5c4R_d-EUUNvFFODoA"/>
    <s v="Gohar Kha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21255964"/>
    <n v="909386"/>
    <n v="2681"/>
    <n v="4.2908757278663064E-2"/>
    <n v="31"/>
    <s v="Short"/>
  </r>
  <r>
    <s v="7uFrtqSwYzM"/>
    <s v="APPLE Glass Revolutionizes AR ..."/>
    <s v="Discover the revolutionary world of augmented real..."/>
    <s v="2024-12-22T16:49:00Z"/>
    <d v="2024-12-22T00:00:00"/>
    <n v="2024"/>
    <s v="December"/>
    <s v="2024-12"/>
    <n v="216"/>
    <s v="UCxqG_E-68WAE0TWYfIopv6Q"/>
    <s v="Digifix"/>
    <s v="['apple glasses price', 'apple glasses design', 'vr', 'apple glasses release date', 'apple vr', 'apple smart glasses', 'ar glasses', 'iglasses', 'apple glasses', 'virtual reality', 'apple ar glasses', 'apple glasses concept', 'apple glass price', 'augmented reality', 'apple glass review', 'apple glass', 'apple glasses leak', 'apple ar headset', 'best ar glasses', 'glasses', 'apple glass launch date', 'smart glasses']"/>
    <n v="28"/>
    <x v="0"/>
    <n v="2790436"/>
    <n v="44278"/>
    <n v="1359"/>
    <n v="1.6354791867650788E-2"/>
    <n v="16"/>
    <s v="Short"/>
  </r>
  <r>
    <s v="THw-wXt7wyM"/>
    <s v="5 Tech Myths Busted!"/>
    <s v="#shorts _x000a__x000a_I spend a LOT of time trying to make my ..."/>
    <s v="2022-10-02T19:40:14Z"/>
    <d v="2022-10-02T00:00:00"/>
    <n v="2022"/>
    <s v="October"/>
    <s v="2022-10"/>
    <n v="1028"/>
    <s v="UCMiJRAwDNSNzuYeN2uWa0pA"/>
    <s v="Mrwhosetheboss"/>
    <s v="['shorts', 'tech', 'myths', 'busted', 'tips']"/>
    <n v="28"/>
    <x v="0"/>
    <n v="28131104"/>
    <n v="1956461"/>
    <n v="6253"/>
    <n v="6.977024435301224E-2"/>
    <n v="56"/>
    <s v="Short"/>
  </r>
  <r>
    <s v="uvG-WToQfU4"/>
    <s v="Old Or New Technology?"/>
    <s v="Follow me here:_x000a_Instagram â–º https://www.instagra..."/>
    <s v="2024-07-17T19:15:02Z"/>
    <d v="2024-07-17T00:00:00"/>
    <n v="2024"/>
    <s v="July"/>
    <s v="2024-07"/>
    <n v="374"/>
    <s v="UCWBWgCD4oAqT3hUeq40SCUw"/>
    <s v="Sambucha"/>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3736477"/>
    <n v="246338"/>
    <n v="2504"/>
    <n v="6.6598028035499746E-2"/>
    <n v="60"/>
    <s v="Short"/>
  </r>
  <r>
    <s v="LZYfSYXY-go"/>
    <s v="Appleâ€™s THINNEST ever device..."/>
    <s v="#shorts #tech #gadgets #apple #iphone  _x000a__x000a_I spend a..."/>
    <s v="2024-01-04T15:32:23Z"/>
    <d v="2024-01-04T00:00:00"/>
    <n v="2024"/>
    <s v="January"/>
    <s v="2024-01"/>
    <n v="569"/>
    <s v="UCMiJRAwDNSNzuYeN2uWa0pA"/>
    <s v="Mrwhosetheboss"/>
    <s v="['apple', 'iphone', 'tech', 'gadgets', 'shorts', 'thinnest', 'smallest']"/>
    <n v="28"/>
    <x v="0"/>
    <n v="17538777"/>
    <n v="835009"/>
    <n v="3583"/>
    <n v="4.7813596124746893E-2"/>
    <n v="30"/>
    <s v="Short"/>
  </r>
  <r>
    <s v="jYcV7a098Yw"/>
    <s v="Chinese Technology is LEADING ..."/>
    <s v="Chinese Technology is LEADING the World - SNEC 202..."/>
    <s v="2025-06-19T10:07:23Z"/>
    <d v="2025-06-19T00:00:00"/>
    <n v="2025"/>
    <s v="June"/>
    <s v="2025-06"/>
    <n v="37"/>
    <s v="UCzDE2LGSmJnw53WrZ7mM_Aw"/>
    <s v="Living in China"/>
    <s v="['midea', 'living in china', 'china energy', 'midea technology', 'china technology', 'midea energy', 'smart ac', 'midea ac review', 'kuka', 'kuka robot', 'air conditioner', 'midea air conditioner', 'hiconics', 'clou electronics', 'china tech', 'china', 'china life', 'jason lightfoot', 'china travel', 'china tariffs']"/>
    <n v="19"/>
    <x v="4"/>
    <n v="17265"/>
    <n v="1569"/>
    <n v="103"/>
    <n v="9.6843324645236026E-2"/>
    <n v="437"/>
    <s v="Long"/>
  </r>
  <r>
    <s v="5fKkXFresYI"/>
    <s v="5 Times Tech has SAVED LIVES!"/>
    <s v="#shorts #technology _x000a__x000a_I spend a LOT of time trying..."/>
    <s v="2022-10-15T08:25:08Z"/>
    <d v="2022-10-15T00:00:00"/>
    <n v="2022"/>
    <s v="October"/>
    <s v="2022-10"/>
    <n v="1015"/>
    <s v="UCMiJRAwDNSNzuYeN2uWa0pA"/>
    <s v="Mrwhosetheboss"/>
    <s v="['tech', 'shorts']"/>
    <n v="28"/>
    <x v="0"/>
    <n v="41043500"/>
    <n v="2647228"/>
    <n v="8379"/>
    <n v="6.4702254924653119E-2"/>
    <n v="60"/>
    <s v="Short"/>
  </r>
  <r>
    <s v="TaY-jRMbNpk"/>
    <s v="Huawei Mate XT Hands On! ðŸ”¥"/>
    <s v="Huawei Mate XT Hands On! ðŸ”¥_x000a__x000a__x000a_#huaweimatext #hua..."/>
    <s v="2024-09-29T13:28:57Z"/>
    <d v="2024-09-29T00:00:00"/>
    <n v="2024"/>
    <s v="September"/>
    <s v="2024-09"/>
    <n v="300"/>
    <s v="UCXy9a8QpkHVsvAXXaQavx2g"/>
    <s v="We Tech"/>
    <s v="['huawei mate xt', 'huawei mate xt review', 'Huawei mate xt unboxing', 'huawei mate xt hands on', 'huawei', 'we tech', 'New', 'trending', 'technology', 'folding']"/>
    <n v="28"/>
    <x v="0"/>
    <n v="8207184"/>
    <n v="168522"/>
    <n v="882"/>
    <n v="2.0640940912254435E-2"/>
    <n v="16"/>
    <s v="Short"/>
  </r>
  <r>
    <s v="pKbr1LhfxXM"/>
    <s v="Worlds smallest 4K headset ðŸ˜..."/>
    <s v="Visor is the world's smallest 4K headset. Spawn fi..."/>
    <s v="2024-08-15T04:59:00Z"/>
    <d v="2024-08-15T00:00:00"/>
    <n v="2024"/>
    <s v="August"/>
    <s v="2024-08"/>
    <n v="345"/>
    <s v="UCGmuLwV0XD_uqL4wKZg4hgA"/>
    <s v="Immerse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4573162"/>
    <n v="413243"/>
    <n v="297"/>
    <n v="1.6828929056830373E-2"/>
    <n v="15"/>
    <s v="Short"/>
  </r>
  <r>
    <s v="De7s-IB_DAw"/>
    <s v="You're wasting money on Tech."/>
    <s v="Leave a comment with how much this saved you :) _x000a_G..."/>
    <s v="2025-05-21T09:03:41Z"/>
    <d v="2025-05-21T00:00:00"/>
    <n v="2025"/>
    <s v="May"/>
    <s v="2025-05"/>
    <n v="66"/>
    <s v="UCMiJRAwDNSNzuYeN2uWa0pA"/>
    <s v="Mrwhosetheboss"/>
    <s v="['money saving', 'finance', 'save money', 'get things cheaper', 'subscription services', 'netflix', 'spotify', 'youtube', 'disney plus', 'apple', 'iphone', 'subscription']"/>
    <n v="28"/>
    <x v="0"/>
    <n v="2424922"/>
    <n v="92041"/>
    <n v="4874"/>
    <n v="3.9966233965463629E-2"/>
    <n v="891"/>
    <s v="Long"/>
  </r>
  <r>
    <s v="cS0hLW8qulk"/>
    <s v="The Future of Technology (2025..."/>
    <s v="Future technology part -1_x000a_ #technology_x000a_ #futuretec..."/>
    <s v="2024-12-22T03:30:14Z"/>
    <d v="2024-12-22T00:00:00"/>
    <n v="2024"/>
    <s v="December"/>
    <s v="2024-12"/>
    <n v="216"/>
    <s v="UCcku89bM8Nu8rtAaledTPxg"/>
    <s v="Rohit Ramani "/>
    <s v="['Future mobile', 'ai', 'ai advancements', 'ai innovations', 'artificial intelligence', 'cool gadgets', 'elon musk', 'elon musk tech', 'emerging trends', 'future business tech', 'future business technologies', 'future gadgets', 'future of technology', 'future tech', 'future technology', 'future technology 2030', 'future technology 60 minutes', 'innovation', 'next gen', 'next-gen technology', 'robotics', 'robotics trends', 'science', 'smart gadgets', 'tech predictions', 'tech trends 2024', 'tech trends 2025', 'technology', 'vr']"/>
    <n v="28"/>
    <x v="0"/>
    <n v="325551"/>
    <n v="4275"/>
    <n v="90"/>
    <n v="1.3408037450353402E-2"/>
    <n v="24"/>
    <s v="Short"/>
  </r>
  <r>
    <s v="2ExXkdBkM78"/>
    <s v="ThinkPad or ThinkBad? Has Leno..."/>
    <s v="What happened to our beloved ThinkPad laptop brand..."/>
    <s v="2024-03-20T15:46:57Z"/>
    <d v="2024-03-20T00:00:00"/>
    <n v="2024"/>
    <s v="March"/>
    <s v="2024-03"/>
    <n v="493"/>
    <s v="UCClfFsWcT3N2I7VTXXyt84A"/>
    <s v="Salem Techspe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4680422"/>
    <n v="776463"/>
    <n v="5333"/>
    <n v="5.3254327430097038E-2"/>
    <n v="60"/>
    <s v="Short"/>
  </r>
  <r>
    <s v="RHtnrzct2RM"/>
    <s v="The latest Chinese technology ..."/>
    <s v="#techno #short #technology #newphone"/>
    <s v="2021-10-18T21:51:15Z"/>
    <d v="2021-10-18T00:00:00"/>
    <n v="2021"/>
    <s v="October"/>
    <s v="2021-10"/>
    <n v="1377"/>
    <s v="UCswhjJmbjCmBOErBUo2NYbg"/>
    <s v="World New News every day"/>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5"/>
    <x v="1"/>
    <n v="607010"/>
    <n v="5352"/>
    <n v="49"/>
    <n v="8.8977117345677998E-3"/>
    <n v="10"/>
    <s v="Short"/>
  </r>
  <r>
    <s v="KArch4rjU_0"/>
    <s v="USB in USB #charger #technolog..."/>
    <s v="Maybe stop plugging things into each other to see ..."/>
    <s v="2024-05-12T17:37:14Z"/>
    <d v="2024-05-12T00:00:00"/>
    <n v="2024"/>
    <s v="May"/>
    <s v="2024-05"/>
    <n v="440"/>
    <s v="UCJ0-OtVpF0wOKEqT2Z1HEtA"/>
    <s v="ElectroBOOM"/>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5858812"/>
    <n v="2122004"/>
    <n v="5830"/>
    <n v="4.6399675595608536E-2"/>
    <n v="17"/>
    <s v="Short"/>
  </r>
  <r>
    <s v="T-F-vVNVQ50"/>
    <s v="Coolest New Technologies of 20..."/>
    <s v="This yearâ€™s tech unveils are redefining whatâ€™s..."/>
    <s v="2025-01-20T14:00:28Z"/>
    <d v="2025-01-20T00:00:00"/>
    <n v="2025"/>
    <s v="January"/>
    <s v="2025-01"/>
    <n v="187"/>
    <s v="UCSWZxpzUTkriCZRe0Nl0UqA"/>
    <s v="YouFact Tech"/>
    <s v="['you fact tech', 'you fact', 'ufact', 'gadgets', 'technologies', 'CES 2025', 'ai gadgets']"/>
    <n v="28"/>
    <x v="0"/>
    <n v="833726"/>
    <n v="5154"/>
    <n v="250"/>
    <n v="6.4817458013783904E-3"/>
    <n v="976"/>
    <s v="Long"/>
  </r>
  <r>
    <s v="ZYIi81NCeU4"/>
    <s v="Is this the future of technolo..."/>
    <s v="What comes AFTER the smartphone? ðŸ¤”ðŸ“±_x000a__x000a_With th..."/>
    <s v="2023-06-20T03:53:41Z"/>
    <d v="2023-06-20T00:00:00"/>
    <n v="2023"/>
    <s v="June"/>
    <s v="2023-06"/>
    <n v="767"/>
    <s v="UC9Tib0IsWBst6tlQ-p3L4Pw"/>
    <s v="Will Bowers"/>
    <s v="['humane', 'apple vision pro', 'humane tech', 'humane AI', 'humane Vancouver', 'apple vr', 'will bowers', 'will.mov', 'willbwrs']"/>
    <n v="28"/>
    <x v="0"/>
    <n v="489568"/>
    <n v="18095"/>
    <n v="270"/>
    <n v="3.751266422642003E-2"/>
    <n v="57"/>
    <s v="Short"/>
  </r>
  <r>
    <s v="MBQBY9b6OAU"/>
    <s v="I Tested Every YouTuber Tech P..."/>
    <s v="I tested tech products from the biggest YouTubers...."/>
    <s v="2025-04-14T11:18:58Z"/>
    <d v="2025-04-14T00:00:00"/>
    <n v="2025"/>
    <s v="April"/>
    <s v="2025-04"/>
    <n v="103"/>
    <s v="UCMiJRAwDNSNzuYeN2uWa0pA"/>
    <s v="Mrwhosetheboss"/>
    <s v="['youtuber', 'products', 'mkbhd', 'panels', 'tech', 'mark rober', 'ryan trahan', 'youtube']"/>
    <n v="28"/>
    <x v="0"/>
    <n v="5622625"/>
    <n v="162031"/>
    <n v="8716"/>
    <n v="3.0367844200884817E-2"/>
    <n v="2010"/>
    <s v="Long"/>
  </r>
  <r>
    <s v="mkcgVN90zl0"/>
    <s v="This Gadget BRICKS Your Phone!"/>
    <s v="#shorts #tech #gadgets #socialmedia"/>
    <s v="2025-02-21T14:57:07Z"/>
    <d v="2025-02-21T00:00:00"/>
    <n v="2025"/>
    <s v="February"/>
    <s v="2025-02"/>
    <n v="155"/>
    <s v="UCMiJRAwDNSNzuYeN2uWa0pA"/>
    <s v="Mrwhosethebos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630240"/>
    <n v="482430"/>
    <n v="4264"/>
    <n v="6.3784887500262122E-2"/>
    <n v="48"/>
    <s v="Short"/>
  </r>
  <r>
    <s v="QEJpZjg8GuA"/>
    <s v="Algorithms are breaking how we..."/>
    <s v="This surely won't make me seem like a crank._x000a_Furth..."/>
    <s v="2025-02-22T17:04:13Z"/>
    <d v="2025-02-22T00:00:00"/>
    <n v="2025"/>
    <s v="February"/>
    <s v="2025-02"/>
    <n v="154"/>
    <s v="UCy0tKL1T7wFoYcxCe0xjN6Q"/>
    <s v="Technology Connection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380315"/>
    <n v="201086"/>
    <n v="28910"/>
    <n v="9.662418629467108E-2"/>
    <n v="2272"/>
    <s v="Long"/>
  </r>
  <r>
    <s v="94LDWSXT7HY"/>
    <s v="5 Most Extreme Tech Pranks! ðŸ..."/>
    <s v="#shorts #tech #pranks _x000a__x000a_I spend a LOT of time tryi..."/>
    <s v="2023-04-26T16:44:18Z"/>
    <d v="2023-04-26T00:00:00"/>
    <n v="2023"/>
    <s v="April"/>
    <s v="2023-04"/>
    <n v="822"/>
    <s v="UCMiJRAwDNSNzuYeN2uWa0pA"/>
    <s v="Mrwhosethebos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1867107"/>
    <n v="1762232"/>
    <n v="2990"/>
    <n v="5.5393230392705557E-2"/>
    <n v="59"/>
    <s v="Short"/>
  </r>
  <r>
    <s v="Uy7rP_rXzv4"/>
    <s v="Cleaning a Lenovo Legion lapto..."/>
    <s v="The Lenovo Legion is actually a great gaming lapto..."/>
    <s v="2024-09-06T20:13:48Z"/>
    <d v="2024-09-06T00:00:00"/>
    <n v="2024"/>
    <s v="September"/>
    <s v="2024-09"/>
    <n v="323"/>
    <s v="UCClfFsWcT3N2I7VTXXyt84A"/>
    <s v="Salem Techspe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762739"/>
    <n v="175723"/>
    <n v="1357"/>
    <n v="6.4095812163219176E-2"/>
    <n v="60"/>
    <s v="Short"/>
  </r>
  <r>
    <s v="eSucdOAIwrg"/>
    <s v="5 Most BRUTAL Tech Pranks Ever..."/>
    <s v="#shorts #tech #prank _x000a__x000a_I spend a LOT of time tryin..."/>
    <s v="2024-03-06T17:39:55Z"/>
    <d v="2024-03-06T00:00:00"/>
    <n v="2024"/>
    <s v="March"/>
    <s v="2024-03"/>
    <n v="507"/>
    <s v="UCMiJRAwDNSNzuYeN2uWa0pA"/>
    <s v="Mrwhosethebos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0173228"/>
    <n v="645399"/>
    <n v="806"/>
    <n v="6.3520153092017598E-2"/>
    <n v="60"/>
    <s v="Short"/>
  </r>
  <r>
    <s v="ewmRD0MacxI"/>
    <s v="Top 3 Smartphone gadgets under..."/>
    <s v="Top 3 Smartphone gadgets under â‚¹50||ðŸ”¥ðŸ¤¯ #sh..."/>
    <s v="2024-12-10T10:30:15Z"/>
    <d v="2024-12-10T00:00:00"/>
    <n v="2024"/>
    <s v="December"/>
    <s v="2024-12"/>
    <n v="228"/>
    <s v="UCcCjXTiKc-0wFKHI035VVzQ"/>
    <s v="v3 facts "/>
    <s v="['shorts', 'gadgets', 'amazing gadgets', 'unique gadgets', 'unique cool gadgets', 'usefull Gadgets', 'Top 3 Smartphone gadgets', 'Top 3 Smartphone gadgets under 50', 'Top 3 Best Unique Gadgets', 'boys gadgets']"/>
    <n v="27"/>
    <x v="2"/>
    <n v="3260448"/>
    <n v="217464.60837887001"/>
    <n v="30571"/>
    <n v="7.6074088094295639E-2"/>
    <n v="28"/>
    <s v="Short"/>
  </r>
  <r>
    <s v="W96a8svXo14"/>
    <s v="The &quot;standard&quot; car charger is ..."/>
    <s v="Seriously, make your life easier and don't go over..."/>
    <s v="2025-06-15T16:59:11Z"/>
    <d v="2025-06-15T00:00:00"/>
    <n v="2025"/>
    <s v="June"/>
    <s v="2025-06"/>
    <n v="41"/>
    <s v="UCy0tKL1T7wFoYcxCe0xjN6Q"/>
    <s v="Technology Connection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89603"/>
    <n v="36116"/>
    <n v="5166"/>
    <n v="5.2281969546721582E-2"/>
    <n v="1947"/>
    <s v="Long"/>
  </r>
  <r>
    <s v="a_5btLCRR24"/>
    <s v="50 Cent - Ayo Technology (feat..."/>
    <s v="50 Cent Gear, Merch &amp; More: https://amzn.to/2r3h8Z..."/>
    <s v="2016-06-25T15:34:29Z"/>
    <d v="2016-06-25T00:00:00"/>
    <n v="2016"/>
    <s v="June"/>
    <s v="2016-06"/>
    <n v="3318"/>
    <s v="UC5yHbiSKzETyX9BL1HgNerg"/>
    <s v="The Real G Music TV"/>
    <s v="['50', 'cent', 'curtis', '50 cent', '187', 'album', 'full', 'playlist', 'dirty', 'intro', 'instrumental', 'my', 'gun', 'go', 'off', 'jackson', 'songs', 'complet', 'clean', 'camron', 'hd', 'hq', 'diss', 'man', 'down', 'trailer', 'remix', 'mix', 'many', 'men', 'club', 'pimp', 'eminem', 'back', 'body', 'bags', 'beef', 'birthday', 'bulletproof', 'animal', 'ambition', 'rnb', 'best', 'friend', 'triple', 'diabled', 'Ayo Technology', 'Ayo', 'Technology', 'ft', 'feat', 'justin', 'Timberlake', 'Timberland', 'Timbaland', 'Justin Timberlake']"/>
    <n v="10"/>
    <x v="5"/>
    <n v="2149006"/>
    <n v="23771"/>
    <n v="583"/>
    <n v="1.1332681248912287E-2"/>
    <n v="249"/>
    <s v="Long"/>
  </r>
  <r>
    <s v="IOVKA9eBzkw"/>
    <s v="New invention #scienceproject ..."/>
    <s v="#scienceproject #schoolproject #technology #invent..."/>
    <s v="2024-09-10T13:23:57Z"/>
    <d v="2024-09-10T00:00:00"/>
    <n v="2024"/>
    <s v="September"/>
    <s v="2024-09"/>
    <n v="319"/>
    <s v="UCnrGU9pNN5t7nMdDc2etrRA"/>
    <s v="Mr. Deshi Inventor "/>
    <s v="['new invention', 'invention', 'DIY project', 'DIY idea', 'homemade invention', 'homemade DIY project', 'shorts', 'youtube shorts', 'trending shorts', 'science project', 'new technology', 'smart gadgets', 'science', 'technology', 'gadgets']"/>
    <n v="28"/>
    <x v="0"/>
    <n v="300032"/>
    <n v="2085"/>
    <n v="14"/>
    <n v="6.9959204351535834E-3"/>
    <n v="15"/>
    <s v="Short"/>
  </r>
  <r>
    <s v="v4H2fTgHGuc"/>
    <s v="The amazing, but unsettling fu..."/>
    <s v="Get the free 80,000 hours career guide https://800..."/>
    <s v="2025-01-03T17:38:04Z"/>
    <d v="2025-01-03T00:00:00"/>
    <n v="2025"/>
    <s v="January"/>
    <s v="2025-01"/>
    <n v="204"/>
    <s v="UCsBjURrPoezykLs9EqgamOA"/>
    <s v="Fireship"/>
    <s v="['webdev', 'app development', 'lesson', 'tutorial']"/>
    <n v="28"/>
    <x v="0"/>
    <n v="1787798"/>
    <n v="70823"/>
    <n v="2473"/>
    <n v="4.0997920346705838E-2"/>
    <n v="550"/>
    <s v="Long"/>
  </r>
  <r>
    <s v="PBmrLVBH9OI"/>
    <s v="Is this an iPhone KILLERðŸ˜³#t..."/>
    <s v="Is the Pixel 9 the ultimate iPhone 16 killer? With..."/>
    <s v="2024-12-08T21:36:50Z"/>
    <d v="2024-12-08T00:00:00"/>
    <n v="2024"/>
    <s v="December"/>
    <s v="2024-12"/>
    <n v="230"/>
    <s v="UCPMIXPIhGp2WJzocPRQiM1w"/>
    <s v="JMTech"/>
    <s v="['Google pixel 9', 'New Google pixel 9', 'Pixel 9', 'Google smart phone', 'Best alternative to iPhone', 'Google pixel 9 review', 'iPhone 16 versus Google pixel 9', 'iPhone vs android', 'New smart phone', 'Smart phone', 'iPhone killer', 'Android is better than iPhone', 'Is android better than iPhone?', 'Technology', 'tech', 'iPhone 16']"/>
    <n v="28"/>
    <x v="0"/>
    <n v="2242085"/>
    <n v="97044"/>
    <n v="824"/>
    <n v="4.3650441441782983E-2"/>
    <n v="33"/>
    <s v="Short"/>
  </r>
  <r>
    <s v="653lN9zARjc"/>
    <s v="4 SPY gadgets to keep you Unde..."/>
    <s v="Do consider subscribing to my Main Mrwhosetheboss ..."/>
    <s v="2022-09-09T15:07:05Z"/>
    <d v="2022-09-09T00:00:00"/>
    <n v="2022"/>
    <s v="September"/>
    <s v="2022-09"/>
    <n v="1051"/>
    <s v="UCZSlfzadjnw7G419c_OJ9eg"/>
    <s v="Mrwhosetheboss Plus"/>
    <s v="['shorts', 'tech', 'iphone', 'smartphone', 'hacks', 'mrwhosetheboss', 'gadgets', 'spy gadgets']"/>
    <n v="28"/>
    <x v="0"/>
    <n v="37502912"/>
    <n v="2354591"/>
    <n v="4795"/>
    <n v="6.2912074667695134E-2"/>
    <n v="45"/>
    <s v="Short"/>
  </r>
  <r>
    <s v="tvNV2MweDJ0"/>
    <s v="IOT Home Automation #arduino #..."/>
    <s v="IOT Home Automation using arduino esp 8266 #arduin..."/>
    <s v="2024-08-31T15:46:53Z"/>
    <d v="2024-08-31T00:00:00"/>
    <n v="2024"/>
    <s v="August"/>
    <s v="2024-08"/>
    <n v="329"/>
    <s v="UC2_t6GbaEitHjxbHwDbvhRg"/>
    <s v="XiLiR Technologie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205213"/>
    <n v="2504"/>
    <n v="38"/>
    <n v="1.2387129470355192E-2"/>
    <n v="16"/>
    <s v="Short"/>
  </r>
  <r>
    <s v="SA980y3PcIM"/>
    <s v="ðŸ˜®MKBHD REVEALS HIS DREAM PH..."/>
    <s v="In this short, Marques Brownlee (MKBHD) reveals wh..."/>
    <s v="2023-07-14T12:33:24Z"/>
    <d v="2023-07-14T00:00:00"/>
    <n v="2023"/>
    <s v="July"/>
    <s v="2023-07"/>
    <n v="743"/>
    <s v="UCtlo5-_lMQo6PeWTx7LvXOw"/>
    <s v="Creative Savant"/>
    <s v="['mkbhd', 'mkbhd podcast', 'mkbhd podcast clips', 'mkbhd podcast andrew', 'mkbhd interview', 'marques brownlee', 'marques', 'marques brownlee podcast', 'marques brownlee interview', 'andrew', 'andrew schulz', 'flagrant 2', 'andrew schultz', 'flagrant', 'tech', 'technology', 'dream phone', 'phone', 'mkbhd phone', 'podcast', 'podcast clips', 'short', 'shorts']"/>
    <n v="24"/>
    <x v="3"/>
    <n v="33373572"/>
    <n v="1809807"/>
    <n v="21845"/>
    <n v="5.4883307067040948E-2"/>
    <n v="46"/>
    <s v="Short"/>
  </r>
  <r>
    <s v="s4ET7Vn3nz4"/>
    <s v="20 Coolest Tech at CES 2025"/>
    <s v="âœ… Get Ray-Ban Meta Glasses on Amazon âž¡ï¸ http..."/>
    <s v="2025-01-13T17:01:03Z"/>
    <d v="2025-01-13T00:00:00"/>
    <n v="2025"/>
    <s v="January"/>
    <s v="2025-01"/>
    <n v="194"/>
    <s v="UCCsREoj8rSRkEvxWqxr74rQ"/>
    <s v="Cybernews"/>
    <s v="['ces 2025', 'ces', 'ces 2025 tech', 'best ces 2025 tech', 'ces tech', 'ces recap', 'ces 2025 recap', 'ces 2025 highlights', 'best of ces', 'cybernews ces 2025', 'xreal one', 'xreal one pro', 'cybernews', 'ces2025', 'ces hot tech', 'tech']"/>
    <n v="28"/>
    <x v="0"/>
    <n v="2207533"/>
    <n v="22656"/>
    <n v="1565"/>
    <n v="1.0971976409865674E-2"/>
    <n v="1886"/>
    <s v="Long"/>
  </r>
  <r>
    <s v="LPOLWKtU5cI"/>
    <s v="Worldâ€™s smallest computer #u..."/>
    <s v="#facts #unknownfacts #tech #factsinhindi #techfact..."/>
    <s v="2023-05-03T12:30:10Z"/>
    <d v="2023-05-03T00:00:00"/>
    <n v="2023"/>
    <s v="May"/>
    <s v="2023-05"/>
    <n v="815"/>
    <s v="UC7TNIdi43AgEBY4yA9VV3PQ"/>
    <s v="Paritolkks"/>
    <s v="['Ibm', 'Worlds smallest computer', 'Smallest computer in the world', 'Smallest computer', 'Micro mote', 'Tech', 'Technology', 'Unknown facts', 'New technology', 'New tech']"/>
    <n v="28"/>
    <x v="0"/>
    <n v="42629992"/>
    <n v="1686053"/>
    <n v="3619"/>
    <n v="3.9635756910299212E-2"/>
    <n v="56"/>
    <s v="Short"/>
  </r>
  <r>
    <s v="rbyud9N4zPM"/>
    <s v="Revolutionary carseat technolo..."/>
    <s v="No description available"/>
    <s v="2024-01-26T05:45:01Z"/>
    <d v="2024-01-26T00:00:00"/>
    <n v="2024"/>
    <s v="January"/>
    <s v="2024-01"/>
    <n v="547"/>
    <s v="UC6EM2H38sX0eXddx05MnOGw"/>
    <s v="Ashley Dudarenok"/>
    <s v="['china', 'china digital world', 'what can we learn from china', 'digital technology china', 'china digital growth', 'digital china strategy', 'china digital future', 'digital rise of china', 'china digitalization', 'china digital marketing', 'china marketing trends 2023', 'network marketing in china', 'chinese consumers', 'how to sell on chinese market', 'how does marketing work in china', 'chinese marketing strategies', 'how to attract chinese consumers', 'china trends 2023', 'china consumer trends']"/>
    <n v="22"/>
    <x v="6"/>
    <n v="123931338"/>
    <n v="1372032"/>
    <n v="2898"/>
    <n v="1.1094288355056733E-2"/>
    <n v="17"/>
    <s v="Short"/>
  </r>
  <r>
    <s v="efemIGFQ64M"/>
    <s v="5 Crazy Amazon tech finds you ..."/>
    <s v="These are the coolest amazon finds i have EVER fou..."/>
    <s v="2023-09-29T21:07:48Z"/>
    <d v="2023-09-29T00:00:00"/>
    <n v="2023"/>
    <s v="September"/>
    <s v="2023-09"/>
    <n v="666"/>
    <s v="UCPMIXPIhGp2WJzocPRQiM1w"/>
    <s v="JMTech"/>
    <s v="['tech', 'coolest amazon finds', 'amazon', 'tech gadget', 'gadget', 'amazon tech gadget', 'tech gadgets from amazon', 'cool amazon tech gadgets 2023', 'cool tech gadgets for 2023', 'cool tech gadget', 'cool tech gadgets', 'cool tech', 'amazon finds', 'coolest amazon tech gadget finds of 2023', 'top amazon find of 2023', 'tech gadgets', 'top tech gadgets of 2023', 'new tech gadget', 'coolest tech gadget on amazon', 'amazon 2023 tech gadget', 'amazon tech gadgets', 'insane tech find']"/>
    <n v="28"/>
    <x v="0"/>
    <n v="318704"/>
    <n v="217464.60837887001"/>
    <n v="40"/>
    <n v="0.68246588803049224"/>
    <n v="23"/>
    <s v="Short"/>
  </r>
  <r>
    <s v="nA6ZdAZqloc"/>
    <s v="I hate AI."/>
    <s v="No description available"/>
    <s v="2025-02-14T18:00:43Z"/>
    <d v="2025-02-14T00:00:00"/>
    <n v="2025"/>
    <s v="February"/>
    <s v="2025-02"/>
    <n v="162"/>
    <s v="UCXuqSBlHAE6Xw-yeJA0Tunw"/>
    <s v="Linus Tech Tip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430897"/>
    <n v="79362"/>
    <n v="1521"/>
    <n v="5.6526081192426851E-2"/>
    <n v="25"/>
    <s v="Short"/>
  </r>
  <r>
    <s v="Ad3HP6iRyUE"/>
    <s v="My Perfect Value Everyday Tech..."/>
    <s v="My favourite Tech and Gadgets worth buying for you..."/>
    <s v="2025-05-28T14:40:48Z"/>
    <d v="2025-05-28T00:00:00"/>
    <n v="2025"/>
    <s v="May"/>
    <s v="2025-05"/>
    <n v="59"/>
    <s v="UCMiJRAwDNSNzuYeN2uWa0pA"/>
    <s v="Mrwhosetheboss"/>
    <s v="['tech', 'gadgets', 'edc', 'anker', 'charger', 'cable', 'power bank', 'everyday', 'everyday carry']"/>
    <n v="28"/>
    <x v="0"/>
    <n v="2971606"/>
    <n v="93383"/>
    <n v="4203"/>
    <n v="3.2839481411734935E-2"/>
    <n v="1085"/>
    <s v="Long"/>
  </r>
  <r>
    <s v="CxwXplBESgY"/>
    <s v="ðŸ”¥Top Best Useful Car Gadget..."/>
    <s v="ðŸ”¥Top Best Useful Car Gadgets In The World | Ama..."/>
    <s v="2024-10-17T12:10:54Z"/>
    <d v="2024-10-17T00:00:00"/>
    <n v="2024"/>
    <s v="October"/>
    <s v="2024-10"/>
    <n v="282"/>
    <s v="UCdhyGLBRk_oHt3zrlYyn8-w"/>
    <s v="TECH WITH AR"/>
    <s v="['GadgetReview', 'Gadgets', 'CoolGadgets', 'SmartGadgets', 'MustHaveGadgets', 'CoolTech', 'GadgetGeek', 'LatestTech', 'cargadgets', 'gadgetsforcar', 'carlover', 'bestcargadgets']"/>
    <n v="28"/>
    <x v="0"/>
    <n v="4354870"/>
    <n v="341505"/>
    <n v="124"/>
    <n v="7.8447577080372088E-2"/>
    <n v="24"/>
    <s v="Short"/>
  </r>
  <r>
    <s v="5upVC6YzQCE"/>
    <s v="Replacing my 3080 with a 4090 ..."/>
    <s v="Today I have a custom gaming pc that's getting an ..."/>
    <s v="2023-09-19T00:54:11Z"/>
    <d v="2023-09-19T00:00:00"/>
    <n v="2023"/>
    <s v="September"/>
    <s v="2023-09"/>
    <n v="676"/>
    <s v="UCClfFsWcT3N2I7VTXXyt84A"/>
    <s v="Salem Techspe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4480434"/>
    <n v="1522004"/>
    <n v="13508"/>
    <n v="4.4532850137559171E-2"/>
    <n v="58"/>
    <s v="Short"/>
  </r>
  <r>
    <s v="jmStr5LUCeA"/>
    <s v="IOT Smart Parking, esp8266, Ar..."/>
    <s v="short on iot smart parking _x000a_to buy complete projec..."/>
    <s v="2024-05-29T19:19:18Z"/>
    <d v="2024-05-29T00:00:00"/>
    <n v="2024"/>
    <s v="May"/>
    <s v="2024-05"/>
    <n v="423"/>
    <s v="UC2_t6GbaEitHjxbHwDbvhRg"/>
    <s v="XiLiR Technologies"/>
    <s v="['iot smart parking', 'wireless power transfer', 'arduino based smart parking', 'smart parking', 'arduino best project', 'innovative project ideas', 'electronics project ideas', 'new idea on ev', 'remote xy app based project', 'final year project', 'major project for ece']"/>
    <n v="28"/>
    <x v="0"/>
    <n v="372571"/>
    <n v="4210"/>
    <n v="20"/>
    <n v="1.1353540667416413E-2"/>
    <n v="15"/>
    <s v="Short"/>
  </r>
  <r>
    <s v="Pl7TYh055xY"/>
    <s v="Overheating Alienware #gaming ..."/>
    <s v="The CPU and GPU heatsink on this Alienware gaming ..."/>
    <s v="2024-07-12T20:25:07Z"/>
    <d v="2024-07-12T00:00:00"/>
    <n v="2024"/>
    <s v="July"/>
    <s v="2024-07"/>
    <n v="379"/>
    <s v="UCClfFsWcT3N2I7VTXXyt84A"/>
    <s v="Salem Techspe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711048"/>
    <n v="291441"/>
    <n v="1093"/>
    <n v="6.20953129749474E-2"/>
    <n v="60"/>
    <s v="Short"/>
  </r>
  <r>
    <s v="fepKQej1DH0"/>
    <s v="I spent $10,000 on the crazies..."/>
    <s v="Time to find out if Transparent Tech is a gimmick ..."/>
    <s v="2025-06-06T13:36:27Z"/>
    <d v="2025-06-06T00:00:00"/>
    <n v="2025"/>
    <s v="June"/>
    <s v="2025-06"/>
    <n v="50"/>
    <s v="UCMiJRAwDNSNzuYeN2uWa0pA"/>
    <s v="Mrwhosetheboss"/>
    <s v="['transparent', 'tech', 'gadgets', 'cool tech', 'i bought', 'smartphone', 'iphone', 'speaker', 'apple']"/>
    <n v="28"/>
    <x v="0"/>
    <n v="3435869"/>
    <n v="94344"/>
    <n v="4241"/>
    <n v="2.8692886719487849E-2"/>
    <n v="2165"/>
    <s v="Long"/>
  </r>
  <r>
    <s v="QLROnFIQQvk"/>
    <s v="How Fast Is the World's Fastes..."/>
    <s v="The worldâ€™s new fastest supercomputer is insanel..."/>
    <s v="2024-01-20T16:02:43Z"/>
    <d v="2024-01-20T00:00:00"/>
    <n v="2024"/>
    <s v="January"/>
    <s v="2024-01"/>
    <n v="553"/>
    <s v="UC415bOPUcGSamy543abLmRA"/>
    <s v="Cleo Abram"/>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5"/>
    <x v="1"/>
    <n v="6861797"/>
    <n v="448750"/>
    <n v="9879"/>
    <n v="6.6838030912310581E-2"/>
    <n v="47"/>
    <s v="Short"/>
  </r>
  <r>
    <s v="gkklrVa8amY"/>
    <s v="The Most Futuristic Tech Of 20..."/>
    <s v="Dive into the future with us at MWC Barcelona! We'..."/>
    <s v="2025-03-06T10:09:46Z"/>
    <d v="2025-03-06T00:00:00"/>
    <n v="2025"/>
    <s v="March"/>
    <s v="2025-03"/>
    <n v="142"/>
    <s v="UCdp6GUwjKscp5ST4M4WgIpw"/>
    <s v="TechWiser"/>
    <s v="['TechWiser']"/>
    <n v="28"/>
    <x v="0"/>
    <n v="857246"/>
    <n v="57891"/>
    <n v="199"/>
    <n v="6.7763512457334307E-2"/>
    <n v="121"/>
    <s v="Long"/>
  </r>
  <r>
    <s v="9H7v3aG2Exc"/>
    <s v="5 Most DANGEROUS Tech Products"/>
    <s v="Do consider subscribing to my Shorts Channel! ðŸ‘Š..."/>
    <s v="2022-03-14T12:51:10Z"/>
    <d v="2022-03-14T00:00:00"/>
    <n v="2022"/>
    <s v="March"/>
    <s v="2022-03"/>
    <n v="1230"/>
    <s v="UCZSlfzadjnw7G419c_OJ9eg"/>
    <s v="Mrwhosetheboss Plus"/>
    <s v="['shorts', 'tech', 'iphone', 'smartphone', 'hacks', 'mrwhosetheboss', 'technology', 'gadgets']"/>
    <n v="28"/>
    <x v="0"/>
    <n v="16984043"/>
    <n v="1327245"/>
    <n v="4086"/>
    <n v="7.8387166118220497E-2"/>
    <n v="59"/>
    <s v="Short"/>
  </r>
  <r>
    <s v="j4M47qLTeJ4"/>
    <s v="My DREAM Everyday Tech!"/>
    <s v="Iâ€™ve finally completed my Perfect Tech Every Day..."/>
    <s v="2024-06-12T11:41:07Z"/>
    <d v="2024-06-12T00:00:00"/>
    <n v="2024"/>
    <s v="June"/>
    <s v="2024-06"/>
    <n v="409"/>
    <s v="UCMiJRAwDNSNzuYeN2uWa0pA"/>
    <s v="Mrwhosetheboss"/>
    <s v="['EDC', 'Every day carry', 'Backpack', 'Best edc', 'EDC gadgets', 'Gadgets', 'Tech']"/>
    <n v="28"/>
    <x v="0"/>
    <n v="6330785"/>
    <n v="192593"/>
    <n v="6798"/>
    <n v="3.1495462253101313E-2"/>
    <n v="1087"/>
    <s v="Long"/>
  </r>
  <r>
    <s v="B5UKShUCx_Y"/>
    <s v="DON'T EAT THE BATTERY #electro..."/>
    <s v="It is a combination of energy and frequency and th..."/>
    <s v="2024-07-16T16:06:11Z"/>
    <d v="2024-07-16T00:00:00"/>
    <n v="2024"/>
    <s v="July"/>
    <s v="2024-07"/>
    <n v="375"/>
    <s v="UCJ0-OtVpF0wOKEqT2Z1HEtA"/>
    <s v="ElectroBOOM"/>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641022"/>
    <n v="159716"/>
    <n v="1475"/>
    <n v="6.1033569580260974E-2"/>
    <n v="24"/>
    <s v="Short"/>
  </r>
  <r>
    <s v="ppS6QMI5p88"/>
    <s v="I Tried Meta's New Prototype A..."/>
    <s v="These are Meta's brand new Orion prototype AR glas..."/>
    <s v="2024-09-28T16:34:40Z"/>
    <d v="2024-09-28T00:00:00"/>
    <n v="2024"/>
    <s v="September"/>
    <s v="2024-09"/>
    <n v="301"/>
    <s v="UC415bOPUcGSamy543abLmRA"/>
    <s v="Cleo Abram"/>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5"/>
    <x v="1"/>
    <n v="1353131"/>
    <n v="82339"/>
    <n v="1066"/>
    <n v="6.1638525759885779E-2"/>
    <n v="52"/>
    <s v="Short"/>
  </r>
  <r>
    <s v="JVPbMYC2JIQ"/>
    <s v="Microphone in your Earbud is A..."/>
    <s v="What does the microphone inside of an earbud look ..."/>
    <s v="2023-12-20T22:45:51Z"/>
    <d v="2023-12-20T00:00:00"/>
    <n v="2023"/>
    <s v="December"/>
    <s v="2023-12"/>
    <n v="584"/>
    <s v="UC06HVrkOL33D5lLnCPjr6NQ"/>
    <s v="Breaking Tap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2757384"/>
    <n v="1213501"/>
    <n v="4778"/>
    <n v="5.3533349878878873E-2"/>
    <n v="56"/>
    <s v="Short"/>
  </r>
  <r>
    <s v="P-TANCVoHlc"/>
    <s v="Technology isn't fun anymore"/>
    <s v="Thanks to SoFi for sponsoring the video! Click her..."/>
    <s v="2025-02-28T21:14:50Z"/>
    <d v="2025-02-28T00:00:00"/>
    <n v="2025"/>
    <s v="February"/>
    <s v="2025-02"/>
    <n v="148"/>
    <s v="UCTSRIY3GLFYIpkR2QwyeklA"/>
    <s v="Drew Gooden"/>
    <s v="['drew gooden', 'comedy', 'commentary', 'reaction', 'vine', 'drew gooden vine', 'road work ahead guy', 'parody', 'rant', 'cringe']"/>
    <n v="23"/>
    <x v="7"/>
    <n v="5349005"/>
    <n v="314515"/>
    <n v="22448"/>
    <n v="6.2995454294770714E-2"/>
    <n v="1562"/>
    <s v="Long"/>
  </r>
  <r>
    <s v="pW6cVtjIwpY"/>
    <s v="ðŸ”¥Top Best Useful Gadgets In..."/>
    <s v="ðŸ”¥Top Best Useful Gadgets In The World | Amazon ..."/>
    <s v="2024-09-01T10:07:32Z"/>
    <d v="2024-09-01T00:00:00"/>
    <n v="2024"/>
    <s v="September"/>
    <s v="2024-09"/>
    <n v="328"/>
    <s v="UCdhyGLBRk_oHt3zrlYyn8-w"/>
    <s v="TECH WITH AR"/>
    <s v="['Gadgets', 'CoolGadgets', 'GadgetReview', 'SmartGadgets', 'MustHaveGadgets', 'CoolTech', 'GadgetGeek', 'LatestTech', 'Amazon gadgets', 'tech']"/>
    <n v="28"/>
    <x v="0"/>
    <n v="13402854"/>
    <n v="790011"/>
    <n v="543"/>
    <n v="5.8984004451589189E-2"/>
    <n v="24"/>
    <s v="Short"/>
  </r>
  <r>
    <s v="VZGuI05udzk"/>
    <s v="What is Artificial Intelligenc..."/>
    <s v="No description available"/>
    <s v="2024-01-10T15:33:15Z"/>
    <d v="2024-01-10T00:00:00"/>
    <n v="2024"/>
    <s v="January"/>
    <s v="2024-01"/>
    <n v="563"/>
    <s v="UCa0mvXpcwOGCBOdUBaIFe7A"/>
    <s v="PanaceaTuto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362310"/>
    <n v="12815"/>
    <n v="55"/>
    <n v="3.5522066738428421E-2"/>
    <n v="60"/>
    <s v="Short"/>
  </r>
  <r>
    <s v="nyjuAqhaPaE"/>
    <s v="New Toilet Technology! ðŸ¤£ðŸ˜..."/>
    <s v="No description available"/>
    <s v="2025-03-21T16:01:03Z"/>
    <d v="2025-03-21T00:00:00"/>
    <n v="2025"/>
    <s v="March"/>
    <s v="2025-03"/>
    <n v="127"/>
    <s v="UC4b7LRyeMlfVm596Ww0Hf6w"/>
    <s v="Avenu Animations"/>
    <s v="['toilet', 'poop', 'toilet technology', 'automatic poop cleaner', 'rico animation', 'funny videos', 'avenu animation', 'funny meme videos']"/>
    <n v="24"/>
    <x v="3"/>
    <n v="7219473"/>
    <n v="129750"/>
    <n v="238"/>
    <n v="1.8005192345757093E-2"/>
    <n v="15"/>
    <s v="Short"/>
  </r>
  <r>
    <s v="xxVgTfq2Xkg"/>
    <s v="Chinaâ€™s New Tech Shocks the ..."/>
    <s v="In 2025, China tech is no longer just catching upâ..."/>
    <s v="2025-05-22T14:41:23Z"/>
    <d v="2025-05-22T00:00:00"/>
    <n v="2025"/>
    <s v="May"/>
    <s v="2025-05"/>
    <n v="65"/>
    <s v="UCBb1902HikGjGja4gV3N5WA"/>
    <s v="Top 10 Discoveries Official"/>
    <s v="['Top10Discoveriesoffical', 'Top10Discoveries', 'china tech', 'china', 'China innovation 2025', 'China AI', 'China robotics', 'China 6G', 'quantum computer China', 'thorium reactor', 'China flying car', 'China chip breakthrough', 'China vs USA technology', 'China future', 'China tech 2025', 'China future technology', 'China innovation breakthrough', 'Made in China 2025', 'China AI chips', 'China robotics revolution', 'China quantum computer', 'Flying cars China', 'China robot factory', 'China smart city', 'china vs usa']"/>
    <n v="28"/>
    <x v="0"/>
    <n v="49857"/>
    <n v="921"/>
    <n v="95"/>
    <n v="2.0378281886194515E-2"/>
    <n v="1364"/>
    <s v="Long"/>
  </r>
  <r>
    <s v="t3tPJBitduY"/>
    <s v="A bus that can even go into wa..."/>
    <s v="Hello everyone!  You are watching video ! &quot;a bus t..."/>
    <s v="2025-04-28T00:01:00Z"/>
    <d v="2025-04-28T00:00:00"/>
    <n v="2025"/>
    <s v="April"/>
    <s v="2025-04"/>
    <n v="89"/>
    <s v="UCPApobRbtECCSnVKiAZMhCA"/>
    <s v="SEO Tech"/>
    <s v="['Bus technology', 'Invention', 'Invention 2025']"/>
    <n v="28"/>
    <x v="0"/>
    <n v="13759130"/>
    <n v="73537"/>
    <n v="751"/>
    <n v="5.399178581785331E-3"/>
    <n v="16"/>
    <s v="Short"/>
  </r>
  <r>
    <s v="iatS86r1Hnk"/>
    <s v="Brute Forcing An iPhone 5â€¦ #..."/>
    <s v="No description available"/>
    <s v="2023-02-11T00:28:32Z"/>
    <d v="2023-02-11T00:00:00"/>
    <n v="2023"/>
    <s v="February"/>
    <s v="2023-02"/>
    <n v="896"/>
    <s v="UC4gEs2SNPr8GBNcdbQGnLjg"/>
    <s v="MDrepair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0246587"/>
    <n v="1820122"/>
    <n v="8199"/>
    <n v="3.6386968929849904E-2"/>
    <n v="45"/>
    <s v="Short"/>
  </r>
  <r>
    <s v="-055GvEU7f0"/>
    <s v="Worlds smallest 4K headset ðŸ˜..."/>
    <s v="Visor is the world's smallest 4K headset. Spawn fi..."/>
    <s v="2024-06-21T14:12:54Z"/>
    <d v="2024-06-21T00:00:00"/>
    <n v="2024"/>
    <s v="June"/>
    <s v="2024-06"/>
    <n v="400"/>
    <s v="UCGmuLwV0XD_uqL4wKZg4hgA"/>
    <s v="Immerse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08897321"/>
    <n v="4130446"/>
    <n v="7065"/>
    <n v="1.9806433994431168E-2"/>
    <n v="15"/>
    <s v="Short"/>
  </r>
  <r>
    <s v="HSGD3m4D-ko"/>
    <s v="Portal Technology ðŸ¤”#magnet ..."/>
    <s v="Follow my girlfriend's lifestyle for more exciting..."/>
    <s v="2025-01-10T07:34:36Z"/>
    <d v="2025-01-10T00:00:00"/>
    <n v="2025"/>
    <s v="January"/>
    <s v="2025-01"/>
    <n v="197"/>
    <s v="UCgI2_FwIz4B8SYGP07NdTkw"/>
    <s v="Mad Science Dep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1201500"/>
    <n v="128162"/>
    <n v="1109"/>
    <n v="1.1540507967682899E-2"/>
    <n v="13"/>
    <s v="Short"/>
  </r>
  <r>
    <s v="BiZcyJPoDy0"/>
    <s v="I bought the STRONGEST Tech Ev..."/>
    <s v="Buying and attempting to break the most Durable Te..."/>
    <s v="2024-03-21T12:23:27Z"/>
    <d v="2024-03-21T00:00:00"/>
    <n v="2024"/>
    <s v="March"/>
    <s v="2024-03"/>
    <n v="492"/>
    <s v="UCMiJRAwDNSNzuYeN2uWa0pA"/>
    <s v="Mrwhosetheboss"/>
    <s v="['tech', 'mrwhosetheboss', 'gadgets', 'best tech', 'cheap tech', 'smartphone', 'iphone', 'laptop', 'rugged', 'durable', 'indestructible']"/>
    <n v="28"/>
    <x v="0"/>
    <n v="9739646"/>
    <n v="219620"/>
    <n v="8971"/>
    <n v="2.3470154870105134E-2"/>
    <n v="2054"/>
    <s v="Long"/>
  </r>
  <r>
    <s v="qqeZ5Hcw1Tg"/>
    <s v="Meanwhile Android ðŸ’€"/>
    <s v="#trollface #troll #editing #trending #zqotiz #vira..."/>
    <s v="2024-12-25T18:31:43Z"/>
    <d v="2024-12-25T00:00:00"/>
    <n v="2024"/>
    <s v="December"/>
    <s v="2024-12"/>
    <n v="213"/>
    <s v="UC22rU-oXsRzoBqM71k13icA"/>
    <s v=" ZQotiz Edi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56313844"/>
    <n v="1630038"/>
    <n v="10522"/>
    <n v="2.9132445655814226E-2"/>
    <n v="26"/>
    <s v="Short"/>
  </r>
  <r>
    <s v="rT_bOEzCz74"/>
    <s v="NVIDIA unveils its most afford..."/>
    <s v="Nvidia packs big AI power into a small, affordable..."/>
    <s v="2024-12-18T18:00:46Z"/>
    <d v="2024-12-18T00:00:00"/>
    <n v="2024"/>
    <s v="December"/>
    <s v="2024-12"/>
    <n v="220"/>
    <s v="UC04KsGq3npibMCE9Td3mVDg"/>
    <s v="Cheddar"/>
    <s v="['Cheddar']"/>
    <n v="25"/>
    <x v="1"/>
    <n v="15897566"/>
    <n v="421169"/>
    <n v="10675"/>
    <n v="2.7164158337194513E-2"/>
    <n v="38"/>
    <s v="Short"/>
  </r>
  <r>
    <s v="2F6YD_xBi-4"/>
    <s v="ðŸ§  Zuckerberg: DON'T just st..."/>
    <s v="Zuckerberg on Y Combinator podcast"/>
    <s v="2023-05-29T14:18:55Z"/>
    <d v="2023-05-29T00:00:00"/>
    <n v="2023"/>
    <s v="May"/>
    <s v="2023-05"/>
    <n v="789"/>
    <s v="UCw4t-Dafc-XlnagELJbCbhg"/>
    <s v="Renji Bijoy"/>
    <s v="['Meta', 'Mark Zuckerberg', 'startups', 'startup', 'y Combinator', 'YC', 'entrepreneurship', 'entrepreneur', 'business', 'tech', 'technology', 'Elon musk', 'Jeff Bezos']"/>
    <n v="22"/>
    <x v="6"/>
    <n v="475497"/>
    <n v="14704"/>
    <n v="161"/>
    <n v="3.1262026889759556E-2"/>
    <n v="16"/>
    <s v="Short"/>
  </r>
  <r>
    <s v="xiv6IE915nc"/>
    <s v="30 year old IBM ThinkPad puts ..."/>
    <s v="This 30 year old IBM ThinkPad shows how important ..."/>
    <s v="2023-11-08T22:46:26Z"/>
    <d v="2023-11-08T00:00:00"/>
    <n v="2023"/>
    <s v="November"/>
    <s v="2023-11"/>
    <n v="626"/>
    <s v="UCClfFsWcT3N2I7VTXXyt84A"/>
    <s v="Salem Techspe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8441697"/>
    <n v="467959"/>
    <n v="2286"/>
    <n v="5.5705031820023863E-2"/>
    <n v="61"/>
    <s v="Long"/>
  </r>
  <r>
    <s v="UZ3g4vB-UAU"/>
    <s v="This Technology Eliminates Con..."/>
    <s v="The Road Zipper SystemÂ® offers an efficient way t..."/>
    <s v="2024-12-20T15:00:30Z"/>
    <d v="2024-12-20T00:00:00"/>
    <n v="2024"/>
    <s v="December"/>
    <s v="2024-12"/>
    <n v="218"/>
    <s v="UCNjsoaLHhxEUUpOIEbo2l_Q"/>
    <s v="Tech Moments"/>
    <s v="['Tech', 'Technology', 'Engineering', 'Innovations', 'Viral', 'Shorts']"/>
    <n v="22"/>
    <x v="6"/>
    <n v="8123420"/>
    <n v="183237"/>
    <n v="1012"/>
    <n v="2.2681210623111941E-2"/>
    <n v="18"/>
    <s v="Short"/>
  </r>
  <r>
    <s v="yOdTslFmmoA"/>
    <s v="Playing With Technology ðŸ˜± #..."/>
    <s v="No description available"/>
    <s v="2024-09-06T16:02:44Z"/>
    <d v="2024-09-06T00:00:00"/>
    <n v="2024"/>
    <s v="September"/>
    <s v="2024-09"/>
    <n v="323"/>
    <s v="UC7-PWJBq7yiStftsUqVsSqw"/>
    <s v="YeFac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5994970"/>
    <n v="160162"/>
    <n v="1193"/>
    <n v="2.6915063795148266E-2"/>
    <n v="22"/>
    <s v="Short"/>
  </r>
  <r>
    <s v="CgzHTd8BNcE"/>
    <s v="ChinaðŸ‡¨ðŸ‡³ is 50 years ahea..."/>
    <s v="China has been investing heavily in education and ..."/>
    <s v="2024-02-26T15:23:17Z"/>
    <d v="2024-02-26T00:00:00"/>
    <n v="2024"/>
    <s v="February"/>
    <s v="2024-02"/>
    <n v="516"/>
    <s v="UCMUimWE2e4WGCg_msQbpKfA"/>
    <s v="Surajit Thinks"/>
    <s v="['china', 'china technology', 'china infrastructure', 'china floating bridge', &quot;china's solar road&quot;, 'technology', 'gian hai aap', 'india', 'china smart technology', 'upside down train', 'sky train in china', 'chinese']"/>
    <n v="24"/>
    <x v="3"/>
    <n v="6232011"/>
    <n v="426584"/>
    <n v="9339"/>
    <n v="6.9949010038653656E-2"/>
    <n v="59"/>
    <s v="Short"/>
  </r>
  <r>
    <s v="69lvD0Myk6Y"/>
    <s v="Exploring the latest tech at C..."/>
    <s v="Sneak peek of CES 2025 in Las Vegas!_x000a__x000a_Cheddar is o..."/>
    <s v="2025-01-06T16:18:04Z"/>
    <d v="2025-01-06T00:00:00"/>
    <n v="2025"/>
    <s v="January"/>
    <s v="2025-01"/>
    <n v="201"/>
    <s v="UC04KsGq3npibMCE9Td3mVDg"/>
    <s v="Cheddar"/>
    <s v="['Cheddar']"/>
    <n v="25"/>
    <x v="1"/>
    <n v="41746"/>
    <n v="839"/>
    <n v="9"/>
    <n v="2.0313323432185119E-2"/>
    <n v="27"/>
    <s v="Short"/>
  </r>
  <r>
    <s v="pp6ZEEFu7R0"/>
    <s v="ðŸ”¥Top Best Useful Gadgets In..."/>
    <s v="ðŸ”¥Top Best Useful Gadgets In The World | Amazon ..."/>
    <s v="2024-10-04T10:07:20Z"/>
    <d v="2024-10-04T00:00:00"/>
    <n v="2024"/>
    <s v="October"/>
    <s v="2024-10"/>
    <n v="295"/>
    <s v="UCdhyGLBRk_oHt3zrlYyn8-w"/>
    <s v="TECH WITH AR"/>
    <s v="['GadgetReview', 'Gadgets', 'CoolGadgets', 'SmartGadgets', 'MustHaveGadgets', 'CoolTech', 'GadgetGeek', 'LatestTech', 'technology', 'Techlove', 'gadgets lovers', 'life saving gadgets']"/>
    <n v="28"/>
    <x v="0"/>
    <n v="4592845"/>
    <n v="389715"/>
    <n v="237"/>
    <n v="8.4904236916333989E-2"/>
    <n v="25"/>
    <s v="Short"/>
  </r>
  <r>
    <s v="NCpwAnHWIk4"/>
    <s v="How Technology Changed the Kit..."/>
    <s v="#craftideas #technology #kitchen"/>
    <s v="2025-03-03T15:35:29Z"/>
    <d v="2025-03-03T00:00:00"/>
    <n v="2025"/>
    <s v="March"/>
    <s v="2025-03"/>
    <n v="145"/>
    <s v="UCUtg0hpxD9zQ6-Z2-Kfst7A"/>
    <s v="CraftsFlare"/>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6"/>
    <x v="8"/>
    <n v="3496154"/>
    <n v="31935"/>
    <n v="1213"/>
    <n v="9.4812757103949086E-3"/>
    <n v="20"/>
    <s v="Short"/>
  </r>
  <r>
    <s v="_IqkYJ7ItYg"/>
    <s v="Technology has gone too far #c..."/>
    <s v="No description available"/>
    <s v="2025-01-30T09:30:21Z"/>
    <d v="2025-01-30T00:00:00"/>
    <n v="2025"/>
    <s v="January"/>
    <s v="2025-01"/>
    <n v="177"/>
    <s v="UCeogOLhewThX2lh8cPe2IWg"/>
    <s v="Matt Store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10412054"/>
    <n v="407264"/>
    <n v="1819"/>
    <n v="3.9289365959876886E-2"/>
    <n v="21"/>
    <s v="Short"/>
  </r>
  <r>
    <s v="fUEwoiC5AO0"/>
    <s v="Humanoid robot warns of AI dan..."/>
    <s v="A humanoid robot named Ameca was asked what a nigh..."/>
    <s v="2023-06-01T19:38:34Z"/>
    <d v="2023-06-01T00:00:00"/>
    <n v="2023"/>
    <s v="June"/>
    <s v="2023-06"/>
    <n v="786"/>
    <s v="UC7fWeaHhqgM4Ry-RMpM2YYw"/>
    <s v="TRT World"/>
    <s v="['TRT world', 'trtworld', 'World News', 'breaking news', 'breaking', 'turkish news', 'tÃ¼rkiye news', 'trt']"/>
    <n v="25"/>
    <x v="1"/>
    <n v="2712975"/>
    <n v="132273"/>
    <n v="6316"/>
    <n v="5.1083773348445896E-2"/>
    <n v="53"/>
    <s v="Short"/>
  </r>
  <r>
    <s v="_DQfMAnSZ5Y"/>
    <s v="viral ATM bike  security featu..."/>
    <s v="viral ATM bike  security feature shorts #funny #bi..."/>
    <s v="2025-05-20T17:05:06Z"/>
    <d v="2025-05-20T00:00:00"/>
    <n v="2025"/>
    <s v="May"/>
    <s v="2025-05"/>
    <n v="67"/>
    <s v="UCakSAR_crAk4P5DT6FsovwQ"/>
    <s v="mcm sanjay"/>
    <s v="['ATM bike', 'bike security feature', 'bike security technology', 'shorts', 'bike shorts', 'bike hack', 'ATM bike shorts', 'motorcycle shorts', 'motorcycle technology', 'Indian bike', 'Indian bike security', 'bike security system', 'viral bike', 'YouTube shorts', 'new hack']"/>
    <n v="22"/>
    <x v="6"/>
    <n v="2106553"/>
    <n v="217464.60837887001"/>
    <n v="22"/>
    <n v="0.103242884645613"/>
    <n v="15"/>
    <s v="Short"/>
  </r>
  <r>
    <s v="ZrgFhEojipE"/>
    <s v="Technology Technologia  (origi..."/>
    <s v="Technology Technologia ...#carguys #technology #ar..."/>
    <s v="2025-03-30T14:02:31Z"/>
    <d v="2025-03-30T00:00:00"/>
    <n v="2025"/>
    <s v="March"/>
    <s v="2025-03"/>
    <n v="118"/>
    <s v="UCNT0h9yycyCbaRqGUH_2D6g"/>
    <s v="KYRGYZ USTA"/>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9"/>
    <x v="9"/>
    <n v="1468238"/>
    <n v="25812"/>
    <n v="307"/>
    <n v="1.7789350227960316E-2"/>
    <n v="13"/>
    <s v="Short"/>
  </r>
  <r>
    <s v="OPLkS9wLhow"/>
    <s v="My Previous Science Experiment..."/>
    <s v="My Previous Science Experiment #shorts #science #t..."/>
    <s v="2023-05-12T01:30:12Z"/>
    <d v="2023-05-12T00:00:00"/>
    <n v="2023"/>
    <s v="May"/>
    <s v="2023-05"/>
    <n v="806"/>
    <s v="UChvzFAyWyofbidb7Mh3WMZw"/>
    <s v="VMK Technical Power"/>
    <s v="['shorts', 'science', 'technology', 'trending']"/>
    <n v="28"/>
    <x v="0"/>
    <n v="13524982"/>
    <n v="525169"/>
    <n v="1146"/>
    <n v="3.8914284691839149E-2"/>
    <n v="12"/>
    <s v="Short"/>
  </r>
  <r>
    <s v="b-9nGVd2xjA"/>
    <s v="The Birth of Computing: The Wo..."/>
    <s v="In this captivating video, we dive into the fascin..."/>
    <s v="2024-10-18T05:29:17Z"/>
    <d v="2024-10-18T00:00:00"/>
    <n v="2024"/>
    <s v="October"/>
    <s v="2024-10"/>
    <n v="281"/>
    <s v="UCpfrSv31fP9ePmBHnf5k3rg"/>
    <s v="The History Hub"/>
    <s v="['Computer science', 'First computer', 'History of computing', 'Computer evolution', 'Charles Babbage', 'Mechanical computers', 'Computing history', 'Tech history', 'Digital revolution', 'Technology timeline', 'Electronic computers', 'history worlds', 'Computer mechanics', 'Computing discoveries', '19th-century technology', 'Historical tech analysis', 'Historical inventions in computing', 'shorts', 'shorts worls', 'History of artificial intelligence', 'Historical figures in tech']"/>
    <n v="27"/>
    <x v="2"/>
    <n v="194707"/>
    <n v="2629"/>
    <n v="28"/>
    <n v="1.364614523360742E-2"/>
    <n v="11"/>
    <s v="Short"/>
  </r>
  <r>
    <s v="8HHVCZ5Ya5c"/>
    <s v="China, USA, and EU â€“ A Techn..."/>
    <s v="China, USA, and EU â€“ A Technological Comparison ..."/>
    <s v="2025-03-13T11:14:10Z"/>
    <d v="2025-03-13T00:00:00"/>
    <n v="2025"/>
    <s v="March"/>
    <s v="2025-03"/>
    <n v="135"/>
    <s v="UCBuDHP5fBgZ-RPOmKyTV_EA"/>
    <s v="Gulbahar Technical"/>
    <s v="['china vs usa vs eu', 'technological advancements', 'china aviation', 'usa robotics', 'europe regulations', 'AI innovation', 'future of technology', 'global tech race', 'china military development', 'emerging superpowers']"/>
    <n v="28"/>
    <x v="0"/>
    <n v="13314168"/>
    <n v="217464.60837887001"/>
    <n v="4250"/>
    <n v="1.6652531977880254E-2"/>
    <n v="6"/>
    <s v="Short"/>
  </r>
  <r>
    <s v="IPhARlUO6NA"/>
    <s v="New Science Project #shorts #s..."/>
    <s v="New Science Project #shorts #science #technology #..."/>
    <s v="2023-04-28T01:30:04Z"/>
    <d v="2023-04-28T00:00:00"/>
    <n v="2023"/>
    <s v="April"/>
    <s v="2023-04"/>
    <n v="820"/>
    <s v="UChvzFAyWyofbidb7Mh3WMZw"/>
    <s v="VMK Technical Power"/>
    <s v="['shorts', 'science', 'technology', 'trending']"/>
    <n v="28"/>
    <x v="0"/>
    <n v="161748042"/>
    <n v="4421091"/>
    <n v="8794"/>
    <n v="2.738756491407791E-2"/>
    <n v="15"/>
    <s v="Short"/>
  </r>
  <r>
    <s v="_J2zbtBiJh4"/>
    <s v="Fastest WiFi EVER!"/>
    <s v="Link to Main Channel: https://www.youtube.com/dhru..."/>
    <s v="2023-04-05T13:00:33Z"/>
    <d v="2023-04-05T00:00:00"/>
    <n v="2023"/>
    <s v="April"/>
    <s v="2023-04"/>
    <n v="843"/>
    <s v="UCw4IHIMsDO5wpIiprOSXiEA"/>
    <s v="Dhruv Rathee Shorts"/>
    <s v="['Dhruv Rathee', 'Dhruvrathee', 'Dhruv Rathee Shorts', 'Education', 'Informative']"/>
    <n v="22"/>
    <x v="6"/>
    <n v="37548519"/>
    <n v="1926556"/>
    <n v="10002"/>
    <n v="5.1574817105303143E-2"/>
    <n v="42"/>
    <s v="Short"/>
  </r>
  <r>
    <s v="70k5uXcjUXg"/>
    <s v="First Electric Highway Is Craz..."/>
    <s v="Germanyâ€™s first â€˜Electric Highwayâ€™ charges t..."/>
    <s v="2024-07-01T14:00:06Z"/>
    <d v="2024-07-01T00:00:00"/>
    <n v="2024"/>
    <s v="July"/>
    <s v="2024-07"/>
    <n v="390"/>
    <s v="UCNjsoaLHhxEUUpOIEbo2l_Q"/>
    <s v="Tech Momen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2065014"/>
    <n v="830841"/>
    <n v="9376"/>
    <n v="3.8079151003484524E-2"/>
    <n v="18"/>
    <s v="Short"/>
  </r>
  <r>
    <s v="4b84ZW4A3bc"/>
    <s v="The Last Best Technology That ..."/>
    <s v="Disclaimer: This video uses edited clips from a so..."/>
    <s v="2025-04-24T07:55:00Z"/>
    <d v="2025-04-24T00:00:00"/>
    <n v="2025"/>
    <s v="April"/>
    <s v="2025-04"/>
    <n v="93"/>
    <s v="UC5ael8EvEzSNjcYe-3PL9xw"/>
    <s v="BTX TROLL"/>
    <s v="['Troll Face remix', 'Troll Face reaction', 'Troll Face animation', 'Troll Face sound effect', 'Troll Face green screen', 'Troll Face compilation', 'Troll Face transition', 'Troll Face funny moments', 'Troll Face viral video', 'Troll Face edit', 'CapCut Troll Face', 'Troll Face trend', 'Troll Face meme', 'Troll Face template', 'Funny Troll Face videos', 'Troll Face montage', 'Troll Face CapCut template', 'Troll Face TikTok trend', 'Troll Face video editing', 'MrBeast', 'T-Series', 'Cocomelon', 'memes']"/>
    <n v="22"/>
    <x v="6"/>
    <n v="1936475"/>
    <n v="27459"/>
    <n v="106"/>
    <n v="1.4234627351243884E-2"/>
    <n v="46"/>
    <s v="Short"/>
  </r>
  <r>
    <s v="mRH6KXqLcLE"/>
    <s v="ðŸ˜± Top 3 Best Gadgets For St..."/>
    <s v="No description available"/>
    <s v="2024-10-27T06:40:02Z"/>
    <d v="2024-10-27T00:00:00"/>
    <n v="2024"/>
    <s v="October"/>
    <s v="2024-10"/>
    <n v="272"/>
    <s v="UCk0CM7Ykn42Axc7-4qgs5Fg"/>
    <s v="Official Facts"/>
    <s v="['#shorts', '#facts', '#tamilfacts', '#tamilshorts', '#officialfacts']"/>
    <n v="27"/>
    <x v="2"/>
    <n v="184577"/>
    <n v="14952"/>
    <n v="893"/>
    <n v="8.5844931925429496E-2"/>
    <n v="32"/>
    <s v="Short"/>
  </r>
  <r>
    <s v="jN3f_cq5WQI"/>
    <s v="Top 3 best amazing cool gadget..."/>
    <s v="Top 3 best amazing cool gadgets ðŸ”¥ðŸ¤¯|| #shorts..."/>
    <s v="2024-10-11T08:00:36Z"/>
    <d v="2024-10-11T00:00:00"/>
    <n v="2024"/>
    <s v="October"/>
    <s v="2024-10"/>
    <n v="288"/>
    <s v="UCcCjXTiKc-0wFKHI035VVzQ"/>
    <s v="v3 facts "/>
    <s v="['shorts', 'gadgets', 'Unboxing', 'new gadgets', 'amazing gadgets', 'cool unique gadgets', 'Top 3 gadgets', 'unboxing gadgets', 'unique cool gadgets', 'facts']"/>
    <n v="27"/>
    <x v="2"/>
    <n v="3402520"/>
    <n v="217464.60837887001"/>
    <n v="35487"/>
    <n v="7.434243101550321E-2"/>
    <n v="31"/>
    <s v="Short"/>
  </r>
  <r>
    <s v="T-HWQ4jQ2p4"/>
    <s v="Chinese company utilizing AI t..."/>
    <s v="Currently, the company creates humanoid robots for..."/>
    <s v="2024-06-18T16:17:35Z"/>
    <d v="2024-06-18T00:00:00"/>
    <n v="2024"/>
    <s v="June"/>
    <s v="2024-06"/>
    <n v="403"/>
    <s v="UCRlWXcripH3oV_v6uSb9ASw"/>
    <s v="WQAD News 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28906"/>
    <n v="4884"/>
    <n v="458"/>
    <n v="2.3337090334023574E-2"/>
    <n v="23"/>
    <s v="Short"/>
  </r>
  <r>
    <s v="ri_eqKBypaw"/>
    <s v="Technologia ðŸ˜²ðŸ’» #shorts #..."/>
    <s v="Viral Trend Technology @TechSource _x000a__x000a__x000a_technologia,..."/>
    <s v="2025-03-30T15:04:15Z"/>
    <d v="2025-03-30T00:00:00"/>
    <n v="2025"/>
    <s v="March"/>
    <s v="2025-03"/>
    <n v="118"/>
    <s v="UCRdNPwyyBaT_kTvYFkd6j_g"/>
    <s v="Helping Bro"/>
    <s v="['technologia', 'teknolojiya', 'teknologia', 'teknolocia', 'technology', 'laptop setup india', 'laptop setup wars india', 'laptop setup room']"/>
    <n v="28"/>
    <x v="0"/>
    <n v="1884696"/>
    <n v="20970"/>
    <n v="106"/>
    <n v="1.118270532754354E-2"/>
    <n v="14"/>
    <s v="Short"/>
  </r>
  <r>
    <s v="jE8C0FHWuks"/>
    <s v="20 Future Technologies That Wi..."/>
    <s v="Which future technology is your favorite?_x000a_ _x000a__x000a__x000a_____x000a_..."/>
    <s v="2025-02-08T14:00:53Z"/>
    <d v="2025-02-08T00:00:00"/>
    <n v="2025"/>
    <s v="February"/>
    <s v="2025-02"/>
    <n v="168"/>
    <s v="UCGBO6EahCqQSyXIws1MQdDg"/>
    <s v="Future Business Tech"/>
    <s v="['ai', 'future business tech', 'future technology', 'future tech', 'future business technologies', 'future technologies']"/>
    <n v="28"/>
    <x v="0"/>
    <n v="99420"/>
    <n v="1711"/>
    <n v="103"/>
    <n v="1.8245825789579562E-2"/>
    <n v="3264"/>
    <s v="Long"/>
  </r>
  <r>
    <s v="8O036eqvpNI"/>
    <s v="ATM coin bike technology short..."/>
    <s v="ATM coin bike technology shorts #funny #technology..."/>
    <s v="2025-05-25T17:19:04Z"/>
    <d v="2025-05-25T00:00:00"/>
    <n v="2025"/>
    <s v="May"/>
    <s v="2025-05"/>
    <n v="62"/>
    <s v="UCakSAR_crAk4P5DT6FsovwQ"/>
    <s v="mcm sanjay"/>
    <s v="['coin ATM', 'coin ATM bike', 'coin technology', 'ATM bike', 'new hack', 'new bike coin ATM', 'bike hacker', 'viral bike', 'YouTube shorts', 'viral technology', 'viral bike coin', 'coin technology bike', 'new feature bike', 'bike coin feature']"/>
    <n v="22"/>
    <x v="6"/>
    <n v="2210812"/>
    <n v="18552"/>
    <n v="60"/>
    <n v="8.418626278489532E-3"/>
    <n v="19"/>
    <s v="Short"/>
  </r>
  <r>
    <s v="9J4eS6I5_s0"/>
    <s v="I spent $10,000 on Kickstarter..."/>
    <s v="Spending far too much money on Kickstarter Tech Ga..."/>
    <s v="2025-05-15T12:48:05Z"/>
    <d v="2025-05-15T00:00:00"/>
    <n v="2025"/>
    <s v="May"/>
    <s v="2025-05"/>
    <n v="72"/>
    <s v="UCMiJRAwDNSNzuYeN2uWa0pA"/>
    <s v="Mrwhosetheboss"/>
    <s v="['kickstarter', 'tech', 'gadgets', 'internet', 'best tech', 'cool tech']"/>
    <n v="28"/>
    <x v="0"/>
    <n v="5274622"/>
    <n v="131194"/>
    <n v="4661"/>
    <n v="2.5756348037830959E-2"/>
    <n v="2185"/>
    <s v="Long"/>
  </r>
  <r>
    <s v="xNU5QRra-3o"/>
    <s v="Technology âŒ Technologia âœ…..."/>
    <s v="Technology âŒ Technologia âœ… #shorts #shortvideo..."/>
    <s v="2025-04-03T06:20:26Z"/>
    <d v="2025-04-03T00:00:00"/>
    <n v="2025"/>
    <s v="April"/>
    <s v="2025-04"/>
    <n v="114"/>
    <s v="UCsBL0eE13BdFrVuc0-QmTzw"/>
    <s v="The Fivengers"/>
    <s v="['shorts', 'shortsvideo', 'shortsviral', 'shortsindia', 'ytshorts', 'youtubeshorts', 'youtube India', 'technology', 'fyp', 'funny', 'comedy', 'memes', 'viral', 'uttar pradesh']"/>
    <n v="23"/>
    <x v="7"/>
    <n v="1709718"/>
    <n v="20528"/>
    <n v="214"/>
    <n v="1.2131825248374294E-2"/>
    <n v="44"/>
    <s v="Short"/>
  </r>
  <r>
    <s v="or7JOVi2vwU"/>
    <s v="Gaming technology is getting i..."/>
    <s v="No description available"/>
    <s v="2024-10-01T05:24:11Z"/>
    <d v="2024-10-01T00:00:00"/>
    <n v="2024"/>
    <s v="October"/>
    <s v="2024-10"/>
    <n v="298"/>
    <s v="UChEH_eKDZrOJjhcdzYjI4jA"/>
    <s v="BucketJos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2426075"/>
    <n v="595278"/>
    <n v="6160"/>
    <n v="4.8401285200676804E-2"/>
    <n v="31"/>
    <s v="Short"/>
  </r>
  <r>
    <s v="8Bx6pg0j3I8"/>
    <s v="Essay on Technology #shorts #y..."/>
    <s v="Aslam-o-Alikum everyone_x000a_Welcome to my channel &quot;eas..."/>
    <s v="2025-02-12T17:43:14Z"/>
    <d v="2025-02-12T00:00:00"/>
    <n v="2025"/>
    <s v="February"/>
    <s v="2025-02"/>
    <n v="164"/>
    <s v="UCAbIzdnrncJi_aEchwltNYA"/>
    <s v="Easy to Learn &amp; Write"/>
    <s v="['essay on technology', 'Easy essay on technology', 'best essay on technology', '10 lines on technology', 'essay on technology for class 1 to 5', 'speech on technology', 'paragraph on technology', 'about technology', '100 words on technology', 'few word on technology', 'short essay on technology', 'english essay on technology', 'essay on technology in english', 'essay writing', 'easy to learn and write', 'english grammar', 'technology', 'technology essay in english', 'science', 'tech', 'internet', 'computer']"/>
    <n v="27"/>
    <x v="2"/>
    <n v="69677"/>
    <n v="350"/>
    <n v="9"/>
    <n v="5.1523458243035725E-3"/>
    <n v="6"/>
    <s v="Short"/>
  </r>
  <r>
    <s v="NGcUoRXBXRY"/>
    <s v="The Worlds Smartest Glasses | ..."/>
    <s v="No description available"/>
    <s v="2024-08-25T00:13:38Z"/>
    <d v="2024-08-25T00:00:00"/>
    <n v="2024"/>
    <s v="August"/>
    <s v="2024-08"/>
    <n v="335"/>
    <s v="UC7rsYYvQbqQrJDGhqWmtAgQ"/>
    <s v="Kyle Kruege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7733646"/>
    <n v="430329"/>
    <n v="4734"/>
    <n v="5.6255872068620677E-2"/>
    <n v="54"/>
    <s v="Short"/>
  </r>
  <r>
    <s v="7bHs2SlUMNQ"/>
    <s v="automation solution for machin..."/>
    <s v="must-have mechanism for every machine designer #me..."/>
    <s v="2024-02-01T16:23:44Z"/>
    <d v="2024-02-01T00:00:00"/>
    <n v="2024"/>
    <s v="February"/>
    <s v="2024-02"/>
    <n v="541"/>
    <s v="UC13L28DWv7ap1HL6ZG828Bg"/>
    <s v="makinerz"/>
    <s v="['solidworks', 'cad', 'mechanism', 'mechanisms', 'industrial design', 'industrial mechanism', 'designer', 'catia', 'freelancer', '3d design', '3d modeling', 'machine design', 'machinery', 'industrial machinery', 'industrial machine', 'business', 'business ideas', 'catia v5 tutorial', 'solidworks drawing', 'solidworks electrical', 'solidworks tutorials', 'mechanical engineering', 'the mechanisms', 'mechanical principles', 'solidworks tutorial', 'how to use solidworks', 'automation', 'mechanics', 'automation solutions', 'automation solidworks', 'tech']"/>
    <n v="28"/>
    <x v="0"/>
    <n v="79665463"/>
    <n v="426407"/>
    <n v="981"/>
    <n v="5.3647839842467246E-3"/>
    <n v="10"/>
    <s v="Short"/>
  </r>
  <r>
    <s v="KYhsFxN3jNo"/>
    <s v="Invention"/>
    <s v="No description available"/>
    <s v="2024-05-12T09:44:02Z"/>
    <d v="2024-05-12T00:00:00"/>
    <n v="2024"/>
    <s v="May"/>
    <s v="2024-05"/>
    <n v="440"/>
    <s v="UCx1yYZtkdt9VQhZlR7I6--w"/>
    <s v="ProShorts 10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3576683"/>
    <n v="351168"/>
    <n v="3067"/>
    <n v="2.6091424540147252E-2"/>
    <n v="60"/>
    <s v="Short"/>
  </r>
  <r>
    <s v="sGI1H7VhJbc"/>
    <s v="Unboxing the Samsung S24 FE ðŸ..."/>
    <s v="Stay connected: _x000d__x000a_Facebook | https://www.facebook...."/>
    <s v="2024-10-03T23:13:28Z"/>
    <d v="2024-10-03T00:00:00"/>
    <n v="2024"/>
    <s v="October"/>
    <s v="2024-10"/>
    <n v="296"/>
    <s v="UCUvIsQMxWWJ_1ajxu5plOFw"/>
    <s v="Spige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884583"/>
    <n v="60952"/>
    <n v="218"/>
    <n v="3.24581087699507E-2"/>
    <n v="19"/>
    <s v="Short"/>
  </r>
  <r>
    <s v="AClfhmJYyNc"/>
    <s v="I bought the World's RAREST Te..."/>
    <s v="I bought the rarest tech in the world from all you..."/>
    <s v="2024-07-04T10:38:25Z"/>
    <d v="2024-07-04T00:00:00"/>
    <n v="2024"/>
    <s v="July"/>
    <s v="2024-07"/>
    <n v="387"/>
    <s v="UCMiJRAwDNSNzuYeN2uWa0pA"/>
    <s v="Mrwhosetheboss"/>
    <s v="['rarest', 'phones', 'tech', 'smartphone', 'keyboard', 'mouse', 'pc', 'evangelion', 'harry potter', 'transformers', 'rare', 'expensive']"/>
    <n v="28"/>
    <x v="0"/>
    <n v="10072210"/>
    <n v="204457"/>
    <n v="7660"/>
    <n v="2.1059628423156389E-2"/>
    <n v="2394"/>
    <s v="Long"/>
  </r>
  <r>
    <s v="x54fK8BKLVk"/>
    <s v="Stunning Futuristic Tech #tech..."/>
    <s v="Stunning Futuristic Tech #tech #technology #meibot..."/>
    <s v="2025-06-20T16:39:53Z"/>
    <d v="2025-06-20T00:00:00"/>
    <n v="2025"/>
    <s v="June"/>
    <s v="2025-06"/>
    <n v="36"/>
    <s v="UCPdVC7w-AmZ6BGCoIoU1v3g"/>
    <s v="Meibo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236"/>
    <n v="217464.60837887001"/>
    <n v="1"/>
    <n v="51.33749017442635"/>
    <n v="10"/>
    <s v="Short"/>
  </r>
  <r>
    <s v="OSCOQ6vnLwU"/>
    <s v="Closed captions on DVDs are ge..."/>
    <s v="Clearly a lot of people forgot about those pesky c..."/>
    <s v="2025-05-27T15:18:23Z"/>
    <d v="2025-05-27T00:00:00"/>
    <n v="2025"/>
    <s v="May"/>
    <s v="2025-05"/>
    <n v="60"/>
    <s v="UCy0tKL1T7wFoYcxCe0xjN6Q"/>
    <s v="Technology Connection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247810"/>
    <n v="58563"/>
    <n v="6742"/>
    <n v="5.2335692132616345E-2"/>
    <n v="2027"/>
    <s v="Long"/>
  </r>
  <r>
    <s v="XOwxbB9X6aQ"/>
    <s v="They fixed the reason my phone..."/>
    <s v="No description available"/>
    <s v="2024-01-10T19:38:36Z"/>
    <d v="2024-01-10T00:00:00"/>
    <n v="2024"/>
    <s v="January"/>
    <s v="2024-01"/>
    <n v="563"/>
    <s v="UCXuqSBlHAE6Xw-yeJA0Tunw"/>
    <s v="Linus Tech Tip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129243"/>
    <n v="611573"/>
    <n v="3670"/>
    <n v="4.6860508256264283E-2"/>
    <n v="58"/>
    <s v="Short"/>
  </r>
  <r>
    <s v="g2_3jU7ysdc"/>
    <s v="Unique Technology of Japan ðŸ˜..."/>
    <s v="Unique Technology of Japan ðŸ˜± #shorts #science #..."/>
    <s v="2024-05-13T16:05:54Z"/>
    <d v="2024-05-13T00:00:00"/>
    <n v="2024"/>
    <s v="May"/>
    <s v="2024-05"/>
    <n v="439"/>
    <s v="UC7-PWJBq7yiStftsUqVsSqw"/>
    <s v="YeFacts"/>
    <s v="['shorts', 'amazing facts', 'science facts', 'shorts hindi', 'latest viral shorts']"/>
    <n v="27"/>
    <x v="2"/>
    <n v="4825219"/>
    <n v="63899"/>
    <n v="84"/>
    <n v="1.3260123530144436E-2"/>
    <n v="19"/>
    <s v="Short"/>
  </r>
  <r>
    <s v="hU4eMj23Aa8"/>
    <s v="Katerine - Ayo Technology"/>
    <s v="http://www.youtube.com/user/umcmymusic - Subskrybu..."/>
    <s v="2009-03-30T14:05:42Z"/>
    <d v="2009-03-30T00:00:00"/>
    <n v="2009"/>
    <s v="March"/>
    <s v="2009-03"/>
    <n v="5962"/>
    <s v="UCHeo8472OnB2poQyPvcBx9g"/>
    <s v="MyMusic"/>
    <s v="['usher', 'baths', 'right', 'Ayo', 'nelly', 'cent', 'Katerine', 'around', 'remix', 'goes around', 'ciara', 'video clip', 'goes', 'featuring', 'music', 'madonna', 'value', 'timberlake', 'Dancing', 'Clip', 'All', 'comes', 'say', 'magic', 'nelly furtado', 'justin', 'shock', 'feat', 'mobile', 'minutes', 'Best', 'beds baths', 'beds', 'say right', 'furtado', 'Technology', 'Artist', 'charts', 'future', 'timberland', 'timbaland']"/>
    <n v="10"/>
    <x v="5"/>
    <n v="20393151"/>
    <n v="77842"/>
    <n v="4682"/>
    <n v="4.0466527217888001E-3"/>
    <n v="219"/>
    <s v="Long"/>
  </r>
  <r>
    <s v="Op_xFYWaKWc"/>
    <s v="China technology"/>
    <s v="#short #shortvideo #shortsvideo #shortsfeed #short..."/>
    <s v="2022-05-13T04:36:07Z"/>
    <d v="2022-05-13T00:00:00"/>
    <n v="2022"/>
    <s v="May"/>
    <s v="2022-05"/>
    <n v="1170"/>
    <s v="UCpBAFkFmMPVhyxRahMMkqjQ"/>
    <s v="Nishu Rider 001"/>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49418"/>
    <n v="4785"/>
    <n v="36"/>
    <n v="7.4235700273167669E-3"/>
    <n v="16"/>
    <s v="Short"/>
  </r>
  <r>
    <s v="rp6fxCrCtbg"/>
    <s v="China Advance Technology ðŸ˜±"/>
    <s v="China Advance Technology ðŸ˜±_x000a__x000a__x000a_Copyright Disclaim..."/>
    <s v="2024-11-30T16:30:16Z"/>
    <d v="2024-11-30T00:00:00"/>
    <n v="2024"/>
    <s v="November"/>
    <s v="2024-11"/>
    <n v="238"/>
    <s v="UCNkUROwawopm-3gWXm_4Kpg"/>
    <s v="The Facts Usa"/>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001394"/>
    <n v="82329"/>
    <n v="2077"/>
    <n v="2.8122265853799934E-2"/>
    <n v="34"/>
    <s v="Short"/>
  </r>
  <r>
    <s v="GY9usnmuC0g"/>
    <s v="ATM bike viral technology #vir..."/>
    <s v="ATM bike viral technology #viralshorts #bikelover ..."/>
    <s v="2025-04-23T15:35:07Z"/>
    <d v="2025-04-23T00:00:00"/>
    <n v="2025"/>
    <s v="April"/>
    <s v="2025-04"/>
    <n v="94"/>
    <s v="UCakSAR_crAk4P5DT6FsovwQ"/>
    <s v="mcm sanjay"/>
    <s v="['new bike', 'bike technology', 'ATM bike', 'viral bike', 'new ATM', 'new indian bike', 'bike coins shorts', 'ATM tricks', 'new ATM video', 'viral technology', 'new hack', 'Tesla bike', 'Tesla new technology', 'YouTube shorts', 'bike experiment']"/>
    <n v="22"/>
    <x v="6"/>
    <n v="36946939"/>
    <n v="396141"/>
    <n v="525"/>
    <n v="1.0736099139363074E-2"/>
    <n v="20"/>
    <s v="Short"/>
  </r>
  <r>
    <s v="72O_2Wid1d8"/>
    <s v="Technology âŒ Technologia âœ…..."/>
    <s v="Technology_x000a_Technology video _x000a_Technologia _x000a_Short vi..."/>
    <s v="2025-03-29T06:01:05Z"/>
    <d v="2025-03-29T00:00:00"/>
    <n v="2025"/>
    <s v="March"/>
    <s v="2025-03"/>
    <n v="119"/>
    <s v="UCQXG7nBmEbQ6WMc6CIrVtJg"/>
    <s v="Jax Zone"/>
    <s v="['Technology', 'Technology funny video', 'Technologia viral', 'Technology viral video', 'Short video', 'Comedy video', 'Trending video', 'YouTube trending video', 'Instagram trending', 'Reels', 'Funny video', 'Funny', 'Facebook funny video', 'Sikandar movie trailer', 'Sikandar movie song', 'Eid Mubarak', 'Akka', 'Eid Mubara', 'Eid Mubarak song', 'Mubarak eid mubarak', 'Mitha']"/>
    <n v="23"/>
    <x v="7"/>
    <n v="1507871"/>
    <n v="16690"/>
    <n v="44"/>
    <n v="1.1097766320859013E-2"/>
    <n v="19"/>
    <s v="Short"/>
  </r>
  <r>
    <s v="g2x0tLg6mzk"/>
    <s v="Hi-Tech Beggar in China ðŸ‡¨ðŸ..."/>
    <s v="No description available"/>
    <s v="2025-01-25T10:28:54Z"/>
    <d v="2025-01-25T00:00:00"/>
    <n v="2025"/>
    <s v="January"/>
    <s v="2025-01"/>
    <n v="182"/>
    <s v="UCQGINbsakaZx6I5x3PwmWfA"/>
    <s v="On Road India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9"/>
    <x v="4"/>
    <n v="8380253"/>
    <n v="443946"/>
    <n v="1875"/>
    <n v="5.3198990531670105E-2"/>
    <n v="24"/>
    <s v="Short"/>
  </r>
  <r>
    <s v="DDD_5wDitto"/>
    <s v="Most Expensive Smartphone Case..."/>
    <s v="#gadget #techmaster_x000a__x000a__x000a__x000a_SUBSCRIBE THE CHANNEL FOR M..."/>
    <s v="2023-11-13T06:45:00Z"/>
    <d v="2023-11-13T00:00:00"/>
    <n v="2023"/>
    <s v="November"/>
    <s v="2023-11"/>
    <n v="621"/>
    <s v="UCq30pSBD9tX6d5_xT5aNPoA"/>
    <s v="Tech Master"/>
    <s v="['best smartphone under 40k', 'best smartphone under 40k in bangladesh', 'best smartphone under 40k in bd', 'best phone under 40000', 'best smartphone under 40000', 'tech', 'tech master', 'tech master shorts', 'best phone under 40000 in 2023', 'best phone under 40000 in india 2023', 'best phone under 40000 in india', 'Best smartphone under 40000', 'Best phone under 40000', 'Oneplus 11r', 'nothing phone 2', 'Iqoo neo 7 pro', 'Pixel 7a', 'Oneplus nord 3', 'Oneplus', 'Samsung', 'oneplus 11r', 'samsung s21 fe', 'vivo v27 pro']"/>
    <n v="28"/>
    <x v="0"/>
    <n v="3845024"/>
    <n v="271383"/>
    <n v="352"/>
    <n v="7.0671860565759803E-2"/>
    <n v="54"/>
    <s v="Short"/>
  </r>
  <r>
    <s v="iOCq_vONzaI"/>
    <s v="Huawei Matebook Fold Ultimate ..."/>
    <s v="Huawei Matebook Fold Ultimate Edition, Foldable La..."/>
    <s v="2025-05-19T15:47:21Z"/>
    <d v="2025-05-19T00:00:00"/>
    <n v="2025"/>
    <s v="May"/>
    <s v="2025-05"/>
    <n v="68"/>
    <s v="UCHGMvINAw7UFfk65SpAPw2Q"/>
    <s v="SmartphoneFa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85916"/>
    <n v="9116"/>
    <n v="346"/>
    <n v="1.2039454598201334E-2"/>
    <n v="14"/>
    <s v="Short"/>
  </r>
  <r>
    <s v="cWKTL81IxFs"/>
    <s v="Worlds smallest 4K headset ðŸ˜..."/>
    <s v="Visor is the world's smallest 4K headset. Spawn fi..."/>
    <s v="2024-08-26T17:15:24Z"/>
    <d v="2024-08-26T00:00:00"/>
    <n v="2024"/>
    <s v="August"/>
    <s v="2024-08"/>
    <n v="334"/>
    <s v="UCGmuLwV0XD_uqL4wKZg4hgA"/>
    <s v="Immerse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5841034"/>
    <n v="434811"/>
    <n v="489"/>
    <n v="1.6845301159388593E-2"/>
    <n v="15"/>
    <s v="Short"/>
  </r>
  <r>
    <s v="A2Kj_ZfmoVo"/>
    <s v="Crazy Gadgets Of China ðŸ¤¯"/>
    <s v="Amazing Gadgets Of China ðŸ¤¯_x000a_Amazing China Invent..."/>
    <s v="2024-07-22T07:34:03Z"/>
    <d v="2024-07-22T00:00:00"/>
    <n v="2024"/>
    <s v="July"/>
    <s v="2024-07"/>
    <n v="369"/>
    <s v="UCVqI2QpteQwPCpIp0KKi0Tw"/>
    <s v="Rich Baba"/>
    <s v="['Amazing Gadgets Of China ðŸ¤¯', 'Amazing China Invention', 'China Amazing Invention', 'Top - 3 Chinese Gadgets', 'Amazing China Gadgets', 'Awesome Chinese Gadgets', 'Top - 3 Amazing Gadgets', 'Amazing Crazy Gadgets', 'Top 3 Cool Chinese Gadgets', 'Top 3 Crazy Gadgets', 'Gadgets', 'Tech Gadgets', 'viral', 'Comedy', 'Funny']"/>
    <n v="23"/>
    <x v="7"/>
    <n v="3520073"/>
    <n v="217464.60837887001"/>
    <n v="114"/>
    <n v="6.181082278091108E-2"/>
    <n v="23"/>
    <s v="Short"/>
  </r>
  <r>
    <s v="dD3r2UkmJtg"/>
    <s v="#science #roads road technolog..."/>
    <s v="About video :- #science #roads road technology #te..."/>
    <s v="2024-06-01T06:38:20Z"/>
    <d v="2024-06-01T00:00:00"/>
    <n v="2024"/>
    <s v="June"/>
    <s v="2024-06"/>
    <n v="420"/>
    <s v="UCLverqV6G5MER0YXM4LienQ"/>
    <s v="Vigyan Recharge"/>
    <s v="['#vigyanRecharge', '#shorts', '#engineering', 'Shorts', '#science', '#vigyan', '#physics', '#fun']"/>
    <n v="24"/>
    <x v="3"/>
    <n v="19147160"/>
    <n v="660682"/>
    <n v="642"/>
    <n v="3.4539012574188545E-2"/>
    <n v="19"/>
    <s v="Short"/>
  </r>
  <r>
    <s v="G5IrhtQ5Sds"/>
    <s v="trend of reel-ðŸ¤£ðŸ‘ˆðŸ˜²  te..."/>
    <s v="No description available"/>
    <s v="2025-03-29T17:14:10Z"/>
    <d v="2025-03-29T00:00:00"/>
    <n v="2025"/>
    <s v="March"/>
    <s v="2025-03"/>
    <n v="119"/>
    <s v="UC9MNtiq6SDJKL6Ssip0pi4Q"/>
    <s v="Ajju_vlogs855"/>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867549"/>
    <n v="13624"/>
    <n v="55"/>
    <n v="7.3245735453259858E-3"/>
    <n v="11"/>
    <s v="Short"/>
  </r>
  <r>
    <s v="dnVo4jr19go"/>
    <s v="navy seal robot get technology..."/>
    <s v="No description available"/>
    <s v="2025-06-04T13:01:14Z"/>
    <d v="2025-06-04T00:00:00"/>
    <n v="2025"/>
    <s v="June"/>
    <s v="2025-06"/>
    <n v="52"/>
    <s v="UCUAgJ9XvHfsGTMwoWckXtUQ"/>
    <s v="Daily Planetz"/>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905679"/>
    <n v="3469"/>
    <n v="5"/>
    <n v="1.8229722844193591E-3"/>
    <n v="6"/>
    <s v="Short"/>
  </r>
  <r>
    <s v="OhbphOxQ7ew"/>
    <s v="How Neuralink chip work in fir..."/>
    <s v="Elon Musk installed Neuralink chip in the first ma..."/>
    <s v="2024-07-02T00:42:51Z"/>
    <d v="2024-07-02T00:00:00"/>
    <n v="2024"/>
    <s v="July"/>
    <s v="2024-07"/>
    <n v="389"/>
    <s v="UC9Iqczs-U5nhOFsQ_n1bZmQ"/>
    <s v="Adhik Gyan"/>
    <s v="['shorts', 'Elon musk', 'neuralink', 'how neuralink chip work', 'first person', 'Facts', 'viral video', 'akash Parihar', 'a2motivation']"/>
    <n v="24"/>
    <x v="3"/>
    <n v="246762"/>
    <n v="6322"/>
    <n v="71"/>
    <n v="2.5907554647798283E-2"/>
    <n v="44"/>
    <s v="Short"/>
  </r>
  <r>
    <s v="BOYYWTPaGNk"/>
    <s v="Others unique technologya vs l..."/>
    <s v="Troll Face Edits,_x000a_Troll Face,_x000a__x000a_Related:-_x000a_Moment Be..."/>
    <s v="2025-05-02T09:00:03Z"/>
    <d v="2025-05-02T00:00:00"/>
    <n v="2025"/>
    <s v="May"/>
    <s v="2025-05"/>
    <n v="85"/>
    <s v="UCGqfCP9PVuKu8RJsoJT-F6A"/>
    <s v="Unique Troll"/>
    <s v="['trollface', 'trollface edit', 'trolledit', 'skulledit', 'edit', 'technology', 'technologya', 'coldest moment', 'unique technology']"/>
    <n v="24"/>
    <x v="3"/>
    <n v="3759266"/>
    <n v="45572"/>
    <n v="105"/>
    <n v="1.2150510232582637E-2"/>
    <n v="44"/>
    <s v="Short"/>
  </r>
  <r>
    <s v="2vCBxgKktkg"/>
    <s v="Advanced High Speed Railway In..."/>
    <s v="No description available"/>
    <s v="2024-11-08T12:33:34Z"/>
    <d v="2024-11-08T00:00:00"/>
    <n v="2024"/>
    <s v="November"/>
    <s v="2024-11"/>
    <n v="260"/>
    <s v="UCpkqz2tiWoJ_GDtloiQyGRA"/>
    <s v="yummyfarm"/>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1760428"/>
    <n v="396698"/>
    <n v="1904"/>
    <n v="1.2550271677699053E-2"/>
    <n v="11"/>
    <s v="Short"/>
  </r>
  <r>
    <s v="XalhKVHFLSU"/>
    <s v="Advanced Robotic World Of Chin..."/>
    <s v="No description available"/>
    <s v="2025-01-12T18:00:22Z"/>
    <d v="2025-01-12T00:00:00"/>
    <n v="2025"/>
    <s v="January"/>
    <s v="2025-01"/>
    <n v="195"/>
    <s v="UCddbE0TKdiOMfkawq45kWJw"/>
    <s v="DigZe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4733689"/>
    <n v="59412"/>
    <n v="1904"/>
    <n v="1.2953111199320445E-2"/>
    <n v="22"/>
    <s v="Short"/>
  </r>
  <r>
    <s v="5eYTHiC55Bo"/>
    <s v="3 Tech Myths BustedâŒ"/>
    <s v="#shorts #smartphone #tech #mythbusters"/>
    <s v="2024-10-10T15:48:47Z"/>
    <d v="2024-10-10T00:00:00"/>
    <n v="2024"/>
    <s v="October"/>
    <s v="2024-10"/>
    <n v="289"/>
    <s v="UCoL68NLLSUQqEDwMZPvrdEg"/>
    <s v="TechBurner Shorts"/>
    <s v="['tech', 'best tech', 'tech news', 'cool tech', 'tech gifts', 'cheap tech', 'big tech', 'dog tech', 'new tech', 'top tech', '2024 tech', 'prim tech', 'tech prim', 'tiny tech', 'thin tech', 'tech n9ne', 'tech fails', 'tech deals', 'weird tech', 'tech world', 'smart tech', 'kitchen tech', 'tech under 50', 'tech under 25', 'laid off tech', 'smallest tech', 'cheapest tech', 'tech unboxing', 'emerging tech', 'tech under $50', 'primitive tech', 'tech primitive', 'cool tech gifts', 'best tech gifts', 'weekly tech news']"/>
    <n v="28"/>
    <x v="0"/>
    <n v="14214147"/>
    <n v="217464.60837887001"/>
    <n v="619"/>
    <n v="1.5342715139984834E-2"/>
    <n v="54"/>
    <s v="Short"/>
  </r>
  <r>
    <s v="qkWVwqVoMGY"/>
    <s v="iPhone 14 Deluzi~#Apple mobile..."/>
    <s v="No description available"/>
    <s v="2025-06-20T12:30:18Z"/>
    <d v="2025-06-20T00:00:00"/>
    <n v="2025"/>
    <s v="June"/>
    <s v="2025-06"/>
    <n v="36"/>
    <s v="UCsEzRn6gjCHpC5ddx1MEgUQ"/>
    <s v="AK Tech Sho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9109"/>
    <n v="1584"/>
    <n v="79"/>
    <n v="5.7130097220790821E-2"/>
    <n v="107"/>
    <s v="Long"/>
  </r>
  <r>
    <s v="ZOj8cDqFTws"/>
    <s v="ChatGPT &amp; Generative AI Explai..."/>
    <s v="Ever wondered what sets ChatGPT apart from other A..."/>
    <s v="2024-11-04T12:30:35Z"/>
    <d v="2024-11-04T00:00:00"/>
    <n v="2024"/>
    <s v="November"/>
    <s v="2024-11"/>
    <n v="264"/>
    <s v="UCwr-evhuzGZgDFrq_1pLt_A"/>
    <s v="Error Makes Cleve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27549"/>
    <n v="7635"/>
    <n v="32"/>
    <n v="6.0110232146077192E-2"/>
    <n v="54"/>
    <s v="Short"/>
  </r>
  <r>
    <s v="mChqRhQOvJ0"/>
    <s v="ATM bike new feature shorts #f..."/>
    <s v="ATM bike new feature shorts #funny #youtubeshorts ..."/>
    <s v="2025-04-13T16:35:44Z"/>
    <d v="2025-04-13T00:00:00"/>
    <n v="2025"/>
    <s v="April"/>
    <s v="2025-04"/>
    <n v="104"/>
    <s v="UCakSAR_crAk4P5DT6FsovwQ"/>
    <s v="mcm sanjay"/>
    <s v="['bike technology', 'bike video', 'india bike', 'bike experiment', 'ATM bike', 'motorcycle shorts', 'bike tricks', 'bike rider', 'bike hack', 'bike juice hack', 'juice tricks', 'money bike', 'money new tricks', 'bike shorts', 'india new bike', 'ATM technology', 'bike ATM video']"/>
    <n v="22"/>
    <x v="6"/>
    <n v="29678964"/>
    <n v="425888"/>
    <n v="667"/>
    <n v="1.4372300866027534E-2"/>
    <n v="17"/>
    <s v="Short"/>
  </r>
  <r>
    <s v="PbB5r2p3Sl4"/>
    <s v="This Gadget can ZOOM Upto 200X..."/>
    <s v="#shorts #technology #gadgets _x000a_instagram-ðŸ‘‡_x000a__x000a_ htt..."/>
    <s v="2024-05-25T14:43:01Z"/>
    <d v="2024-05-25T00:00:00"/>
    <n v="2024"/>
    <s v="May"/>
    <s v="2024-05"/>
    <n v="427"/>
    <s v="UCglXlpWjIi95auM3umWWLdw"/>
    <s v="Tech Master Shorts"/>
    <s v="['tech master', 'shorts', 'technology', 'facts', 'amazingtipsandtricks', 'arvind kharra', 'GADGETS', 'zoom', '200x zoom', 's24 ultra zoom', 'smartphone zoom', 'iphone zoom', 'gadget', 'new product', 'master shorts', '400x zoom', 'apple zoom', 'new videos', 'viral trick', 'india', 'hindi', 'latest videos', 'most popular gadget', 'zoom camera', 'smartphone', 'zooming gadget', 'techmaster']"/>
    <n v="28"/>
    <x v="0"/>
    <n v="4381536"/>
    <n v="287051"/>
    <n v="2664"/>
    <n v="6.6121789253814192E-2"/>
    <n v="51"/>
    <s v="Short"/>
  </r>
  <r>
    <s v="iPJfSknuO8I"/>
    <s v="I'm the best technology moment..."/>
    <s v="No description available"/>
    <s v="2025-05-07T09:45:42Z"/>
    <d v="2025-05-07T00:00:00"/>
    <n v="2025"/>
    <s v="May"/>
    <s v="2025-05"/>
    <n v="80"/>
    <s v="UCKeYOr6dVjJR8dUYNqDUr4Q"/>
    <s v="The Goat Saga"/>
    <s v="['Troll face', 'troll face edit', 'trending edit']"/>
    <n v="22"/>
    <x v="6"/>
    <n v="346999"/>
    <n v="5174"/>
    <n v="26"/>
    <n v="1.498563396436301E-2"/>
    <n v="39"/>
    <s v="Short"/>
  </r>
  <r>
    <s v="DENG7Q7VRgo"/>
    <s v="Past and Present | Technology ..."/>
    <s v="We've all seen how much technology has evolved dur..."/>
    <s v="2017-12-16T15:25:23Z"/>
    <d v="2017-12-16T00:00:00"/>
    <n v="2017"/>
    <s v="December"/>
    <s v="2017-12"/>
    <n v="2779"/>
    <s v="UCToZSQjcLTIqcmONexj_Q8w"/>
    <s v="Astrolabe"/>
    <s v="['FLOPPY DISK', 'THUMB DRIVE', 'BOOKS', 'KINDLE', 'FORD MODEL T', 'FORD GT', 'TELEVISION', 'UHDTV', 'VIDEO CAM', 'HI-DEF VIDEO RECORDER', 'LAPTOP', 'COMPACT ULTRAPORTABLES', 'MOBILE PHONE', 'SMARTPHONE', 'ENIAC', 'PORTABLE CALCULATOR', 'past', 'present', 'Technology']"/>
    <n v="24"/>
    <x v="3"/>
    <n v="1494602"/>
    <n v="8306"/>
    <n v="409"/>
    <n v="5.8309837669158742E-3"/>
    <n v="310"/>
    <s v="Long"/>
  </r>
  <r>
    <s v="ahU946l6ZLw"/>
    <s v="4 Unknown Tech Facts"/>
    <s v="Share with your friends!"/>
    <s v="2021-11-02T05:00:01Z"/>
    <d v="2021-11-02T00:00:00"/>
    <n v="2021"/>
    <s v="November"/>
    <s v="2021-11"/>
    <n v="1362"/>
    <s v="UCoL68NLLSUQqEDwMZPvrdEg"/>
    <s v="TechBurner Shorts"/>
    <s v="['tech facts', 'facts', 'random facts', 'amazing facts', 'interesting facts', 'tech facts in hindi', 'science facts', 'technology facts', 'tech', 'tech facts in telugu', 'facts about technology', 'top tech facts', 'tech facts 2021', 'tech facts today', 'tech facts daily', 'tech facts hindi']"/>
    <n v="28"/>
    <x v="0"/>
    <n v="20034444"/>
    <n v="1431608"/>
    <n v="933"/>
    <n v="7.1503905973133067E-2"/>
    <n v="53"/>
    <s v="Short"/>
  </r>
  <r>
    <s v="ZjxiNW-6aPU"/>
    <s v="3 Super Unique Gadgets! #short..."/>
    <s v="No description available"/>
    <s v="2023-01-24T13:55:01Z"/>
    <d v="2023-01-24T00:00:00"/>
    <n v="2023"/>
    <s v="January"/>
    <s v="2023-01"/>
    <n v="914"/>
    <s v="UCvo2tOQ0yDJLFRi7QAt58yA"/>
    <s v="MostTechy Sho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0356669"/>
    <n v="741078"/>
    <n v="466"/>
    <n v="3.6427570738611512E-2"/>
    <n v="28"/>
    <s v="Short"/>
  </r>
  <r>
    <s v="RM717Aj_VKQ"/>
    <s v="28 Inventions of the Future th..."/>
    <s v="Welcome to the future! ðŸš€ Dive into a realm of i..."/>
    <s v="2023-12-31T12:01:04Z"/>
    <d v="2023-12-31T00:00:00"/>
    <n v="2023"/>
    <s v="December"/>
    <s v="2023-12"/>
    <n v="573"/>
    <s v="UCsszPWN4P6mKHmuMz3xZC8Q"/>
    <s v="TechIN"/>
    <s v="['inventions', 'gadgets', 'technology', 'tech', 'amazing inventions you must see', 'inventions of the future', 'THE CRYPTIDE SNEAKER', 'WAYRAY AR', 'PADRONE', 'ATOUN TABITO 02', 'KARA PURE', 'AZERON CYBORG', 'PRODRONE PD6B-AW-ARM', 'BELL NEXUS', 'EMERGE HOME', 'EKTO ONE', 'MANGO POWER', 'PUDU BELLABOT', 'Lâ€™ORÃ‰AL COLORSONIC', '15 amazing concept', 'Mercedes Vision EQXX', 'Martini 6.0', 'Hill HX50', 'VeloX V', 'TCL CSOT', 'Panther KF51', 'Air Yacht V2', 'Pearl suites', 'Flowspace Pod', 'The Huntress', 'Matthieu Tarrit Polar Vehicle']"/>
    <n v="28"/>
    <x v="0"/>
    <n v="1772777"/>
    <n v="10587"/>
    <n v="445"/>
    <n v="6.2230049239131602E-3"/>
    <n v="1722"/>
    <s v="Long"/>
  </r>
  <r>
    <s v="hUBSHHrkgqw"/>
    <s v="Ultrasonic Humidifier Mist Mak..."/>
    <s v="Ultrasonic Humidifier Mist Maker box | #technology..."/>
    <s v="2025-06-08T11:04:37Z"/>
    <d v="2025-06-08T00:00:00"/>
    <n v="2025"/>
    <s v="June"/>
    <s v="2025-06"/>
    <n v="48"/>
    <s v="UC-zx3tEi3t7JYCeR09f7Tpw"/>
    <s v="Technical chahal 1M"/>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06940"/>
    <n v="2132"/>
    <n v="5"/>
    <n v="1.0326664733739247E-2"/>
    <n v="38"/>
    <s v="Short"/>
  </r>
  <r>
    <s v="_vUUs5rrRAs"/>
    <s v="This Robot Will Replace the Po..."/>
    <s v="Spherical police robots by Chinese robotics compan..."/>
    <s v="2024-12-11T15:00:50Z"/>
    <d v="2024-12-11T00:00:00"/>
    <n v="2024"/>
    <s v="December"/>
    <s v="2024-12"/>
    <n v="227"/>
    <s v="UCNjsoaLHhxEUUpOIEbo2l_Q"/>
    <s v="Tech Moments"/>
    <s v="['Tech', 'Technology', 'Engineering', 'Innovations', 'Viral', 'Shorts']"/>
    <n v="22"/>
    <x v="6"/>
    <n v="10096619"/>
    <n v="364764"/>
    <n v="6964"/>
    <n v="3.6817077082932415E-2"/>
    <n v="18"/>
    <s v="Short"/>
  </r>
  <r>
    <s v="iz2sZfxkn2M"/>
    <s v="Ic Reballing Tricks #mobilerep..."/>
    <s v="Ic Reballing Tricks #mobilerepair #technology _x000a_#el..."/>
    <s v="2025-03-18T06:01:36Z"/>
    <d v="2025-03-18T00:00:00"/>
    <n v="2025"/>
    <s v="March"/>
    <s v="2025-03"/>
    <n v="130"/>
    <s v="UCccExinXJkC9aQHROcCizaQ"/>
    <s v="ideal institute aligarh"/>
    <s v="['Ic Reballing Tricks #mobilerepair #technology', 'how to ic reballing', 'ic reballing', 'bga reballing', 'ic reballing tips', 'ic reballing trick', 'ic repairing', 'how to ic repairing', 'ic reball', 'ic reballing problem', 'ic not reballing', 'after reballing ic short', 'perfect ic reballing', 'perfectly ic reballing', 'best method for ic reballing', 'ic reballing problem solution', 'mobile repair', 'mobile repairing', 'mobile repairing course', 'electronics', 'soldering', 'desoldering', 'soldering tutorial', 'flux paste']"/>
    <n v="28"/>
    <x v="0"/>
    <n v="2501266"/>
    <n v="40228"/>
    <n v="177"/>
    <n v="1.6153819705701032E-2"/>
    <n v="22"/>
    <s v="Short"/>
  </r>
  <r>
    <s v="i2k6jHHzK4s"/>
    <s v="Apple Microchip CPU Under Micr..."/>
    <s v="This is a graphically enhanced look through a micr..."/>
    <s v="2024-09-11T23:00:32Z"/>
    <d v="2024-09-11T00:00:00"/>
    <n v="2024"/>
    <s v="September"/>
    <s v="2024-09"/>
    <n v="318"/>
    <s v="UCyV_WlB1BsOyImfMyLbX68Q"/>
    <s v="Learn Something New"/>
    <s v="['microchip', 'cpu', 'phone cpu', 'tech', 'technology', 'microscope', 'computer science', 'chip fabrication', 'circuits', 'semiconductors', 'learn', 'learn something new']"/>
    <n v="27"/>
    <x v="2"/>
    <n v="492744"/>
    <n v="15665"/>
    <n v="667"/>
    <n v="3.3145000243534166E-2"/>
    <n v="49"/>
    <s v="Short"/>
  </r>
  <r>
    <s v="0N8kGDSBMEw"/>
    <s v="Technologia âœ…  TechnologyâŒ"/>
    <s v="No description available"/>
    <s v="2025-04-02T10:53:04Z"/>
    <d v="2025-04-02T00:00:00"/>
    <n v="2025"/>
    <s v="April"/>
    <s v="2025-04"/>
    <n v="115"/>
    <s v="UCrkP7L7oieiejXdQHWLqYIg"/>
    <s v="Manoj Saru"/>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134613"/>
    <n v="27936"/>
    <n v="167"/>
    <n v="2.4768797819168298E-2"/>
    <n v="13"/>
    <s v="Short"/>
  </r>
  <r>
    <s v="IVz9cpC-bPc"/>
    <s v="Technology âŒ  Technologia âœ..."/>
    <s v="Technology âŒ  Technologia âœ”ï¸  #technology #f..."/>
    <s v="2025-04-05T06:11:20Z"/>
    <d v="2025-04-05T00:00:00"/>
    <n v="2025"/>
    <s v="April"/>
    <s v="2025-04"/>
    <n v="112"/>
    <s v="UCTElrLO8jq4_59DoYZsDhDw"/>
    <s v="TF2 iNAYAT"/>
    <s v="['technology meme free fire', 'free fire max', 'the inayat', 'funny', 'shorts', 'trends', 'viral']"/>
    <n v="20"/>
    <x v="10"/>
    <n v="273285"/>
    <n v="3580"/>
    <n v="5"/>
    <n v="1.3118173335528843E-2"/>
    <n v="17"/>
    <s v="Short"/>
  </r>
  <r>
    <s v="Cn7020nMstc"/>
    <s v="Technology comedy videoðŸ˜… #s..."/>
    <s v="Technology comedy videoðŸ˜… #shorts #funny #surajp..."/>
    <s v="2025-04-08T04:36:25Z"/>
    <d v="2025-04-08T00:00:00"/>
    <n v="2025"/>
    <s v="April"/>
    <s v="2025-04"/>
    <n v="109"/>
    <s v="UC3hsgInrT3d9FEYQW82OFTw"/>
    <s v="Suraj pk comedy"/>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1124660"/>
    <n v="10039"/>
    <n v="41"/>
    <n v="8.962708729749436E-3"/>
    <n v="17"/>
    <s v="Short"/>
  </r>
  <r>
    <s v="HpTax3ukTrE"/>
    <s v="ONE UI 7 FINALLY #samsung #tec..."/>
    <s v="No description available"/>
    <s v="2025-06-20T19:06:02Z"/>
    <d v="2025-06-20T00:00:00"/>
    <n v="2025"/>
    <s v="June"/>
    <s v="2025-06"/>
    <n v="36"/>
    <s v="UCCiGY0qGJ6ArOh8FpwgmxJQ"/>
    <s v="rya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728"/>
    <n v="304"/>
    <n v="18"/>
    <n v="6.8104906937394252E-2"/>
    <n v="30"/>
    <s v="Short"/>
  </r>
  <r>
    <s v="Qh9lWfIcg08"/>
    <s v="China Has Advanced Technology ..."/>
    <s v="China Has Advanced Technology To Make Anything Fas..."/>
    <s v="2025-03-08T03:30:13Z"/>
    <d v="2025-03-08T00:00:00"/>
    <n v="2025"/>
    <s v="March"/>
    <s v="2025-03"/>
    <n v="140"/>
    <s v="UCGVfw2366cErHJVRAW-sF-A"/>
    <s v="Echelon world"/>
    <s v="['Shorts', 'Shorts feed', 'Yt shorts', 'Youtube shorts']"/>
    <n v="27"/>
    <x v="2"/>
    <n v="192921"/>
    <n v="217464.60837887001"/>
    <n v="70"/>
    <n v="1.1275838730820906"/>
    <n v="19"/>
    <s v="Short"/>
  </r>
  <r>
    <s v="zHnn-92jG_Q"/>
    <s v="Fake Floor on Chinese Building..."/>
    <s v="No description available"/>
    <s v="2025-02-07T11:42:11Z"/>
    <d v="2025-02-07T00:00:00"/>
    <n v="2025"/>
    <s v="February"/>
    <s v="2025-02"/>
    <n v="169"/>
    <s v="UCQGINbsakaZx6I5x3PwmWfA"/>
    <s v="On Road India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9"/>
    <x v="4"/>
    <n v="3451818"/>
    <n v="114935"/>
    <n v="598"/>
    <n v="3.3470188752709441E-2"/>
    <n v="31"/>
    <s v="Short"/>
  </r>
  <r>
    <s v="fjo_mb1oSUA"/>
    <s v="This Japanese Technology is Am..."/>
    <s v="This Japanese Technology is AmazingðŸ˜± | Japan Te..."/>
    <s v="2024-08-31T02:45:01Z"/>
    <d v="2024-08-31T00:00:00"/>
    <n v="2024"/>
    <s v="August"/>
    <s v="2024-08"/>
    <n v="329"/>
    <s v="UCNUs-Bc-D0cNjvutSX8pxFA"/>
    <s v="Edward Factz"/>
    <s v="['shorts', 'japan technology', 'japan technology shorts', 'japanese technology', 'tech', 'This Japanese Technology is AmazingðŸ˜±', 'yt shorts', 'youtube shorts', 'trending shorts', 'short video', 'shorts video', 'short', 'amazing facts', 'amazing facts in hindi', 'interesting facts', 'mind blowing facts', 'facts', 'facts in hindi', 'random facts', 'edward factz']"/>
    <n v="27"/>
    <x v="2"/>
    <n v="89638"/>
    <n v="1625"/>
    <n v="15"/>
    <n v="1.8295812043999198E-2"/>
    <n v="23"/>
    <s v="Short"/>
  </r>
  <r>
    <s v="BgR_F3ujanE"/>
    <s v="TECHNOLOGYâŒ TECHNOLOGIAâœ… #..."/>
    <s v="Technology âŒ  Technologia âœ”ï¸  #technologyâ€‹..."/>
    <s v="2025-05-29T02:15:57Z"/>
    <d v="2025-05-29T00:00:00"/>
    <n v="2025"/>
    <s v="May"/>
    <s v="2025-05"/>
    <n v="58"/>
    <s v="UCIiBURO5RZKzAjoT6g9iYFQ"/>
    <s v="Phonix FF"/>
    <s v="['freefire', 'freefire Telugu', 'freefire india', '#1million complete', 'shortsfeed', 'trending', 'popular', 'how to viral a short video']"/>
    <n v="20"/>
    <x v="10"/>
    <n v="68956"/>
    <n v="904"/>
    <n v="16"/>
    <n v="1.3341841174082023E-2"/>
    <n v="15"/>
    <s v="Short"/>
  </r>
  <r>
    <s v="yYO3UstXI2M"/>
    <s v="TECHNOLOGY ORÄ°GÄ°NAL #technol..."/>
    <s v="Don't forget to subscribe to the channel and turn ..."/>
    <s v="2025-03-22T05:03:57Z"/>
    <d v="2025-03-22T00:00:00"/>
    <n v="2025"/>
    <s v="March"/>
    <s v="2025-03"/>
    <n v="126"/>
    <s v="UCssTsMMA2EiDWoXR_qV-KVg"/>
    <s v="sfrvsubhan"/>
    <s v="['technology', 'TECHNOLOGY', 'TECHNOLOGY ORÄ°GÄ°NAL', 'technology original', 'viral video', 'viral', 'funny', 'funny video', 'trend funny video', 'trend video', 'sfrvsubhan', 'seferov subhan']"/>
    <n v="23"/>
    <x v="7"/>
    <n v="791733"/>
    <n v="10469"/>
    <n v="123"/>
    <n v="1.3378247464738743E-2"/>
    <n v="13"/>
    <s v="Short"/>
  </r>
  <r>
    <s v="tmUfzbmxHnI"/>
    <s v="IMPOSSIBLE ðŸ· ðŸ¥·  #freefir..."/>
    <s v="IMPOSSIBLE ðŸ· ðŸ¥·  #freefire #tondaegamer #edit..."/>
    <s v="2025-05-28T09:21:31Z"/>
    <d v="2025-05-28T00:00:00"/>
    <n v="2025"/>
    <s v="May"/>
    <s v="2025-05"/>
    <n v="59"/>
    <s v="UCzzirC9w-48gsxrdpLxH2Jg"/>
    <s v="ANFF LIVE"/>
    <s v="['#freefire @raistar #funny #technologia']"/>
    <n v="20"/>
    <x v="10"/>
    <n v="65123"/>
    <n v="941"/>
    <n v="16"/>
    <n v="1.4695268952597393E-2"/>
    <n v="15"/>
    <s v="Short"/>
  </r>
  <r>
    <s v="lAnlIt8Ee3I"/>
    <s v="ATM bike new viral technology ..."/>
    <s v="ATM bike new viral technology #funny #bikeride #te..."/>
    <s v="2025-06-04T16:39:55Z"/>
    <d v="2025-06-04T00:00:00"/>
    <n v="2025"/>
    <s v="June"/>
    <s v="2025-06"/>
    <n v="52"/>
    <s v="UCakSAR_crAk4P5DT6FsovwQ"/>
    <s v="mcm sanjay"/>
    <s v="['bike shorts', 'viral bike', 'ATM bike', 'ATM technology', 'Indian bike', 'Indian ATM bike', 'bike ride', 'new bike', 'new technologies', 'viral short bike', 'Indian technology bike', 'bike experiment', 'experiment shorts', 'YouTube shorts', 'viral shorts']"/>
    <n v="22"/>
    <x v="6"/>
    <n v="81955"/>
    <n v="217464.60837887001"/>
    <n v="5"/>
    <n v="2.6535245973872246"/>
    <n v="26"/>
    <s v="Short"/>
  </r>
  <r>
    <s v="LdlLUogNYMw"/>
    <s v="I bought the CHEAPEST Tech in ..."/>
    <s v="India hits different, loved this video, and the co..."/>
    <s v="2024-02-25T16:03:59Z"/>
    <d v="2024-02-25T00:00:00"/>
    <n v="2024"/>
    <s v="February"/>
    <s v="2024-02"/>
    <n v="517"/>
    <s v="UCMiJRAwDNSNzuYeN2uWa0pA"/>
    <s v="Mrwhosetheboss"/>
    <s v="['Tech', 'india', 'gadgets', 'cool tech', 'tech gifts', 'cheap tech', 'cheap']"/>
    <n v="28"/>
    <x v="0"/>
    <n v="14267731"/>
    <n v="431709"/>
    <n v="16619"/>
    <n v="3.1422515605319445E-2"/>
    <n v="2269"/>
    <s v="Long"/>
  </r>
  <r>
    <s v="zWzF4eQaKYs"/>
    <s v="Amazing Technology Of Japanese..."/>
    <s v="shorts_x000a_fun facts_x000a_interesting facts_x000a_facts you didnt..."/>
    <s v="2024-09-26T13:58:24Z"/>
    <d v="2024-09-26T00:00:00"/>
    <n v="2024"/>
    <s v="September"/>
    <s v="2024-09"/>
    <n v="303"/>
    <s v="UCiO3cv9toTRF2cQxHDXZDhQ"/>
    <s v="Jsinfo shorts"/>
    <s v="['ai breakthroughs', 'ai future', 'cool gadgets', 'future of ai', 'future tech', 'future technology', 'gadget trends', 'gadgets', 'home automation', 'home automation ideas', 'inventions', 'japan tech trends', 'robotics development', 'robotics excellence', 'robotics future', 'robotics innovations', 'robotics news', 'robotics trends', 'smart home devices', 'smart home gadgets', 'smart home ideas', 'smart home tech', 'smart solutions', 'smart tech solutions', 'tech breakthroughs', 'tech innovations', 'tech mavericks', 'technology']"/>
    <n v="27"/>
    <x v="2"/>
    <n v="2772526"/>
    <n v="217464.60837887001"/>
    <n v="12"/>
    <n v="7.8439880592236111E-2"/>
    <n v="22"/>
    <s v="Short"/>
  </r>
  <r>
    <s v="D7Bevixm-Mo"/>
    <s v="Pakistan Ki Technology ðŸ˜‚"/>
    <s v="Hii my name is bobby ustad_x000a__x000a_#shorts #youtubeshorts..."/>
    <s v="2025-05-28T07:50:42Z"/>
    <d v="2025-05-28T00:00:00"/>
    <n v="2025"/>
    <s v="May"/>
    <s v="2025-05"/>
    <n v="59"/>
    <s v="UC3KGumGbw4sHlnUtgtn9IqQ"/>
    <s v="Bobby Ustad"/>
    <s v="['Pakistani funny video', 'Khan baba roast', 'Pakistani technology', 'Roast', 'Comedy']"/>
    <n v="24"/>
    <x v="3"/>
    <n v="3080092"/>
    <n v="171939"/>
    <n v="1896"/>
    <n v="5.6438249247100412E-2"/>
    <n v="69"/>
    <s v="Long"/>
  </r>
  <r>
    <s v="0Fgk0LYVkNI"/>
    <s v="Is it cool to HATE technology ..."/>
    <s v="Asmongold Reacts to: &quot;How We Came to Hate Technolo..."/>
    <s v="2025-06-17T13:00:01Z"/>
    <d v="2025-06-17T00:00:00"/>
    <n v="2025"/>
    <s v="June"/>
    <s v="2025-06"/>
    <n v="39"/>
    <s v="UCQeRaTukNYft1_6AZPACnog"/>
    <s v="Asmongold TV  "/>
    <s v="['asmongold', 'asmongold reacts', 'asmongold wow', 'asmongold highlights', 'asmongold youtube', 'world of warcraft', 'asmongold funny', 'asmongold tv', 'asmongold channel', 'zackrawrr']"/>
    <n v="20"/>
    <x v="10"/>
    <n v="639988"/>
    <n v="18150"/>
    <n v="4513"/>
    <n v="3.5411601467527518E-2"/>
    <n v="2238"/>
    <s v="Long"/>
  </r>
  <r>
    <s v="1NagraXOMsc"/>
    <s v="Broken Flex Repair #mobilerepa..."/>
    <s v="Broken Flex Repair #mobilerepair #technology _x000a_#mic..."/>
    <s v="2025-04-24T10:30:43Z"/>
    <d v="2025-04-24T00:00:00"/>
    <n v="2025"/>
    <s v="April"/>
    <s v="2025-04"/>
    <n v="93"/>
    <s v="UCccExinXJkC9aQHROcCizaQ"/>
    <s v="ideal institute aligarh"/>
    <s v="['Broken Flex Repair #mobilerepair #technology', 'how to repair broken flex', 'how to repair flex', 'how to repair damage flex', 'how to repair cutted flex', 'how to repair turn flex', 'broken flex', 'damage flex', 'broken cable flex repair', 'broken ribon flex repair', 'broken belt flex repair', 'mobile repair', 'mobile repairing', 'mobile repairing complete course full video', 'electronic', 'soldering', 'micro soldering', 'micro jumper', 'flux paste', 'solder paste', 'solder mask', 'uv mask', 'broken flex repairing']"/>
    <n v="28"/>
    <x v="0"/>
    <n v="9787251"/>
    <n v="84217"/>
    <n v="551"/>
    <n v="8.6610632546360571E-3"/>
    <n v="59"/>
    <s v="Short"/>
  </r>
  <r>
    <s v="UrgqdJ6vtoY"/>
    <s v="iShowSpeed Impressed By Chinaâ..."/>
    <s v="#ishowspeed #trending #viral #china #technology"/>
    <s v="2025-04-02T16:20:03Z"/>
    <d v="2025-04-02T00:00:00"/>
    <n v="2025"/>
    <s v="April"/>
    <s v="2025-04"/>
    <n v="115"/>
    <s v="UCYRrP22txtZdPr7t2IxkR9w"/>
    <s v="Ironaldox"/>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372747"/>
    <n v="27529"/>
    <n v="310"/>
    <n v="2.0279774787342459E-2"/>
    <n v="21"/>
    <s v="Short"/>
  </r>
  <r>
    <s v="4nVjPcVtv_w"/>
    <s v="Technologyia ðŸ˜‚ðŸ˜‚ðŸ˜‚ || N..."/>
    <s v="No description available"/>
    <s v="2025-03-14T02:35:45Z"/>
    <d v="2025-03-14T00:00:00"/>
    <n v="2025"/>
    <s v="March"/>
    <s v="2025-03"/>
    <n v="134"/>
    <s v="UCTAliyUXj9YL5k_6LVc6Iww"/>
    <s v="Kashan Rehmani Vlog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607445"/>
    <n v="3029"/>
    <n v="29"/>
    <n v="5.0342006272172789E-3"/>
    <n v="8"/>
    <s v="Short"/>
  </r>
  <r>
    <s v="xJHCo8OxNbc"/>
    <s v="Military Technology ðŸ”¥ #shor..."/>
    <s v="No description available"/>
    <s v="2024-05-17T17:26:17Z"/>
    <d v="2024-05-17T00:00:00"/>
    <n v="2024"/>
    <s v="May"/>
    <s v="2024-05"/>
    <n v="435"/>
    <s v="UCFpaOPdt17s83Z35VDlREBw"/>
    <s v="Spark Animasyon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9"/>
    <x v="9"/>
    <n v="20409479"/>
    <n v="1021308"/>
    <n v="3204"/>
    <n v="5.0197851694303415E-2"/>
    <n v="11"/>
    <s v="Short"/>
  </r>
  <r>
    <s v="o4jEHIGBR_U"/>
    <s v="Technology âŒ Technologia..âœ..."/>
    <s v="Technology _x000a_#technology _x000a_#trending _x000a_#funny _x000a_#techn..."/>
    <s v="2025-04-20T06:35:00Z"/>
    <d v="2025-04-20T00:00:00"/>
    <n v="2025"/>
    <s v="April"/>
    <s v="2025-04"/>
    <n v="97"/>
    <s v="UCQXG7nBmEbQ6WMc6CIrVtJg"/>
    <s v="Jax Zone"/>
    <s v="['Technology', 'Trending technologia', 'Trending technology', 'Technology funny video', 'Funny', 'Video', 'Viral', 'Trending memes', 'Reels', 'Instagram trending video', 'Lol', 'Haha', 'Jaat movie total collection', 'Jaat movie action scene', 'Ai trending']"/>
    <n v="23"/>
    <x v="7"/>
    <n v="101995"/>
    <n v="882"/>
    <n v="13"/>
    <n v="8.774939948036669E-3"/>
    <n v="19"/>
    <s v="Short"/>
  </r>
  <r>
    <s v="TaZZOxYDfeA"/>
    <s v="How much does B.TECH pay?"/>
    <s v="#Teaching #learning #facts #support #goals #like #..."/>
    <s v="2023-05-12T10:13:54Z"/>
    <d v="2023-05-12T00:00:00"/>
    <n v="2023"/>
    <s v="May"/>
    <s v="2023-05"/>
    <n v="806"/>
    <s v="UCvknEk1Bjmep7Ebv6QrJGSg"/>
    <s v="Broke Brother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4569890"/>
    <n v="350833"/>
    <n v="7727"/>
    <n v="2.4609657313816372E-2"/>
    <n v="34"/>
    <s v="Short"/>
  </r>
  <r>
    <s v="g5-S3Uief-E"/>
    <s v="Friendship Samsung Digital Tec..."/>
    <s v="No description available"/>
    <s v="2025-04-15T12:08:25Z"/>
    <d v="2025-04-15T00:00:00"/>
    <n v="2025"/>
    <s v="April"/>
    <s v="2025-04"/>
    <n v="102"/>
    <s v="UC9kGAFMDzda_bHkfrYcKmtQ"/>
    <s v="Trendy Tech Review Show"/>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22480"/>
    <n v="2442"/>
    <n v="7"/>
    <n v="5.79672410528309E-3"/>
    <n v="8"/>
    <s v="Short"/>
  </r>
  <r>
    <s v="KvN3JXICzdM"/>
    <s v="Top 20 New Technology Trends T..."/>
    <s v="Top 20 New Technology Trends That Will Define the ..."/>
    <s v="2024-11-27T13:00:31Z"/>
    <d v="2024-11-27T00:00:00"/>
    <n v="2024"/>
    <s v="November"/>
    <s v="2024-11"/>
    <n v="241"/>
    <s v="UCUTF61UNExRdjmoK5mXwWfQ"/>
    <s v="AI Uncovered"/>
    <s v="['top 20 new technology trends that will define the future', 'future technology trends', 'latest tech innovations', 'new technology 2024', 'top tech trends 2024', 'future of ai', 'quantum computing advancements', 'sustainable technology trends', 'advanced robotics future', 'web3 technology', 'renewable energy innovations', 'future of healthcare technology', 'technology trends reshaping industries', 'top tech trends of the future', 'breakthroughs in artificial intelligence', 'ai uncovered']"/>
    <n v="28"/>
    <x v="0"/>
    <n v="550310"/>
    <n v="8211"/>
    <n v="286"/>
    <n v="1.5440388144863804E-2"/>
    <n v="802"/>
    <s v="Long"/>
  </r>
  <r>
    <s v="UlCIc17u2ec"/>
    <s v="Japanese next level technology..."/>
    <s v="Japanese next level technology #ytshorts #youtubes..."/>
    <s v="2024-09-29T13:35:40Z"/>
    <d v="2024-09-29T00:00:00"/>
    <n v="2024"/>
    <s v="September"/>
    <s v="2024-09"/>
    <n v="300"/>
    <s v="UCXbv3qLKS0B63kakKcc8E0g"/>
    <s v="FactsZilla"/>
    <s v="['amazing facts', 'amazing information', 'unique techniques', 'Japanese next level technology', 'japan technology', 'unique techniques about']"/>
    <n v="27"/>
    <x v="2"/>
    <n v="3289587"/>
    <n v="217464.60837887001"/>
    <n v="77"/>
    <n v="6.6130370888160123E-2"/>
    <n v="19"/>
    <s v="Short"/>
  </r>
  <r>
    <s v="nM0Q6-vQuv4"/>
    <s v="Amazing Experiment with Arduin..."/>
    <s v="No description available"/>
    <s v="2024-02-20T06:30:38Z"/>
    <d v="2024-02-20T00:00:00"/>
    <n v="2024"/>
    <s v="February"/>
    <s v="2024-02"/>
    <n v="522"/>
    <s v="UC92-zm0B8vLq-mtJtSHnrJQ"/>
    <s v="The Wren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52408"/>
    <n v="14429"/>
    <n v="65"/>
    <n v="2.6237853180982172E-2"/>
    <n v="30"/>
    <s v="Short"/>
  </r>
  <r>
    <s v="h0xOdfMJTJI"/>
    <s v="This is future technology 2d a..."/>
    <s v="No description available"/>
    <s v="2022-05-27T07:07:04Z"/>
    <d v="2022-05-27T00:00:00"/>
    <n v="2022"/>
    <s v="May"/>
    <s v="2022-05"/>
    <n v="1156"/>
    <s v="UCOvOXLATfCrOJmAYaO4mRBA"/>
    <s v="VFX H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
    <x v="11"/>
    <n v="246090760"/>
    <n v="2148424"/>
    <n v="1109"/>
    <n v="8.7347164111322186E-3"/>
    <n v="13"/>
    <s v="Short"/>
  </r>
  <r>
    <s v="wGBEjmdr6tw"/>
    <s v="what is Information technology"/>
    <s v="what is Information technology _x000a__x000a_#how #easy #infor..."/>
    <s v="2024-08-03T21:00:40Z"/>
    <d v="2024-08-03T00:00:00"/>
    <n v="2024"/>
    <s v="August"/>
    <s v="2024-08"/>
    <n v="357"/>
    <s v="UCtATf9reJ2p7781q2n2F4_w"/>
    <s v="Easy to write"/>
    <s v="['#what', '#whatisit', '#whatis', '#information technology', '#information', '#technology', '#informations', '#technologies', '#whatisinformationtechnology', '#shorts', '#easy', '#easytowrite', '#computer', '#video', '#education', '#howtowrite']"/>
    <n v="27"/>
    <x v="2"/>
    <n v="31227"/>
    <n v="217464.60837887001"/>
    <n v="1970.1447811447799"/>
    <n v="7.0270840349702111"/>
    <n v="10"/>
    <s v="Short"/>
  </r>
  <r>
    <s v="Xy26ECyV3LA"/>
    <s v="iPHONE 13 VS A36 #samsung #tec..."/>
    <s v="No description available"/>
    <s v="2025-06-18T19:00:25Z"/>
    <d v="2025-06-18T00:00:00"/>
    <n v="2025"/>
    <s v="June"/>
    <s v="2025-06"/>
    <n v="38"/>
    <s v="UCCiGY0qGJ6ArOh8FpwgmxJQ"/>
    <s v="rya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5147"/>
    <n v="1364"/>
    <n v="124"/>
    <n v="5.9172068238756113E-2"/>
    <n v="67"/>
    <s v="Long"/>
  </r>
  <r>
    <s v="RWbvNuEwXVc"/>
    <s v="This is NOT a smartphoneðŸ¤”#t..."/>
    <s v="This device looks like a smartphone but is actuall..."/>
    <s v="2024-08-25T15:29:58Z"/>
    <d v="2024-08-25T00:00:00"/>
    <n v="2024"/>
    <s v="August"/>
    <s v="2024-08"/>
    <n v="335"/>
    <s v="UCPMIXPIhGp2WJzocPRQiM1w"/>
    <s v="JMTech"/>
    <s v="['smartphone', 'smartphone review', 'xreal beam pro', 'xreal air 2 pro', 'xreal beam pro and air 2 pro review', 'xreal air 2 pro and beam pro', 'xreal air 2 pro review', 'xreal beam pro review', 'air 2 pro', 'xreal ar glasses', 'ar glasses', 'xreal', '3d ar glasses']"/>
    <n v="28"/>
    <x v="0"/>
    <n v="10849666"/>
    <n v="461066"/>
    <n v="1495"/>
    <n v="4.2633662639937488E-2"/>
    <n v="35"/>
    <s v="Short"/>
  </r>
  <r>
    <s v="DJHXrLqugcA"/>
    <s v="El producto chino MÃS DECEPCI..."/>
    <s v="El teclado hologramico barato de temu aliexpress o..."/>
    <s v="2025-06-12T01:45:38Z"/>
    <d v="2025-06-12T00:00:00"/>
    <n v="2025"/>
    <s v="June"/>
    <s v="2025-06"/>
    <n v="44"/>
    <s v="UCHvF0weGdYOYqFO1oy5cWZw"/>
    <s v="YANPOL"/>
    <s v="['teclado', 'led', 'holograma', 'bluethoot']"/>
    <n v="28"/>
    <x v="0"/>
    <n v="1113579"/>
    <n v="55569"/>
    <n v="255"/>
    <n v="5.0130255689088965E-2"/>
    <n v="51"/>
    <s v="Short"/>
  </r>
  <r>
    <s v="wO_0wNI0aBo"/>
    <s v="Charge Your Phone In 2 Seconds"/>
    <s v="Swippitt Hub is a smart, intuitive battery hub tha..."/>
    <s v="2025-01-15T15:30:20Z"/>
    <d v="2025-01-15T00:00:00"/>
    <n v="2025"/>
    <s v="January"/>
    <s v="2025-01"/>
    <n v="192"/>
    <s v="UCNjsoaLHhxEUUpOIEbo2l_Q"/>
    <s v="Tech Momen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8842622"/>
    <n v="357265"/>
    <n v="2521"/>
    <n v="4.0687705524447386E-2"/>
    <n v="15"/>
    <s v="Short"/>
  </r>
  <r>
    <s v="4qNVBYTGl9I"/>
    <s v="Ayo Technology"/>
    <s v="Provided to YouTube by Universal Music Group_x000a__x000a_Ayo ..."/>
    <s v="2019-01-09T06:45:39Z"/>
    <d v="2019-01-09T00:00:00"/>
    <n v="2019"/>
    <s v="January"/>
    <s v="2019-01"/>
    <n v="2390"/>
    <s v="UCOcnYBwT1jb6EHlS0cwhNkA"/>
    <s v="50 Cent - Topic"/>
    <s v="['50 Cent', 'ãƒ•ã‚£ãƒ•ãƒ†ã‚£ã‚»ãƒ³ãƒˆ', '50ã‚»ãƒ³ãƒˆ', 'Justin Timberlake', 'ã‚¸ãƒ£ã‚¹ãƒ†ã‚£ãƒ³ãƒ†ã‚£ãƒ³ãƒãƒ¼ãƒ¬ã‚¤ã‚¯', 'ã‚¸ãƒ£ã‚¹ãƒ†ã‚£ãƒ³ãƒ»ãƒ†ã‚£ãƒ³ãƒãƒ¼ãƒ¬ã‚¤ã‚¯', 'Best Of 50 Cent', 'Ayo Technology']"/>
    <n v="10"/>
    <x v="5"/>
    <n v="700546"/>
    <n v="8045"/>
    <n v="59"/>
    <n v="1.1568119723758326E-2"/>
    <n v="248"/>
    <s v="Long"/>
  </r>
  <r>
    <s v="SzMiJFOa6w8"/>
    <s v="20 Emerging Technologies That ..."/>
    <s v="Which emerging technology has the potential to cha..."/>
    <s v="2024-02-17T11:00:31Z"/>
    <d v="2024-02-17T00:00:00"/>
    <n v="2024"/>
    <s v="February"/>
    <s v="2024-02"/>
    <n v="525"/>
    <s v="UCGBO6EahCqQSyXIws1MQdDg"/>
    <s v="Future Business Tech"/>
    <s v="['ai', 'artificial intelligence', 'future business tech', 'future technology', 'future tech', 'future business technologies', 'future technologies', 'artificial general intelligence', 'artificial superintelligence', 'superintelligence', 'future city', 'radical life extension', 'crispr', 'quantum computer', 'neuralink', 'humanoid robot', 'generative ai', 'starlink', 'nanotechnology', 'smart cities', 'mixed reality', 'autonomous vehicles', 'blockchain', 'lab grown meat', 'smart home', 'fusion power', 'space tourism', 'artificial wombs']"/>
    <n v="28"/>
    <x v="0"/>
    <n v="2005905"/>
    <n v="21407"/>
    <n v="1085"/>
    <n v="1.1212893930669697E-2"/>
    <n v="2928"/>
    <s v="Long"/>
  </r>
  <r>
    <s v="5VTvYuE6zVs"/>
    <s v="iOS 26 Features: Appleâ€™s Liq..."/>
    <s v="Apple just announced iOS 26 at WWDC 2025, featurin..."/>
    <s v="2025-06-10T00:47:46Z"/>
    <d v="2025-06-10T00:00:00"/>
    <n v="2025"/>
    <s v="June"/>
    <s v="2025-06"/>
    <n v="46"/>
    <s v="UCK7tptUDHh-RYDsdxO1-5QQ"/>
    <s v="The Wall Street Journal"/>
    <s v="['wwdc 2024', 'apple', 'apple news', 'ios26', 'apple ios26', 'apple wwdc 2025', 'wwdc recap', 'liquid glass', 'apple liquid glass', 'visual intelligence', 'ai', 'ai news', 'apple ai', 'siri', 'siri update', 'call screening', 'hold assist', 'live translation', 'apple redesign', 'apple event', 'apple intelligence', 'apple wwdc', 'apple product review', 'apple smart home hub', 'apple new software', 'software updates', 'iphone', 'iphone news', 'safari redesign', 'carplay', 'iphone camera', 'phone screening', 'google', 'samsung', 'tech news', 'techy']"/>
    <n v="25"/>
    <x v="1"/>
    <n v="459396"/>
    <n v="7429"/>
    <n v="796"/>
    <n v="1.7903943438776132E-2"/>
    <n v="221"/>
    <s v="Long"/>
  </r>
  <r>
    <s v="PFcqKDOjMzM"/>
    <s v="Japan next level technology ðŸ..."/>
    <s v="Japan ki future technology is outstanding._x000a__x000a__x000a__x000a__x000a__x000a__x000a__x000a_..."/>
    <s v="2024-10-01T03:22:46Z"/>
    <d v="2024-10-01T00:00:00"/>
    <n v="2024"/>
    <s v="October"/>
    <s v="2024-10"/>
    <n v="298"/>
    <s v="UCwyTuMaiJk8tdRf50uZCmtA"/>
    <s v="BornToFly2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5"/>
    <x v="1"/>
    <n v="245854"/>
    <n v="217464.60837887001"/>
    <n v="15"/>
    <n v="0.88458844834279693"/>
    <n v="17"/>
    <s v="Short"/>
  </r>
  <r>
    <s v="bvn7mH7l2Qs"/>
    <s v="Samsung Galaxy S25 Edge HANDS ..."/>
    <s v="Hands on and initial review of the new Samsung Gal..."/>
    <s v="2025-05-13T00:08:29Z"/>
    <d v="2025-05-13T00:00:00"/>
    <n v="2025"/>
    <s v="May"/>
    <s v="2025-05"/>
    <n v="74"/>
    <s v="UC0MYNOsIrz6jmXfIMERyRHQ"/>
    <s v="Karl Conrad"/>
    <s v="['Samsung galaxy s25 edge', 'Samsung s25 edge', 'samsung s25 edge camera', 'samsung s25 edge unboxing', 'samsung s25 edge review', 'samsung s25 edge hands on', 'samsung s25 edge', 'samsung galaxy s25 edge review', 'samsung galaxy s25 edge camera', 'samsung galaxy s25 edge hands on', 'samsung galaxy s25 edge vs s25 ultra', 's25 ultra vs s25 edge', 's25 edge vs s25 ultra', 'Samsung galaxy s25 ultra vs s25 edge', 'smartphone', 'tech', 'technology', 'phone', 'shorts', 'youtube shorts', 'tech unboxing', 'android', 'tech shorts']"/>
    <n v="28"/>
    <x v="0"/>
    <n v="387986"/>
    <n v="5995"/>
    <n v="111"/>
    <n v="1.5737681256540185E-2"/>
    <n v="22"/>
    <s v="Short"/>
  </r>
  <r>
    <s v="Ms3a1hbZlaU"/>
    <s v="ðŸ”¥Top Best Useful student Ga..."/>
    <s v="Top Best Useful Gadgets In The World | Amazon Gadg..."/>
    <s v="2024-09-20T09:23:46Z"/>
    <d v="2024-09-20T00:00:00"/>
    <n v="2024"/>
    <s v="September"/>
    <s v="2024-09"/>
    <n v="309"/>
    <s v="UCdhyGLBRk_oHt3zrlYyn8-w"/>
    <s v="TECH WITH AR"/>
    <s v="['Gadgets', 'CoolGadgets', 'GadgetReview', 'SmartGadgets', 'MustHaveGadgets', 'CoolTech', 'GadgetGeek', 'LatestTech']"/>
    <n v="28"/>
    <x v="0"/>
    <n v="2807237"/>
    <n v="175637"/>
    <n v="182"/>
    <n v="6.2630622209667364E-2"/>
    <n v="27"/>
    <s v="Short"/>
  </r>
  <r>
    <s v="47gDOw_PNrw"/>
    <s v="New invention ðŸ‡®ðŸ‡³ #techno..."/>
    <s v="No description available"/>
    <s v="2025-06-11T12:14:42Z"/>
    <d v="2025-06-11T00:00:00"/>
    <n v="2025"/>
    <s v="June"/>
    <s v="2025-06"/>
    <n v="45"/>
    <s v="UCzNl75jitCHmIHVcK9girAQ"/>
    <s v="Thanks Inventio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707563"/>
    <n v="43097"/>
    <n v="36"/>
    <n v="3.1466570680725669E-3"/>
    <n v="8"/>
    <s v="Short"/>
  </r>
  <r>
    <s v="IPptIw6-meQ"/>
    <s v="**CHINA IS LIVING IN THE FUTUR..."/>
    <s v="No description available"/>
    <s v="2024-07-27T11:55:51Z"/>
    <d v="2024-07-27T00:00:00"/>
    <n v="2024"/>
    <s v="July"/>
    <s v="2024-07"/>
    <n v="364"/>
    <s v="UCdO1c-gvJuDA_7D66Su2esg"/>
    <s v="Khushi Sharma"/>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541660"/>
    <n v="5665"/>
    <n v="424"/>
    <n v="1.1241369124543071E-2"/>
    <n v="14"/>
    <s v="Short"/>
  </r>
  <r>
    <s v="xXF6-C3XC2E"/>
    <s v="viral bike new technology #sho..."/>
    <s v="viral bike new technology #shorts #funny #viral #b..."/>
    <s v="2025-06-07T15:36:51Z"/>
    <d v="2025-06-07T00:00:00"/>
    <n v="2025"/>
    <s v="June"/>
    <s v="2025-06"/>
    <n v="49"/>
    <s v="UCakSAR_crAk4P5DT6FsovwQ"/>
    <s v="mcm sanjay"/>
    <s v="['bike shorts', 'bike technology', 'chai lovers', 'bike lovers', 'viral bike', 'ATM bike', 'new feature bike', 'viral short bike', 'Indian bike', 'Indian bike shorts', 'new bike', 'new technologies', 'YouTube shorts', 'new shorts', 'feed shorts', 'new bike shorts']"/>
    <n v="22"/>
    <x v="6"/>
    <n v="133133"/>
    <n v="1228"/>
    <n v="9"/>
    <n v="9.291460419279968E-3"/>
    <n v="24"/>
    <s v="Short"/>
  </r>
  <r>
    <s v="HtNXxoHl99Q"/>
    <s v="à¤¯à¥‡ à¤¹à¥ˆ Duniya à¤•à¤¾ à¤..."/>
    <s v="#samsunggalaxys25ultra #techmaster _x000a__x000a_SUBSCRIBE THE..."/>
    <s v="2025-01-23T06:50:00Z"/>
    <d v="2025-01-23T00:00:00"/>
    <n v="2025"/>
    <s v="January"/>
    <s v="2025-01"/>
    <n v="184"/>
    <s v="UCglXlpWjIi95auM3umWWLdw"/>
    <s v="Tech Master Shorts"/>
    <s v="['tech master', 'shorts', 'technology', 'facts', 'amazingtipsandtricks', 'arvind kharra', 'samsung galaxt s25 ultra', 'galaxy s25', 'india', 'samsung', 'tech', 'tech master shorts', 'hindi', 's25 ultra', 's25 series', 'fastest phone 2025', 'enable fast charging in android', 'boost gaming performance in any smartphone', 'viral', 'entertainment', 'funny', 'comedy']"/>
    <n v="28"/>
    <x v="0"/>
    <n v="4671810"/>
    <n v="219320"/>
    <n v="733"/>
    <n v="4.7102300821309083E-2"/>
    <n v="19"/>
    <s v="Short"/>
  </r>
  <r>
    <s v="0cZ9AVA4oMs"/>
    <s v="wait for endâ€¦â€¦ðŸ˜‚#funny #..."/>
    <s v="No description available"/>
    <s v="2025-06-20T13:33:19Z"/>
    <d v="2025-06-20T00:00:00"/>
    <n v="2025"/>
    <s v="June"/>
    <s v="2025-06"/>
    <n v="36"/>
    <s v="UC_bN7yBXpdfszkJXaTRDJbw"/>
    <s v="Prabhat gaupale"/>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43368"/>
    <n v="5976"/>
    <n v="10"/>
    <n v="4.1752692372077453E-2"/>
    <n v="16"/>
    <s v="Short"/>
  </r>
  <r>
    <s v="g8DA2e0LoIw"/>
    <s v="iShowSpeed Shocked By This Tec..."/>
    <s v="iShowSpeed Shocked By This Technology In China ðŸ¤..."/>
    <s v="2025-04-01T14:28:05Z"/>
    <d v="2025-04-01T00:00:00"/>
    <n v="2025"/>
    <s v="April"/>
    <s v="2025-04"/>
    <n v="116"/>
    <s v="UCnzi4YrXHlSsSlsQ3cTThbQ"/>
    <s v="SpeedNaldo7"/>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8090542"/>
    <n v="292972"/>
    <n v="2941"/>
    <n v="3.6575176298448239E-2"/>
    <n v="23"/>
    <s v="Short"/>
  </r>
  <r>
    <s v="Ec_nLzmdKWE"/>
    <s v="The lamb tail docking surgical..."/>
    <s v="Creating is not easy. If there is any infringement..."/>
    <s v="2024-11-27T20:00:09Z"/>
    <d v="2024-11-27T00:00:00"/>
    <n v="2024"/>
    <s v="November"/>
    <s v="2024-11"/>
    <n v="241"/>
    <s v="UCjzQOIISFGqui9A4__hJNJw"/>
    <s v="Scitech-Time"/>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891174"/>
    <n v="79263"/>
    <n v="901"/>
    <n v="1.6389521206974032E-2"/>
    <n v="14"/>
    <s v="Short"/>
  </r>
  <r>
    <s v="2XxA16p3mlo"/>
    <s v="à¤­à¤¾à¤°à¤¤ Vs à¤…à¤®à¥‡à¤°à¤..."/>
    <s v="No description available"/>
    <s v="2025-04-14T15:43:29Z"/>
    <d v="2025-04-14T00:00:00"/>
    <n v="2025"/>
    <s v="April"/>
    <s v="2025-04"/>
    <n v="103"/>
    <s v="UChT7Ga_9INnIrVPBNXo7aqA"/>
    <s v="Factop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776981"/>
    <n v="217464.60837887001"/>
    <n v="10"/>
    <n v="0.12238431833478805"/>
    <n v="20"/>
    <s v="Short"/>
  </r>
  <r>
    <s v="VmqH41dydeI"/>
    <s v="IT vs. Computer Science Degree..."/>
    <s v="ðŸ”Ž IT vs. Computer Science: Which Degree Is Righ..."/>
    <s v="2024-09-26T07:02:08Z"/>
    <d v="2024-09-26T00:00:00"/>
    <n v="2024"/>
    <s v="September"/>
    <s v="2024-09"/>
    <n v="303"/>
    <s v="UC0labapmBYc-gdwcFRzWVlg"/>
    <s v="Monash Information Technology"/>
    <s v="['Australia', 'Career', 'Computer Science', 'Higher Education', 'Information Technology', 'Job', 'Melbourne', 'Study', 'Top University', 'University']"/>
    <n v="28"/>
    <x v="0"/>
    <n v="158437"/>
    <n v="5421"/>
    <n v="25"/>
    <n v="3.4373284018253313E-2"/>
    <n v="31"/>
    <s v="Short"/>
  </r>
  <r>
    <s v="Oyc9c1q0RRU"/>
    <s v="Free motion setup in progress ..."/>
    <s v="Free motion in progress | Techwala | Desi perpetua..."/>
    <s v="2024-04-21T13:45:01Z"/>
    <d v="2024-04-21T00:00:00"/>
    <n v="2024"/>
    <s v="April"/>
    <s v="2024-04"/>
    <n v="461"/>
    <s v="UCGza0UwOOdcryLK-1taT8SA"/>
    <s v="Techà¤µà¤¾à¤²à¤¾"/>
    <s v="['perpetu motion machine', 'free energy machine', 'free energy setup Desi jugaad', 'best free energy machine']"/>
    <n v="28"/>
    <x v="0"/>
    <n v="139303650"/>
    <n v="1474630"/>
    <n v="16759"/>
    <n v="1.0706029597932288E-2"/>
    <n v="11"/>
    <s v="Short"/>
  </r>
  <r>
    <s v="ICVuIjZ1OkY"/>
    <s v="Alarm Lock for Home #home #tec..."/>
    <s v="No description available"/>
    <s v="2025-03-10T15:06:52Z"/>
    <d v="2025-03-10T00:00:00"/>
    <n v="2025"/>
    <s v="March"/>
    <s v="2025-03"/>
    <n v="138"/>
    <s v="UCIwDtUGlxhQcQ38ihxtGD3Q"/>
    <s v="Tech Guru Kaka"/>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41158"/>
    <n v="2270"/>
    <n v="5"/>
    <n v="2.4172349382356631E-3"/>
    <n v="17"/>
    <s v="Short"/>
  </r>
  <r>
    <s v="yi3HfhbmZH8"/>
    <s v="Flywheel Free Energy?! #techno..."/>
    <s v="THERE IS NO FREE ENERGY!_x000a_THERE IS NO FREE ENERGY!!..."/>
    <s v="2024-07-28T16:39:34Z"/>
    <d v="2024-07-28T00:00:00"/>
    <n v="2024"/>
    <s v="July"/>
    <s v="2024-07"/>
    <n v="363"/>
    <s v="UCJ0-OtVpF0wOKEqT2Z1HEtA"/>
    <s v="ElectroBOOM"/>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9283865"/>
    <n v="1181041"/>
    <n v="8422"/>
    <n v="4.0618374657853396E-2"/>
    <n v="39"/>
    <s v="Short"/>
  </r>
  <r>
    <s v="o-I04OW5m9Q"/>
    <s v="New Science Project #shorts #s..."/>
    <s v="New Science Project #shorts #science #technology #..."/>
    <s v="2023-05-17T01:30:16Z"/>
    <d v="2023-05-17T00:00:00"/>
    <n v="2023"/>
    <s v="May"/>
    <s v="2023-05"/>
    <n v="801"/>
    <s v="UChvzFAyWyofbidb7Mh3WMZw"/>
    <s v="VMK Technical Power"/>
    <s v="['shorts', 'science', 'technology', 'trending']"/>
    <n v="28"/>
    <x v="0"/>
    <n v="17579884"/>
    <n v="637578"/>
    <n v="835"/>
    <n v="3.6314972271716921E-2"/>
    <n v="15"/>
    <s v="Short"/>
  </r>
  <r>
    <s v="bukk_V-EDYg"/>
    <s v="viral new technology money bik..."/>
    <s v="viral new technology money bike shorts #experiment..."/>
    <s v="2025-03-18T16:09:34Z"/>
    <d v="2025-03-18T00:00:00"/>
    <n v="2025"/>
    <s v="March"/>
    <s v="2025-03"/>
    <n v="130"/>
    <s v="UCakSAR_crAk4P5DT6FsovwQ"/>
    <s v="mcm sanjay"/>
    <s v="['bike experiment', 'bike shorts', 'shorts bike', 'new hack bike', 'bike new feature', 'money bike', 'bike rider technology', 'bike lovers', 'motorcycle shorts', 'YouTube shorts', 'new short', 'viral bike', 'viral shorts', 'new', 'bike']"/>
    <n v="22"/>
    <x v="6"/>
    <n v="9864742"/>
    <n v="72485"/>
    <n v="93"/>
    <n v="7.3573135516367284E-3"/>
    <n v="22"/>
    <s v="Short"/>
  </r>
  <r>
    <s v="KFsddFc-sI4"/>
    <s v="22 New Gadgets And Inventions ..."/>
    <s v="22 New Gadgets And Inventions ( 2025 ) That You Wi..."/>
    <s v="2025-04-06T20:02:00Z"/>
    <d v="2025-04-06T00:00:00"/>
    <n v="2025"/>
    <s v="April"/>
    <s v="2025-04"/>
    <n v="111"/>
    <s v="UC17Uwo5BkSTtGVbOkywJ7_Q"/>
    <s v="Future Tech"/>
    <s v="['Future Tech', 'Gadgets Under', 'cool gadgets', 'technology', 'tech under', 'under $25', 'new gadgets', 'gadgets on amazon', 'new gadgets on amazon', 'amazon gadgets', 'latest gadgets', 'cheapest gadgets', 'unique gadgets', 'amazon', 'cool gadgets on amazon india', 'gadget under rs 1000', 'gadgets under 500 rs', 'under 500 rs gadgets', 'new tech gadget', 'best gadgets', 'gadgets 2025', 'best tech gifts 2025', '2025', 'gifts', 'gifts 2025', 'under 50 dollars', 'cool gifts for christmas', 'gifts on amazon', 'tech gifts 2025']"/>
    <n v="28"/>
    <x v="0"/>
    <n v="295086"/>
    <n v="3664"/>
    <n v="74"/>
    <n v="1.2667493544254895E-2"/>
    <n v="1099"/>
    <s v="Long"/>
  </r>
  <r>
    <s v="rzFKuRWktCo"/>
    <s v="Crooked m2 slot on HP laptop m..."/>
    <s v="No description available"/>
    <s v="2023-04-12T12:28:00Z"/>
    <d v="2023-04-12T00:00:00"/>
    <n v="2023"/>
    <s v="April"/>
    <s v="2023-04"/>
    <n v="836"/>
    <s v="UCClfFsWcT3N2I7VTXXyt84A"/>
    <s v="Salem Techspe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4447422"/>
    <n v="202294"/>
    <n v="2235"/>
    <n v="4.5988215195229956E-2"/>
    <n v="18"/>
    <s v="Short"/>
  </r>
  <r>
    <s v="5JfK0PJQdes"/>
    <s v="Unbelievable technology of CHI..."/>
    <s v="Unbelievable technology of CHINA #shorts _x000a_à¤šà¥€à¤..."/>
    <s v="2024-05-15T19:17:53Z"/>
    <d v="2024-05-15T00:00:00"/>
    <n v="2024"/>
    <s v="May"/>
    <s v="2024-05"/>
    <n v="437"/>
    <s v="UCYhFgajuL8unEptfPMU5r1A"/>
    <s v="Tip Top Knowledge"/>
    <s v="['shorts', 'ytshorts', 'youtubeshorts', 'shortsfeed', 'china farming', 'china technology', 'shorts monetization', 'youtube monetization', 'hindi facts', 'tip top knowledge', 'shortsbeta']"/>
    <n v="22"/>
    <x v="6"/>
    <n v="293438"/>
    <n v="2958"/>
    <n v="10"/>
    <n v="1.011457275472161E-2"/>
    <n v="37"/>
    <s v="Short"/>
  </r>
  <r>
    <s v="KueWTlO8waE"/>
    <s v="10 lines essay on Technology i..."/>
    <s v="In this video we will learn an essay on Technology..."/>
    <s v="2024-12-19T13:05:34Z"/>
    <d v="2024-12-19T00:00:00"/>
    <n v="2024"/>
    <s v="December"/>
    <s v="2024-12"/>
    <n v="219"/>
    <s v="UCEFYVDdTzUlwvoL2Em-xAgA"/>
    <s v="Fuljhuri Writing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22270"/>
    <n v="758"/>
    <n v="21"/>
    <n v="6.3711458248139367E-3"/>
    <n v="6"/>
    <s v="Short"/>
  </r>
  <r>
    <s v="dBKfH_Le4-k"/>
    <s v="viral ATM bike new feature sho..."/>
    <s v="viral ATM bike new feature shorts #funny #technolo..."/>
    <s v="2025-05-11T16:50:41Z"/>
    <d v="2025-05-11T00:00:00"/>
    <n v="2025"/>
    <s v="May"/>
    <s v="2025-05"/>
    <n v="76"/>
    <s v="UCakSAR_crAk4P5DT6FsovwQ"/>
    <s v="mcm sanjay"/>
    <s v="['ATM bike', 'bike technology', 'money bike', 'new bike', 'indian bike', 'motorcycle shorts', 'motorcycle technology', 'shorts', 'bike shorts', 'ATM shorts', 'ATM technology', 'viral bike', 'fanny bike', 'fanny shorts', 'viral ATM video', 'bike hack']"/>
    <n v="22"/>
    <x v="6"/>
    <n v="32462192"/>
    <n v="436405"/>
    <n v="536"/>
    <n v="1.3459996786415409E-2"/>
    <n v="20"/>
    <s v="Short"/>
  </r>
  <r>
    <s v="cDUqtkKdVQg"/>
    <s v="Worldâ€™s smallest 4K headset ..."/>
    <s v="Visor is the world's smallest 4K headset. Spawn fi..."/>
    <s v="2024-07-17T12:52:30Z"/>
    <d v="2024-07-17T00:00:00"/>
    <n v="2024"/>
    <s v="July"/>
    <s v="2024-07"/>
    <n v="374"/>
    <s v="UCGmuLwV0XD_uqL4wKZg4hgA"/>
    <s v="Immerse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8815065"/>
    <n v="188469"/>
    <n v="231"/>
    <n v="2.1406535289303027E-2"/>
    <n v="14"/>
    <s v="Short"/>
  </r>
  <r>
    <s v="OWuEY_1DZag"/>
    <s v="#UGREEN500W Desktop Charger is..."/>
    <s v="No description available"/>
    <s v="2025-06-16T16:29:17Z"/>
    <d v="2025-06-16T00:00:00"/>
    <n v="2025"/>
    <s v="June"/>
    <s v="2025-06"/>
    <n v="40"/>
    <s v="UCClfFsWcT3N2I7VTXXyt84A"/>
    <s v="Salem Techspe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7377"/>
    <n v="7621"/>
    <n v="131"/>
    <n v="5.6428659819329291E-2"/>
    <n v="61"/>
    <s v="Long"/>
  </r>
  <r>
    <s v="J3f3qZ3Jdvg"/>
    <s v="Others Technology Vs The Last ..."/>
    <s v="Note: This video uses edited clips from a source, ..."/>
    <s v="2025-05-05T10:00:35Z"/>
    <d v="2025-05-05T00:00:00"/>
    <n v="2025"/>
    <s v="May"/>
    <s v="2025-05"/>
    <n v="82"/>
    <s v="UCVn7UJr1UaB-eOzftQTfirg"/>
    <s v="Jimy Projec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6107312"/>
    <n v="217464.60837887001"/>
    <n v="808"/>
    <n v="1.3551150457560517E-2"/>
    <n v="45"/>
    <s v="Short"/>
  </r>
  <r>
    <s v="g9ch8yHthP4"/>
    <s v="China Has Launched New Generat..."/>
    <s v="China Has Launched New Generation Transport SHOCKI..."/>
    <s v="2024-12-30T22:00:24Z"/>
    <d v="2024-12-30T00:00:00"/>
    <n v="2024"/>
    <s v="December"/>
    <s v="2024-12"/>
    <n v="208"/>
    <s v="UCzmU5mkiPWeDccclPq2bs7Q"/>
    <s v="Beyond Discovery"/>
    <s v="['China', 'Has Launched', 'New Generation', 'New Generation Transport', 'SHOCKING The US', 'China new generation transport', 'china transpostation']"/>
    <n v="28"/>
    <x v="0"/>
    <n v="19575862"/>
    <n v="80088"/>
    <n v="7687"/>
    <n v="4.4838383106705591E-3"/>
    <n v="2073"/>
    <s v="Long"/>
  </r>
  <r>
    <s v="44Hhtthevzs"/>
    <s v="The Craziest City You Have Eve..."/>
    <s v="This is the coolest city in the world. Chongqing t..."/>
    <s v="2024-02-22T16:00:06Z"/>
    <d v="2024-02-22T00:00:00"/>
    <n v="2024"/>
    <s v="February"/>
    <s v="2024-02"/>
    <n v="520"/>
    <s v="UCNjsoaLHhxEUUpOIEbo2l_Q"/>
    <s v="Tech Momen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2489348"/>
    <n v="358387"/>
    <n v="7403"/>
    <n v="2.9288158196889062E-2"/>
    <n v="36"/>
    <s v="Short"/>
  </r>
  <r>
    <s v="F-rw1uvt11E"/>
    <s v="#memes #funny #technology #com..."/>
    <s v="#memes #funny #technology #comedy #song#memes #fun..."/>
    <s v="2025-03-23T13:00:42Z"/>
    <d v="2025-03-23T00:00:00"/>
    <n v="2025"/>
    <s v="March"/>
    <s v="2025-03"/>
    <n v="125"/>
    <s v="UCkO7saw1SXudGPC0RZfwZjQ"/>
    <s v="@Ak_balliawala_0.2"/>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275936"/>
    <n v="217464.60837887001"/>
    <n v="8"/>
    <n v="0.78812698734079645"/>
    <n v="11"/>
    <s v="Short"/>
  </r>
  <r>
    <s v="rmDj9uFUU8M"/>
    <s v="Rocket Launcher | M4 Tech | #s..."/>
    <s v="No description available"/>
    <s v="2022-05-18T15:24:08Z"/>
    <d v="2022-05-18T00:00:00"/>
    <n v="2022"/>
    <s v="May"/>
    <s v="2022-05"/>
    <n v="1165"/>
    <s v="UClfll_TO6FpOPLUg4Aawhlw"/>
    <s v="M4 Te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383725"/>
    <n v="207061"/>
    <n v="317"/>
    <n v="4.7306343349548613E-2"/>
    <n v="12"/>
    <s v="Short"/>
  </r>
  <r>
    <s v="J9sWQ9M4u08"/>
    <s v="China farming technology | pla..."/>
    <s v="China farming technology | plastic botal #technolo..."/>
    <s v="2024-10-20T03:30:18Z"/>
    <d v="2024-10-20T00:00:00"/>
    <n v="2024"/>
    <s v="October"/>
    <s v="2024-10"/>
    <n v="279"/>
    <s v="UCfkU03zJEEOcvoYiJrHKA2A"/>
    <s v="Afzal k Fact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6973424"/>
    <n v="330440"/>
    <n v="118"/>
    <n v="1.2254951392155478E-2"/>
    <n v="24"/>
    <s v="Short"/>
  </r>
  <r>
    <s v="UpzCuKkveTI"/>
    <s v="15 AMAZING INVENTIONS THAT WIL..."/>
    <s v="#inventions #vehicles #technology _x000a__x000a_TCL RayNeo X2_x000a_..."/>
    <s v="2024-02-28T16:14:27Z"/>
    <d v="2024-02-28T00:00:00"/>
    <n v="2024"/>
    <s v="February"/>
    <s v="2024-02"/>
    <n v="514"/>
    <s v="UCrq8njNr92EBuA4KXJX3OiQ"/>
    <s v="FuturisticTech"/>
    <s v="['inventions', 'amazing inventions you must see', 'cool inventions', 'inventions you must have', 'amazing inventions', 'inventions that will change your life', 'futuristic inventions', 'innovation', 'inventions 2024', 'best inventions', 'top 15 inventions', '15 inventions that will blow your mind', 'inventions you need to see', &quot;inventions you didn't know existed&quot;, 'inventions of the future', 'TCL RayNeo X2', 'Voixatch', 'Apple Vision Pro', 'Airspeeder Crewed', 'Alarm Stop Sleep']"/>
    <n v="28"/>
    <x v="0"/>
    <n v="2164395"/>
    <n v="15215"/>
    <n v="379"/>
    <n v="7.2047847088909369E-3"/>
    <n v="964"/>
    <s v="Long"/>
  </r>
  <r>
    <s v="EHNuwI74zew"/>
    <s v="I bought the most POINTLESS Te..."/>
    <s v="I bought and tested the most pointless, stupid, du..."/>
    <s v="2024-08-24T10:47:38Z"/>
    <d v="2024-08-24T00:00:00"/>
    <n v="2024"/>
    <s v="August"/>
    <s v="2024-08"/>
    <n v="336"/>
    <s v="UCMiJRAwDNSNzuYeN2uWa0pA"/>
    <s v="Mrwhosetheboss"/>
    <s v="['tech', 'best tech', 'technology', 'gadgets', 'pointless', 'stupid', 'dumb', 'rant', 'unneccessary', 'iphone', 'smartphones']"/>
    <n v="28"/>
    <x v="0"/>
    <n v="7642173"/>
    <n v="161425"/>
    <n v="6954"/>
    <n v="2.2032869446949186E-2"/>
    <n v="2500"/>
    <s v="Long"/>
  </r>
  <r>
    <s v="8jg-zVxSHU0"/>
    <s v="Magical Gadget ft Tech Master ..."/>
    <s v="How to avoide phone usage! #shorts  #youtubeshorts..."/>
    <s v="2023-03-31T13:25:00Z"/>
    <d v="2023-03-31T00:00:00"/>
    <n v="2023"/>
    <s v="March"/>
    <s v="2023-03"/>
    <n v="848"/>
    <s v="UCglXlpWjIi95auM3umWWLdw"/>
    <s v="Tech Master Shorts"/>
    <s v="['shorts', 'viral shorts', 'shorts video', 'tech', 'reaction shorts', 'shorts reaction', 'comedy', 'shorts viral kaise hoga', 'youtube shorts', '@shorts', '#shorts', 'tech master', 'phone', 'smartphone', 'locker']"/>
    <n v="28"/>
    <x v="0"/>
    <n v="32628313"/>
    <n v="1545437"/>
    <n v="1906"/>
    <n v="4.742332219260003E-2"/>
    <n v="50"/>
    <s v="Short"/>
  </r>
  <r>
    <s v="EzUBS8dnNvE"/>
    <s v="Cleaning a Lenovo Yoga (tetanu..."/>
    <s v="No description available"/>
    <s v="2024-01-13T12:35:53Z"/>
    <d v="2024-01-13T00:00:00"/>
    <n v="2024"/>
    <s v="January"/>
    <s v="2024-01"/>
    <n v="560"/>
    <s v="UCClfFsWcT3N2I7VTXXyt84A"/>
    <s v="Salem Techspe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2695809"/>
    <n v="1238922"/>
    <n v="6870"/>
    <n v="5.4890839097209536E-2"/>
    <n v="60"/>
    <s v="Short"/>
  </r>
  <r>
    <s v="OGzi18yM2tw"/>
    <s v="The craziest technology ðŸ’€ #..."/>
    <s v="https://mangoware.shop_x000a__x000a_#shortsedit #coldmoments #..."/>
    <s v="2025-06-15T13:00:39Z"/>
    <d v="2025-06-15T00:00:00"/>
    <n v="2025"/>
    <s v="June"/>
    <s v="2025-06"/>
    <n v="41"/>
    <s v="UCGmPeEqdsLBMsfUK3DZOw2A"/>
    <s v="RandomMango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0"/>
    <x v="5"/>
    <n v="18618"/>
    <n v="269"/>
    <n v="5"/>
    <n v="1.4716940595122999E-2"/>
    <n v="36"/>
    <s v="Short"/>
  </r>
  <r>
    <s v="fGSJHn5wnC8"/>
    <s v="Building Your Own Tech Brand f..."/>
    <s v="Hello, tech visionaries! ðŸŒ Have you ever imagin..."/>
    <s v="2023-12-06T08:34:08Z"/>
    <d v="2023-12-06T00:00:00"/>
    <n v="2023"/>
    <s v="December"/>
    <s v="2023-12"/>
    <n v="598"/>
    <s v="UCPaf9OniHYTpjYPs3_K-B9w"/>
    <s v="Suprans"/>
    <s v="['TechEntrepreneurship', 'ChinaElectronicsMarket', 'BuildYourBrand', 'ElectronicsSourcing', 'InnovationJourney', 'ShortsTutorial', 'BrandCreationTips', 'GlobalEntrepreneur', 'DIYBrand', 'EntrepreneurshipGuide']"/>
    <n v="26"/>
    <x v="8"/>
    <n v="4602241"/>
    <n v="98823"/>
    <n v="1241"/>
    <n v="2.1742451123267989E-2"/>
    <n v="14"/>
    <s v="Short"/>
  </r>
  <r>
    <s v="roTczpcXaYk"/>
    <s v="Switch to Super Power ðŸ˜±ðŸ¤¯..."/>
    <s v="No description available"/>
    <s v="2025-01-27T08:47:51Z"/>
    <d v="2025-01-27T00:00:00"/>
    <n v="2025"/>
    <s v="January"/>
    <s v="2025-01"/>
    <n v="180"/>
    <s v="UC8SFy66JbVwPcYhvplWPm1g"/>
    <s v="Mahadev Tyagi"/>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276862"/>
    <n v="217464.60837887001"/>
    <n v="70"/>
    <n v="9.5541411108301694E-2"/>
    <n v="53"/>
    <s v="Short"/>
  </r>
  <r>
    <s v="hmWoDINP7G4"/>
    <s v="jio f320b charging ic bypass j..."/>
    <s v="No description available"/>
    <s v="2025-06-14T15:27:01Z"/>
    <d v="2025-06-14T00:00:00"/>
    <n v="2025"/>
    <s v="June"/>
    <s v="2025-06"/>
    <n v="42"/>
    <s v="UCVLaRbKaPFM29W91sHhGtqQ"/>
    <s v="DKP REPAI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51858"/>
    <n v="2209"/>
    <n v="16"/>
    <n v="1.4651845803316256E-2"/>
    <n v="56"/>
    <s v="Short"/>
  </r>
  <r>
    <s v="T9TQ-rphLI4"/>
    <s v="Puse a prueba la resistencia d..."/>
    <s v="No description available"/>
    <s v="2025-06-20T16:17:46Z"/>
    <d v="2025-06-20T00:00:00"/>
    <n v="2025"/>
    <s v="June"/>
    <s v="2025-06"/>
    <n v="36"/>
    <s v="UCgeu38G_jcXQ1xMiRZgD_AA"/>
    <s v="Sami Pec"/>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8092"/>
    <n v="1931"/>
    <n v="30"/>
    <n v="0.10839044881715676"/>
    <n v="28"/>
    <s v="Short"/>
  </r>
  <r>
    <s v="R6sWmlyXmys"/>
    <s v="china smart roads and technolo..."/>
    <s v="No description available"/>
    <s v="2025-05-31T13:34:13Z"/>
    <d v="2025-05-31T00:00:00"/>
    <n v="2025"/>
    <s v="May"/>
    <s v="2025-05"/>
    <n v="56"/>
    <s v="UCYJp64Of-hn-v83fJRy7nig"/>
    <s v="ÑÑ”Ð¼Ñ”Ð¼Ð²Ñ”Ñ me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1114228"/>
    <n v="30659"/>
    <n v="431"/>
    <n v="2.79027272694637E-2"/>
    <n v="49"/>
    <s v="Short"/>
  </r>
  <r>
    <s v="JK-Iayp5YNg"/>
    <s v="Would you buy the Trump Phone?..."/>
    <s v="No description available"/>
    <s v="2025-06-20T21:43:58Z"/>
    <d v="2025-06-20T00:00:00"/>
    <n v="2025"/>
    <s v="June"/>
    <s v="2025-06"/>
    <n v="36"/>
    <s v="UCfj3Db1yab-IaJqFbExqgIg"/>
    <s v="JDAWGTV"/>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834"/>
    <n v="34"/>
    <n v="2"/>
    <n v="4.3165467625899283E-2"/>
    <n v="35"/>
    <s v="Short"/>
  </r>
  <r>
    <s v="O7AdhjkYhtk"/>
    <s v="Fingerprint detector system wi..."/>
    <s v="No description available"/>
    <s v="2025-05-25T16:00:38Z"/>
    <d v="2025-05-25T00:00:00"/>
    <n v="2025"/>
    <s v="May"/>
    <s v="2025-05"/>
    <n v="62"/>
    <s v="UCg000s7WtHV0yps-hQ-SHwA"/>
    <s v="Upload Ideas With Itama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3896"/>
    <n v="356"/>
    <n v="4"/>
    <n v="1.062072220911022E-2"/>
    <n v="13"/>
    <s v="Short"/>
  </r>
  <r>
    <s v="FmmMcgAp3UM"/>
    <s v="VÃ­deo Original Technologhia  ..."/>
    <s v="No description available"/>
    <s v="2025-03-29T02:46:20Z"/>
    <d v="2025-03-29T00:00:00"/>
    <n v="2025"/>
    <s v="March"/>
    <s v="2025-03"/>
    <n v="119"/>
    <s v="UCGSnz7gKnBMoyF24sbHA3wA"/>
    <s v="TVS VIDRO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6"/>
    <x v="8"/>
    <n v="93123"/>
    <n v="1651"/>
    <n v="23"/>
    <n v="1.7976224992751522E-2"/>
    <n v="13"/>
    <s v="Short"/>
  </r>
  <r>
    <s v="A702QDhqkUA"/>
    <s v="Mind-Blowing ðŸ˜± Nano Technol..."/>
    <s v="Discover the top ten mind-blowing nano technology ..."/>
    <s v="2024-08-13T20:48:01Z"/>
    <d v="2024-08-13T00:00:00"/>
    <n v="2024"/>
    <s v="August"/>
    <s v="2024-08"/>
    <n v="347"/>
    <s v="UCG0BfrzUNENepeNVe0YumOg"/>
    <s v="PodcastClip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1019"/>
    <n v="641"/>
    <n v="9"/>
    <n v="2.095489861052903E-2"/>
    <n v="28"/>
    <s v="Short"/>
  </r>
  <r>
    <s v="f4ggk7aYOeo"/>
    <s v="Why do programmers have Rubber..."/>
    <s v="No description available"/>
    <s v="2022-06-22T17:55:59Z"/>
    <d v="2022-06-22T00:00:00"/>
    <n v="2022"/>
    <s v="June"/>
    <s v="2022-06"/>
    <n v="1130"/>
    <s v="UCWI-ohtRu8eEeDj93hmUsUQ"/>
    <s v="Coding with Lewi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75179"/>
    <n v="34041"/>
    <n v="416"/>
    <n v="5.9906568216155316E-2"/>
    <n v="33"/>
    <s v="Short"/>
  </r>
  <r>
    <s v="Ca8LMfZXKqU"/>
    <s v="Pitaka Airtag Protective Case,..."/>
    <s v="No description available"/>
    <s v="2022-08-15T16:10:34Z"/>
    <d v="2022-08-15T00:00:00"/>
    <n v="2022"/>
    <s v="August"/>
    <s v="2022-08"/>
    <n v="1076"/>
    <s v="UCJoYs6q1R7KE3MWlNqebIqw"/>
    <s v="Tech way"/>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685431"/>
    <n v="270922"/>
    <n v="196"/>
    <n v="1.9810702344705111E-2"/>
    <n v="16"/>
    <s v="Short"/>
  </r>
  <r>
    <s v="qGLQq6tXTDk"/>
    <s v="#science  #technology #machine..."/>
    <s v="About video :- #science  #technology #machine #bus..."/>
    <s v="2024-04-19T05:14:16Z"/>
    <d v="2024-04-19T00:00:00"/>
    <n v="2024"/>
    <s v="April"/>
    <s v="2024-04"/>
    <n v="463"/>
    <s v="UCLverqV6G5MER0YXM4LienQ"/>
    <s v="Vigyan Recharge"/>
    <s v="['#vigyanRecharge', '#shorts', '#engineering', 'Shorts', '#science', '#vigyan', '#physics', '#fun']"/>
    <n v="24"/>
    <x v="3"/>
    <n v="27525386"/>
    <n v="497044"/>
    <n v="368"/>
    <n v="1.8071027232824274E-2"/>
    <n v="18"/>
    <s v="Short"/>
  </r>
  <r>
    <s v="arHTKC8ffPQ"/>
    <s v="Such a cool piece of tech!! â..."/>
    <s v="No description available"/>
    <s v="2025-06-17T21:41:04Z"/>
    <d v="2025-06-17T00:00:00"/>
    <n v="2025"/>
    <s v="June"/>
    <s v="2025-06"/>
    <n v="39"/>
    <s v="UCHB8fIpAKZy6UVz4Q_c4cRg"/>
    <s v="thejunglebadge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0879"/>
    <n v="288"/>
    <n v="1"/>
    <n v="2.6564941630664585E-2"/>
    <n v="33"/>
    <s v="Short"/>
  </r>
  <r>
    <s v="SJBkTSSJGPQ"/>
    <s v="This Drone has WINGS! #technol..."/>
    <s v="Check out this ornithopter, its a drone that wings..."/>
    <s v="2023-12-10T10:43:56Z"/>
    <d v="2023-12-10T00:00:00"/>
    <n v="2023"/>
    <s v="December"/>
    <s v="2023-12"/>
    <n v="594"/>
    <s v="UCezOhPRojzE_Du7XQodCKxQ"/>
    <s v="Zirot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6364411"/>
    <n v="397647"/>
    <n v="1998"/>
    <n v="6.2793713353835878E-2"/>
    <n v="46"/>
    <s v="Short"/>
  </r>
  <r>
    <s v="wCjHZoo1Iz8"/>
    <s v="Cool Amazon tech gadgets"/>
    <s v="Amazon finds"/>
    <s v="2022-08-16T18:39:24Z"/>
    <d v="2022-08-16T00:00:00"/>
    <n v="2022"/>
    <s v="August"/>
    <s v="2022-08"/>
    <n v="1075"/>
    <s v="UCE-orYJxj0L2cYWbFVHPMPQ"/>
    <s v="Out Of The Box"/>
    <s v="['cool gadgets', 'amazon gadgets', 'gadgets', 'cool tech', 'amazon finds']"/>
    <n v="20"/>
    <x v="10"/>
    <n v="1641762"/>
    <n v="32562"/>
    <n v="229"/>
    <n v="1.9973053341470932E-2"/>
    <n v="13"/>
    <s v="Short"/>
  </r>
  <r>
    <s v="CXJ5ZU7VVSc"/>
    <s v="Ancient Lighting Technology? #..."/>
    <s v="The so-called â€œDendera Lightbulbsâ€â€¦ is this ..."/>
    <s v="2024-08-30T03:54:29Z"/>
    <d v="2024-08-30T00:00:00"/>
    <n v="2024"/>
    <s v="August"/>
    <s v="2024-08"/>
    <n v="330"/>
    <s v="UCpiPhZVveHua0fcikxo8wmQ"/>
    <s v="Megalithic Marvels (Derek Olson)"/>
    <s v="['Dendera', 'Lightbulbs', 'Lights', 'Technology', 'Electricity', 'Ancient', 'Egypt', 'Egyptians', 'Temple']"/>
    <n v="19"/>
    <x v="4"/>
    <n v="1098976"/>
    <n v="22710"/>
    <n v="1533"/>
    <n v="2.2059626415863495E-2"/>
    <n v="16"/>
    <s v="Short"/>
  </r>
  <r>
    <s v="znMoMAHg9Jo"/>
    <s v="Smart Invention With Shoes Â° ..."/>
    <s v="In this video, you can see, smart invention With s..."/>
    <s v="2024-09-23T07:31:18Z"/>
    <d v="2024-09-23T00:00:00"/>
    <n v="2024"/>
    <s v="September"/>
    <s v="2024-09"/>
    <n v="306"/>
    <s v="UCnrGU9pNN5t7nMdDc2etrRA"/>
    <s v="Mr. Deshi Inventor "/>
    <s v="['Smart invention', 'Smart gadgets', 'DIY idea', 'homemade invention', 'gadgets', 'technology', 'homemade DIY project', 'shorts', 'youtube shorts', 'viral shorts', 'trending shorts', 'science and technology', 'Mr deshi inventor', 'science']"/>
    <n v="28"/>
    <x v="0"/>
    <n v="17865523"/>
    <n v="111064"/>
    <n v="386"/>
    <n v="6.2382724535967968E-3"/>
    <n v="9"/>
    <s v="Short"/>
  </r>
  <r>
    <s v="8SIcDkceVsw"/>
    <s v="When Technology Becomes Art #M..."/>
    <s v="When Technology Becomes Art #Meibot #future #robot..."/>
    <s v="2025-06-14T16:18:14Z"/>
    <d v="2025-06-14T00:00:00"/>
    <n v="2025"/>
    <s v="June"/>
    <s v="2025-06"/>
    <n v="42"/>
    <s v="UCPdVC7w-AmZ6BGCoIoU1v3g"/>
    <s v="Meibo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788496"/>
    <n v="17035"/>
    <n v="55"/>
    <n v="4.5110249555496426E-3"/>
    <n v="11"/>
    <s v="Short"/>
  </r>
  <r>
    <s v="0Jt5I_tPkcs"/>
    <s v="Broken Tracks Repair #mobilere..."/>
    <s v="Broken Tracks Repair #mobilerepair #technology _x000a_#e..."/>
    <s v="2025-06-19T09:47:45Z"/>
    <d v="2025-06-19T00:00:00"/>
    <n v="2025"/>
    <s v="June"/>
    <s v="2025-06"/>
    <n v="37"/>
    <s v="UCccExinXJkC9aQHROcCizaQ"/>
    <s v="ideal institute aligarh"/>
    <s v="['Broken Tracks Repair #mobilerepair #technology', 'how to repair broken tracks', 'broken tracks repair', 'broken tracks repairing', 'how to repair damage supply', 'how to repair broken damage soldering pads', 'broken soldering joints', 'broken motherboard tracks', 'broken trace', 'broken trace repair', 'mobile repair', 'mobile repairing', 'mobile repairing course', 'electronics', 'soldering', 'desoldering', 'jumper', 'tracks repairing via jumper', 'micro jumper', 'micro soldering', 'solder mask', 'uv solder mask']"/>
    <n v="28"/>
    <x v="0"/>
    <n v="55101"/>
    <n v="1147"/>
    <n v="10"/>
    <n v="2.0997804032594689E-2"/>
    <n v="57"/>
    <s v="Short"/>
  </r>
  <r>
    <s v="F_5_iSPOEuw"/>
    <s v="Mini HD Wifi Security Camera -..."/>
    <s v="ðŸ”— You can find the product on: https://mavigadg..."/>
    <s v="2022-10-30T12:06:27Z"/>
    <d v="2022-10-30T00:00:00"/>
    <n v="2022"/>
    <s v="October"/>
    <s v="2022-10"/>
    <n v="1000"/>
    <s v="UCJfNJmcv6LXCDsaa2kB_-7A"/>
    <s v="MaviGadge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45651610"/>
    <n v="539531"/>
    <n v="1131"/>
    <n v="1.1843218672901131E-2"/>
    <n v="11"/>
    <s v="Short"/>
  </r>
  <r>
    <s v="1x34b3MNJKo"/>
    <s v="Elon Musk Tesla Robot Girlfrie..."/>
    <s v="Elon Musk AI Robots  is a YouTube Channel That Mak..."/>
    <s v="2025-01-11T07:05:48Z"/>
    <d v="2025-01-11T00:00:00"/>
    <n v="2025"/>
    <s v="January"/>
    <s v="2025-01"/>
    <n v="196"/>
    <s v="UCmpFo9yFL9gOdS1PXWc7ong"/>
    <s v="Elon Musk_AI Robots"/>
    <s v="['Elon Musk', 'viral', 'viral video', 'ai', 'artificial intelligence', 'robot', '#Tesla', 'Tesla', '#ElonMusk', 'shorts', '#shorts']"/>
    <n v="28"/>
    <x v="0"/>
    <n v="2579189"/>
    <n v="34586"/>
    <n v="1354"/>
    <n v="1.393461277944346E-2"/>
    <n v="11"/>
    <s v="Short"/>
  </r>
  <r>
    <s v="HI7XvaqtKe8"/>
    <s v="Technology à¤•à¤¾ Gen-Z ðŸ¤¯ðŸ..."/>
    <s v="No description available"/>
    <s v="2024-11-27T05:30:12Z"/>
    <d v="2024-11-27T00:00:00"/>
    <n v="2024"/>
    <s v="November"/>
    <s v="2024-11"/>
    <n v="241"/>
    <s v="UC8SFy66JbVwPcYhvplWPm1g"/>
    <s v="Mahadev Tyagi"/>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968028"/>
    <n v="217464.60837887001"/>
    <n v="319"/>
    <n v="4.3837033200873669E-2"/>
    <n v="53"/>
    <s v="Short"/>
  </r>
  <r>
    <s v="lJoJsyDiRKQ"/>
    <s v="4 Cleaning Gadgets under â‚¹10..."/>
    <s v="No description available"/>
    <s v="2024-11-01T08:06:23Z"/>
    <d v="2024-11-01T00:00:00"/>
    <n v="2024"/>
    <s v="November"/>
    <s v="2024-11"/>
    <n v="267"/>
    <s v="UCvo2tOQ0yDJLFRi7QAt58yA"/>
    <s v="MostTechy Sho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0906587"/>
    <n v="998999"/>
    <n v="620"/>
    <n v="1.9636339006580818E-2"/>
    <n v="53"/>
    <s v="Short"/>
  </r>
  <r>
    <s v="gxA1907DZoY"/>
    <s v="2 à¤–à¤¤à¤°à¤¨à¤¾à¤• ðŸ“³ Phon..."/>
    <s v="2 Khatarnak Phone Gadgets Comparison #shorts  #gad..."/>
    <s v="2023-04-27T08:15:01Z"/>
    <d v="2023-04-27T00:00:00"/>
    <n v="2023"/>
    <s v="April"/>
    <s v="2023-04"/>
    <n v="821"/>
    <s v="UCglXlpWjIi95auM3umWWLdw"/>
    <s v="Tech Master Shorts"/>
    <s v="['GADGETS', 'shorts', 'tech master shorts', '#short', 'smartphone setting', 'smartphone', 'comedy', 'tips', 'mobile', 'tricks', 'india', 'friends', 'friend', 'android', 'prank', 'WORLDS BEST']"/>
    <n v="28"/>
    <x v="0"/>
    <n v="11344336"/>
    <n v="660990"/>
    <n v="577"/>
    <n v="5.8316943362749479E-2"/>
    <n v="46"/>
    <s v="Short"/>
  </r>
  <r>
    <s v="WurAqmOVXao"/>
    <s v="OnePlus 13s Unboxing - Best Co..."/>
    <s v="No description available"/>
    <s v="2025-06-02T06:31:59Z"/>
    <d v="2025-06-02T00:00:00"/>
    <n v="2025"/>
    <s v="June"/>
    <s v="2025-06"/>
    <n v="54"/>
    <s v="UCuFkA1HPWVD0mXl8o1uBZzA"/>
    <s v="Dhananjay Bhosale"/>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74402"/>
    <n v="13252"/>
    <n v="240"/>
    <n v="2.844001500836843E-2"/>
    <n v="47"/>
    <s v="Short"/>
  </r>
  <r>
    <s v="ZLOhiGZZhVs"/>
    <s v="Detachable Aeroplane technolog..."/>
    <s v="Detachable Aeroplane technology! #science #facts _x000a_..."/>
    <s v="2024-09-15T14:30:19Z"/>
    <d v="2024-09-15T00:00:00"/>
    <n v="2024"/>
    <s v="September"/>
    <s v="2024-09"/>
    <n v="314"/>
    <s v="UCFJW46vi9NiBePRa92C4oNQ"/>
    <s v="Vigyan Mitra"/>
    <s v="['detachable aeroplane technology', 'ukraine technology', 'detachable aeroplane', 'aeroplane', 'detachable aeroplane cabin', 'detachable airplane technology', 'airplane detachable cabin parachute', 'innovation', 'science', 'facts', 'technology', 'tech', 'vigyan mitra', 'shorts', 'detachable plane technology', 'parachute', 'airbus', 'safety', 'simulator', 'plane crash landing', 'plane crash', 'aircraft emergency', 'aircraft emergency landing', 'aviation', 'ukranian engineer', 'plane', 'detachable cabin plane']"/>
    <n v="28"/>
    <x v="0"/>
    <n v="9205405"/>
    <n v="350130"/>
    <n v="4425"/>
    <n v="3.8515958830708699E-2"/>
    <n v="52"/>
    <s v="Short"/>
  </r>
  <r>
    <s v="VI5T9tCR_RA"/>
    <s v="Unitree's G1 Humanoid Robots a..."/>
    <s v="Unitree's G1 humanoid robot can be seen running, w..."/>
    <s v="2025-02-03T21:47:21Z"/>
    <d v="2025-02-03T00:00:00"/>
    <n v="2025"/>
    <s v="February"/>
    <s v="2025-02"/>
    <n v="173"/>
    <s v="UCOmcA3f_RrH6b9NmcNa4tdg"/>
    <s v="CNET"/>
    <s v="['CNET', 'Technology', 'tech', 'Tech Devices']"/>
    <n v="28"/>
    <x v="0"/>
    <n v="469748"/>
    <n v="17219"/>
    <n v="1011"/>
    <n v="3.8808041758559911E-2"/>
    <n v="45"/>
    <s v="Short"/>
  </r>
  <r>
    <s v="flY9daaR9Do"/>
    <s v="CES 2025: 15 Best Tech Youâ€™l..."/>
    <s v="Here are the Best Gadgets at CES 2025 that will ma..."/>
    <s v="2025-01-11T14:00:43Z"/>
    <d v="2025-01-11T00:00:00"/>
    <n v="2025"/>
    <s v="January"/>
    <s v="2025-01"/>
    <n v="196"/>
    <s v="UCqjVP9gAanUGFgTA5BRDvyA"/>
    <s v="HowToMen"/>
    <s v="['howtomen', 'CES', 'CES 2025', 'CES 2025 smart home', 'CES 2025 tech', 'CES 2025 best tech']"/>
    <n v="26"/>
    <x v="8"/>
    <n v="488542"/>
    <n v="7253"/>
    <n v="154"/>
    <n v="1.5161439548697963E-2"/>
    <n v="813"/>
    <s v="Long"/>
  </r>
  <r>
    <s v="Fb-3wD-nDpM"/>
    <s v="Top - 3 Amazing Gadgets For Ho..."/>
    <s v="Top - 3 Amazing Gadgets For Home_x000a_ 3 Most Amazing G..."/>
    <s v="2024-07-16T07:28:40Z"/>
    <d v="2024-07-16T00:00:00"/>
    <n v="2024"/>
    <s v="July"/>
    <s v="2024-07"/>
    <n v="375"/>
    <s v="UCVqI2QpteQwPCpIp0KKi0Tw"/>
    <s v="Rich Baba"/>
    <s v="['Top - 3 Amazing Gadgets For Home', '3 Most Amazing Gadgets for home', 'Amazing Usefull Gadgets For Home', 'Best Home Gadgets', 'Top - 3 Amazing Home Gadgets', 'Top - 3 Awesome Gadgets for Home', 'Home Gadgets', 'Top - 3 Amazing Usefull Home Gadgets', 'Top - 3 Amazing Invention for Home', 'Top - 3 Awesome Invention For Home', 'Gadgets For Home', 'Tech Gadgets for Home', 'Gadget', 'Ghar ke liye Gajab ke Gadgets', 'Comedy', 'funny']"/>
    <n v="23"/>
    <x v="7"/>
    <n v="19605319"/>
    <n v="217464.60837887001"/>
    <n v="333"/>
    <n v="1.1109108113918983E-2"/>
    <n v="23"/>
    <s v="Short"/>
  </r>
  <r>
    <s v="WKe0VbuPZ0o"/>
    <s v="Rs.1,50,000 Vs Rs.10,000 Phone..."/>
    <s v="Rs.1,50,000 Vs Rs.10,000 Phone Display #shorts #ga..."/>
    <s v="2024-10-23T12:43:49Z"/>
    <d v="2024-10-23T00:00:00"/>
    <n v="2024"/>
    <s v="October"/>
    <s v="2024-10"/>
    <n v="276"/>
    <s v="UCBbeXVY55K5estTHrKWJ5Yg"/>
    <s v="Tech FC Sho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873293"/>
    <n v="111109"/>
    <n v="116"/>
    <n v="5.9374054138888042E-2"/>
    <n v="47"/>
    <s v="Short"/>
  </r>
  <r>
    <s v="P9lRZcHiZQs"/>
    <s v="Science and technology ðŸ—¿ sc..."/>
    <s v="Disclaimer._x000a_Copyright Disclaimer Under Section 107..."/>
    <s v="2024-10-04T03:10:00Z"/>
    <d v="2024-10-04T00:00:00"/>
    <n v="2024"/>
    <s v="October"/>
    <s v="2024-10"/>
    <n v="295"/>
    <s v="UCVlPnnIxBysk2x0wEPtE1Zw"/>
    <s v="Æ¦á´‡Ï»ixá´‡Ê€ Ï»á´‡á´…á´œÊŸ"/>
    <s v="['sigma', 'sigma sir', 'sigma math', 'sigma reel', 'physical', 'physics', 'physically', 'magic', 'science', 'education', 'Albert Einstein', 'knolage', 'iq', 'science test', 'test', 'gaming', 'ff', 'natok', 'news', 'movie', 'science and technology', 'technology', 'technical science']"/>
    <n v="28"/>
    <x v="0"/>
    <n v="19605872"/>
    <n v="243923"/>
    <n v="305"/>
    <n v="1.2456880265259306E-2"/>
    <n v="35"/>
    <s v="Short"/>
  </r>
  <r>
    <s v="JUjCW_7g_Lg"/>
    <s v="Inspire Award Winning New Scie..."/>
    <s v="No description available"/>
    <s v="2025-02-02T01:30:10Z"/>
    <d v="2025-02-02T00:00:00"/>
    <n v="2025"/>
    <s v="February"/>
    <s v="2025-02"/>
    <n v="174"/>
    <s v="UChvzFAyWyofbidb7Mh3WMZw"/>
    <s v="VMK Technical Powe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7999"/>
    <n v="1233"/>
    <n v="5"/>
    <n v="8.9710795005760909E-3"/>
    <n v="11"/>
    <s v="Short"/>
  </r>
  <r>
    <s v="K3uiMsqptOs"/>
    <s v="Pre-Egyptian Technology Left B..."/>
    <s v="Pre-Historic Megastructures eBook: https://univers..."/>
    <s v="2024-03-21T16:30:05Z"/>
    <d v="2024-03-21T00:00:00"/>
    <n v="2024"/>
    <s v="March"/>
    <s v="2024-03"/>
    <n v="492"/>
    <s v="UCOnnmKlDZltHAqJLz-XIpGA"/>
    <s v="Universe Inside You"/>
    <s v="['ancient egyptian technology and inventions', 'ancient egyptian technology', 'ancient civilizations', 'egypt', 'ancient egypt', 'schist disk', 'serapeum of saqqara', 'abu ghurab', 'giza', 'ancient history', 'pyramids', 'pyramid of giza', 'graham hancock', 'brien foerster', 'unchartedx', 'elephantine island', 'karnak', 'dendera temple', 'dendera light']"/>
    <n v="24"/>
    <x v="3"/>
    <n v="4563378"/>
    <n v="51706"/>
    <n v="6044"/>
    <n v="1.2655098920142053E-2"/>
    <n v="58"/>
    <s v="Short"/>
  </r>
  <r>
    <s v="RiVSG1edaBE"/>
    <s v="This Technology Can Save Plane..."/>
    <s v="This Technology Can Save Plane Crashes_x000a__x000a_Imagine a ..."/>
    <s v="2025-06-17T04:00:29Z"/>
    <d v="2025-06-17T00:00:00"/>
    <n v="2025"/>
    <s v="June"/>
    <s v="2025-06"/>
    <n v="39"/>
    <s v="UCEGWWnTvwDC94_jn8xYQRkw"/>
    <s v="Fact Baaziga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790741"/>
    <n v="217464.60837887001"/>
    <n v="165"/>
    <n v="0.12153047725989967"/>
    <n v="31"/>
    <s v="Short"/>
  </r>
  <r>
    <s v="IYLbIbMZ9IQ"/>
    <s v="invention"/>
    <s v="#led #remote #circuit #shorts #ytshorts #short #yo..."/>
    <s v="2024-04-28T09:05:34Z"/>
    <d v="2024-04-28T00:00:00"/>
    <n v="2024"/>
    <s v="April"/>
    <s v="2024-04"/>
    <n v="454"/>
    <s v="UCfBq1NGgEepzrSqiJ_OUffQ"/>
    <s v="AB Electric"/>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614790"/>
    <n v="44855"/>
    <n v="200"/>
    <n v="1.2464071218521685E-2"/>
    <n v="9"/>
    <s v="Short"/>
  </r>
  <r>
    <s v="F8rJmVHstkU"/>
    <s v="50 Cent - Ayo Technology (Lyri..."/>
    <s v="50 Cent - Ayo Technology (Lyrics) ft. Justin Timbe..."/>
    <s v="2022-11-27T07:51:35Z"/>
    <d v="2022-11-27T00:00:00"/>
    <n v="2022"/>
    <s v="November"/>
    <s v="2022-11"/>
    <n v="972"/>
    <s v="UC4JUzmhmiGmPl7uzLpzODyw"/>
    <s v="Loku"/>
    <s v="['50 Cent', 'Ayo Technology', 'Justin Timberlake', '50 cent ayo technology', 'Lyrics']"/>
    <n v="24"/>
    <x v="3"/>
    <n v="484094"/>
    <n v="4989"/>
    <n v="180"/>
    <n v="1.0677678302147929E-2"/>
    <n v="280"/>
    <s v="Long"/>
  </r>
  <r>
    <s v="KUBAm5uynwo"/>
    <s v="How We Came to Hate Technology"/>
    <s v="In the 90s and 2000s, technology was exciting and ..."/>
    <s v="2025-02-01T18:00:23Z"/>
    <d v="2025-02-01T00:00:00"/>
    <n v="2025"/>
    <s v="February"/>
    <s v="2025-02"/>
    <n v="175"/>
    <s v="UCVSeCkn_4KUguSRFxS4YU3w"/>
    <s v="chon digital"/>
    <s v="['the downfall of technology', 'apple', 'imac', 'microsoft', 'windows xp', 'windows 95', 'frutiger aero', 'the lost novelty of technology']"/>
    <n v="24"/>
    <x v="3"/>
    <n v="481501"/>
    <n v="29016"/>
    <n v="2453"/>
    <n v="6.5356042874261944E-2"/>
    <n v="908"/>
    <s v="Long"/>
  </r>
  <r>
    <s v="Cwb9_4YdNyQ"/>
    <s v="What is artificial intelligenc..."/>
    <s v="There are 3 types of Â artificial intelligenceÂ (A..."/>
    <s v="2022-06-24T13:24:08Z"/>
    <d v="2022-06-24T00:00:00"/>
    <n v="2022"/>
    <s v="June"/>
    <s v="2022-06"/>
    <n v="1128"/>
    <s v="UCv-OBAd6y1GeNK1Qx1aaJjg"/>
    <s v="VROOK Learning"/>
    <s v="['artificialintellience', 'ai', 'technology', 'tech', 'web', 'innovation']"/>
    <n v="27"/>
    <x v="2"/>
    <n v="627065"/>
    <n v="24194"/>
    <n v="100"/>
    <n v="3.8742395126502037E-2"/>
    <n v="51"/>
    <s v="Short"/>
  </r>
  <r>
    <s v="1VFXj-Z8ShM"/>
    <s v="Generates electricity in both ..."/>
    <s v="In this videos you can see,Â Generates electricity..."/>
    <s v="2025-01-26T12:42:48Z"/>
    <d v="2025-01-26T00:00:00"/>
    <n v="2025"/>
    <s v="January"/>
    <s v="2025-01"/>
    <n v="181"/>
    <s v="UCnrGU9pNN5t7nMdDc2etrRA"/>
    <s v="Mr. Deshi Inventor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2850697"/>
    <n v="82138"/>
    <n v="26"/>
    <n v="6.3937387987593203E-3"/>
    <n v="5"/>
    <s v="Short"/>
  </r>
  <r>
    <s v="MBpIM7Ks-Tc"/>
    <s v="Cleaning a Laptop that's GROSS..."/>
    <s v="Disgusting Alienware laptop is overheating and nee..."/>
    <s v="2024-08-18T21:47:03Z"/>
    <d v="2024-08-18T00:00:00"/>
    <n v="2024"/>
    <s v="August"/>
    <s v="2024-08"/>
    <n v="342"/>
    <s v="UCClfFsWcT3N2I7VTXXyt84A"/>
    <s v="Salem Techspe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4872214"/>
    <n v="691043"/>
    <n v="3365"/>
    <n v="4.6691635825035868E-2"/>
    <n v="60"/>
    <s v="Short"/>
  </r>
  <r>
    <s v="BLSyl4cbgwU"/>
    <s v="Android vs apple #shorts"/>
    <s v="#shorts #short #edit #trending #viralvideo #funny ..."/>
    <s v="2025-01-18T16:55:03Z"/>
    <d v="2025-01-18T00:00:00"/>
    <n v="2025"/>
    <s v="January"/>
    <s v="2025-01"/>
    <n v="189"/>
    <s v="UCy32E1WycOEwPf9bGA7X6WA"/>
    <s v="ItsDoom Editz"/>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7617013"/>
    <n v="328891"/>
    <n v="5280"/>
    <n v="4.3871659402445549E-2"/>
    <n v="28"/>
    <s v="Short"/>
  </r>
  <r>
    <s v="_0PQw3wrlEA"/>
    <s v="New SSD Missing! #tech #gaming..."/>
    <s v="No description available"/>
    <s v="2025-06-18T02:57:24Z"/>
    <d v="2025-06-18T00:00:00"/>
    <n v="2025"/>
    <s v="June"/>
    <s v="2025-06"/>
    <n v="38"/>
    <s v="UCxVNTYSYaBXIqhhEURbYZLA"/>
    <s v="Matt's Computer Service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2808"/>
    <n v="5188"/>
    <n v="116"/>
    <n v="7.2849137457422261E-2"/>
    <n v="98"/>
    <s v="Long"/>
  </r>
  <r>
    <s v="O2YoUbNZwNg"/>
    <s v="Science and technology"/>
    <s v="No description available"/>
    <s v="2021-09-23T15:17:52Z"/>
    <d v="2021-09-23T00:00:00"/>
    <n v="2021"/>
    <s v="September"/>
    <s v="2021-09"/>
    <n v="1402"/>
    <s v="UCj3YnPuhaNVwCuPpUTFqWRg"/>
    <s v="my season tren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147649"/>
    <n v="29710"/>
    <n v="1004"/>
    <n v="2.6762538023385199E-2"/>
    <n v="6"/>
    <s v="Short"/>
  </r>
  <r>
    <s v="Ceqabjjgh8o"/>
    <s v="$30 vs $300 Apple Watch!"/>
    <s v="#shorts #apple #technology _x000a__x000a_I spend a LOT of time..."/>
    <s v="2023-03-19T09:46:20Z"/>
    <d v="2023-03-19T00:00:00"/>
    <n v="2023"/>
    <s v="March"/>
    <s v="2023-03"/>
    <n v="860"/>
    <s v="UCMiJRAwDNSNzuYeN2uWa0pA"/>
    <s v="Mrwhosetheboss"/>
    <s v="['apple', 'iphone', 'watch', 'shorts']"/>
    <n v="28"/>
    <x v="0"/>
    <n v="7739835"/>
    <n v="450070"/>
    <n v="1105"/>
    <n v="5.8292586340664886E-2"/>
    <n v="48"/>
    <s v="Short"/>
  </r>
  <r>
    <s v="_YiJDk9H88o"/>
    <s v="ðŸ˜‚ðŸ˜‚ðŸ˜‚vivo zoom ðŸ˜‚ðŸ˜‚..."/>
    <s v="ðŸ˜‚ðŸ˜‚ðŸ˜‚vivo zoom ðŸ˜‚ðŸ˜‚ðŸ˜‚ #technology #sm..."/>
    <s v="2025-06-14T05:20:33Z"/>
    <d v="2025-06-14T00:00:00"/>
    <n v="2025"/>
    <s v="June"/>
    <s v="2025-06"/>
    <n v="42"/>
    <s v="UCUxofTiQ3P1iC1lhuZW-KBQ"/>
    <s v="TechTRENDZ"/>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067"/>
    <n v="12"/>
    <n v="0"/>
    <n v="1.1246485473289597E-2"/>
    <n v="27"/>
    <s v="Short"/>
  </r>
  <r>
    <s v="0L-MBwlNVFI"/>
    <s v="Tiny Gadget is Always Listenin..."/>
    <s v="Link: âž¡ï¸ https://bit.ly/4dvnuqB_x000a_#PLAUDAchieve2..."/>
    <s v="2024-05-22T16:53:17Z"/>
    <d v="2024-05-22T00:00:00"/>
    <n v="2024"/>
    <s v="May"/>
    <s v="2024-05"/>
    <n v="430"/>
    <s v="UCsTcErHg8oDvUnTzoqsYeNw"/>
    <s v="Unbox Therapy"/>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812649"/>
    <n v="71088"/>
    <n v="995"/>
    <n v="3.9766661940618397E-2"/>
    <n v="60"/>
    <s v="Short"/>
  </r>
  <r>
    <s v="LwVHl9NYvcA"/>
    <s v="High voltage converts low volt..."/>
    <s v="High voltage converts low voltage method | transfo..."/>
    <s v="2024-12-20T10:12:09Z"/>
    <d v="2024-12-20T00:00:00"/>
    <n v="2024"/>
    <s v="December"/>
    <s v="2024-12"/>
    <n v="218"/>
    <s v="UCHg5YSsWMajbHHga3lcXywg"/>
    <s v="The magic projec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656374"/>
    <n v="4136"/>
    <n v="30"/>
    <n v="6.3469911970919016E-3"/>
    <n v="9"/>
    <s v="Short"/>
  </r>
  <r>
    <s v="wrJsExM8D-o"/>
    <s v="Future Technology | 60 Minutes..."/>
    <s v="From December 2023, Scott Pelleyâ€™s report on qua..."/>
    <s v="2024-05-26T11:00:42Z"/>
    <d v="2024-05-26T00:00:00"/>
    <n v="2024"/>
    <s v="May"/>
    <s v="2024-05"/>
    <n v="426"/>
    <s v="UCsN32BtMd0IoByjJRNF12cw"/>
    <s v="60 Minutes"/>
    <s v="['60 minutes', 'cbs news', 'flying cars', 'artificial intelligence', '60 minutes quantum computing', 'artificial intelligence explained', 'quantum computing', 'evtols', 'carbon capture', 'technology', 'nuclear fusion', 'nvidia', 'chatgpt', 'openai', 'supersonic flight', 'wind power', 'hvac']"/>
    <n v="28"/>
    <x v="0"/>
    <n v="4944688"/>
    <n v="38775"/>
    <n v="2280"/>
    <n v="8.3028494416634586E-3"/>
    <n v="68"/>
    <s v="Long"/>
  </r>
  <r>
    <s v="OcuYIlrG7ao"/>
    <s v="Samsung Vs iPhone à¤•à¥Œà¤¨à¤¸..."/>
    <s v="Samsung Vs iPhone à¤•à¥Œà¤¨à¤¸à¤¾ à¤¹à¥‹à¤¤à¤¾ à¤¹..."/>
    <s v="2024-01-29T14:05:00Z"/>
    <d v="2024-01-29T00:00:00"/>
    <n v="2024"/>
    <s v="January"/>
    <s v="2024-01"/>
    <n v="544"/>
    <s v="UCglXlpWjIi95auM3umWWLdw"/>
    <s v="Tech Master Shorts"/>
    <s v="['tech master', 'shorts', 'technology', 'facts', 'apple', 'iphone', 'charging competition', 'fast charger', 'samsung', 's24ultra', 'iphone15pro max', 'fun', 'tech with fun', 'tech boy', 'viral shorts', 'Samsung Vs iPhone', 'daily shorts', 'funny']"/>
    <n v="28"/>
    <x v="0"/>
    <n v="98602873"/>
    <n v="2964109"/>
    <n v="14876"/>
    <n v="3.0211949300909317E-2"/>
    <n v="59"/>
    <s v="Short"/>
  </r>
  <r>
    <s v="k-oDjfP6S4c"/>
    <s v="high security lock #tech #anit..."/>
    <s v="#gadjets_x000a_#tech_x000a_#anitech_x000a_#technology"/>
    <s v="2025-06-13T11:40:18Z"/>
    <d v="2025-06-13T00:00:00"/>
    <n v="2025"/>
    <s v="June"/>
    <s v="2025-06"/>
    <n v="43"/>
    <s v="UChNDZkwOHEYwm5uVycADEdQ"/>
    <s v="ANI TE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9674"/>
    <n v="99"/>
    <n v="1"/>
    <n v="2.520542420728941E-3"/>
    <n v="11"/>
    <s v="Short"/>
  </r>
  <r>
    <s v="qU6EpfYB_nM"/>
    <s v="latest technology #technology ..."/>
    <s v="No description available"/>
    <s v="2025-06-16T05:29:51Z"/>
    <d v="2025-06-16T00:00:00"/>
    <n v="2025"/>
    <s v="June"/>
    <s v="2025-06"/>
    <n v="40"/>
    <s v="UCSBdEbYSaUasWOye_oAD68g"/>
    <s v="HRIDOY TECH 24"/>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722"/>
    <n v="23"/>
    <n v="1"/>
    <n v="5.0825921219822112E-3"/>
    <n v="19"/>
    <s v="Short"/>
  </r>
  <r>
    <s v="BajaLYzM59w"/>
    <s v="Universal Pull Plate #Agricult..."/>
    <s v="Universal Pull Plate #Agricultural #Machinery #sma..."/>
    <s v="2023-07-20T18:00:08Z"/>
    <d v="2023-07-20T00:00:00"/>
    <n v="2023"/>
    <s v="July"/>
    <s v="2023-07"/>
    <n v="737"/>
    <s v="UCJNkXoq1G_veJrMf7lBoqZg"/>
    <s v="TOP CHANGE"/>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2466362"/>
    <n v="121015"/>
    <n v="128"/>
    <n v="5.3921947843625058E-3"/>
    <n v="11"/>
    <s v="Short"/>
  </r>
  <r>
    <s v="5GqfmmAQhQw"/>
    <s v="ðŸ”¥ðŸ¤– #RobotPower Unitree G..."/>
    <s v="No description available"/>
    <s v="2025-03-04T05:22:35Z"/>
    <d v="2025-03-04T00:00:00"/>
    <n v="2025"/>
    <s v="March"/>
    <s v="2025-03"/>
    <n v="144"/>
    <s v="UCt22Df5wpyliVvk_Z5bllyA"/>
    <s v="XRoboHub"/>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321055"/>
    <n v="20135"/>
    <n v="1732"/>
    <n v="9.421146849169882E-3"/>
    <n v="8"/>
    <s v="Short"/>
  </r>
  <r>
    <s v="BVQQ5zm2J5E"/>
    <s v="technology technology #comedy ..."/>
    <s v="No description available"/>
    <s v="2025-04-20T04:17:12Z"/>
    <d v="2025-04-20T00:00:00"/>
    <n v="2025"/>
    <s v="April"/>
    <s v="2025-04"/>
    <n v="97"/>
    <s v="UCzRzCoTb6oVfzdQLmj1G6bA"/>
    <s v="Gkns sho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37919"/>
    <n v="3310"/>
    <n v="10"/>
    <n v="7.5813106990105473E-3"/>
    <n v="12"/>
    <s v="Short"/>
  </r>
  <r>
    <s v="t6-u1_kCFFw"/>
    <s v="Dangerous gadgets like teacher..."/>
    <s v="Gadgets_x000a_Top 3 gadgets_x000a_Cool gadgets_x000a_iPhone_x000a_review _x000a_..."/>
    <s v="2024-08-24T12:26:00Z"/>
    <d v="2024-08-24T00:00:00"/>
    <n v="2024"/>
    <s v="August"/>
    <s v="2024-08"/>
    <n v="336"/>
    <s v="UC4wjmqUx2k-eJ9msvMqfJUQ"/>
    <s v="GOD UNBOX"/>
    <s v="['shorts', 'unboxing', 'gadgets', 'amazing gadgets', 'new gadgets', 'gadgets shorts', 'unboxing shorts', 'gadgets unboxing']"/>
    <n v="24"/>
    <x v="3"/>
    <n v="10272791"/>
    <n v="158166"/>
    <n v="97"/>
    <n v="1.5406037171397725E-2"/>
    <n v="19"/>
    <s v="Short"/>
  </r>
  <r>
    <s v="T-mqg0w5O30"/>
    <s v="Physics illusionsðŸ¤¯ðŸ”¥/#fac..."/>
    <s v="No description available"/>
    <s v="2024-03-31T18:25:00Z"/>
    <d v="2024-03-31T00:00:00"/>
    <n v="2024"/>
    <s v="March"/>
    <s v="2024-03"/>
    <n v="482"/>
    <s v="UCPkqxAYERgOelFbkinB3yyQ"/>
    <s v="Factitio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136061"/>
    <n v="217464.60837887001"/>
    <n v="87"/>
    <n v="4.2357676121617324E-2"/>
    <n v="18"/>
    <s v="Short"/>
  </r>
  <r>
    <s v="DkP-fDHg4lI"/>
    <s v="I think I will buy this Elon m..."/>
    <s v="No description available"/>
    <s v="2024-12-22T00:28:32Z"/>
    <d v="2024-12-22T00:00:00"/>
    <n v="2024"/>
    <s v="December"/>
    <s v="2024-12"/>
    <n v="216"/>
    <s v="UCtGAMwX23814n7XXa9gpBUA"/>
    <s v="LordLamba"/>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13043462"/>
    <n v="217464.60837887001"/>
    <n v="15220"/>
    <n v="1.7839175548552216E-2"/>
    <n v="34"/>
    <s v="Short"/>
  </r>
  <r>
    <s v="8QJ9Q-7_2VY"/>
    <s v="High voltage speaker reaction ..."/>
    <s v="High voltage speaker reaction #project #experiment..."/>
    <s v="2025-04-27T08:10:21Z"/>
    <d v="2025-04-27T00:00:00"/>
    <n v="2025"/>
    <s v="April"/>
    <s v="2025-04"/>
    <n v="90"/>
    <s v="UCHg5YSsWMajbHHga3lcXywg"/>
    <s v="The magic projec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489636"/>
    <n v="217464.60837887001"/>
    <n v="27"/>
    <n v="3.9618584616333399E-2"/>
    <n v="12"/>
    <s v="Short"/>
  </r>
  <r>
    <s v="jTuHyikizdc"/>
    <s v="23 Cool Gadgets And Inventions..."/>
    <s v="23 Cool Gadgets And Inventions ( 2025 ) You Can Bu..."/>
    <s v="2025-04-09T20:05:13Z"/>
    <d v="2025-04-09T00:00:00"/>
    <n v="2025"/>
    <s v="April"/>
    <s v="2025-04"/>
    <n v="108"/>
    <s v="UC17Uwo5BkSTtGVbOkywJ7_Q"/>
    <s v="Future Tech"/>
    <s v="['Future Tech', 'Gadgets Under', 'cool gadgets', 'technology', 'tech under', 'under $25', 'new gadgets', 'gadgets on amazon', 'new gadgets on amazon', 'amazon gadgets', 'latest gadgets', 'cheapest gadgets', 'unique gadgets', 'amazon', 'cool gadgets on amazon india', 'gadget under rs 1000', 'gadgets under 500 rs', 'under 500 rs gadgets', 'new tech gadget', 'best gadgets', 'gadgets 2025', 'best tech gifts 2025', '2025', 'gifts', 'gifts 2025', 'under 50 dollars', 'gifts on amazon', 'tech gifts 2025', 'Google Pixel 9A', 'Pixel 9A']"/>
    <n v="28"/>
    <x v="0"/>
    <n v="52760"/>
    <n v="638"/>
    <n v="17"/>
    <n v="1.2414708112206217E-2"/>
    <n v="1188"/>
    <s v="Long"/>
  </r>
  <r>
    <s v="QC7H457gouY"/>
    <s v="Technology âŒ Technologia âœ…..."/>
    <s v="technology âŒ Technologia âœ… _x000a_Free fire new tric..."/>
    <s v="2025-06-01T03:29:27Z"/>
    <d v="2025-06-01T00:00:00"/>
    <n v="2025"/>
    <s v="June"/>
    <s v="2025-06"/>
    <n v="55"/>
    <s v="UCGuLe_kKT-j9wtCw5Ttp5pw"/>
    <s v="X SPADE"/>
    <s v="['Technology âŒ Technologia âœ…', 'Free fire new trick ðŸ˜Ž', 'free fire new place', 'new hidden place in br rank', 'new trending video in youtube', 'like target 1000000000 please complete', 'shortsfeed video']"/>
    <n v="20"/>
    <x v="10"/>
    <n v="43508"/>
    <n v="217464.60837887001"/>
    <n v="26"/>
    <n v="4.9988647692118695"/>
    <n v="14"/>
    <s v="Short"/>
  </r>
  <r>
    <s v="kGHetIzO4CM"/>
    <s v="Drone giveaway ðŸ˜±ðŸ”¥#shortv..."/>
    <s v="No description available"/>
    <s v="2025-06-20T11:01:32Z"/>
    <d v="2025-06-20T00:00:00"/>
    <n v="2025"/>
    <s v="June"/>
    <s v="2025-06"/>
    <n v="36"/>
    <s v="UC6aGUUSw66uqr67cTHT7_6g"/>
    <s v="Maskmantoy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4481"/>
    <n v="899"/>
    <n v="362"/>
    <n v="8.7079621573095775E-2"/>
    <n v="43"/>
    <s v="Short"/>
  </r>
  <r>
    <s v="Cek-jl8sxUY"/>
    <s v="#technology #engineering #amaz..."/>
    <s v="Hello Everyone! This is video. I want to show you ..."/>
    <s v="2025-05-24T14:49:42Z"/>
    <d v="2025-05-24T00:00:00"/>
    <n v="2025"/>
    <s v="May"/>
    <s v="2025-05"/>
    <n v="63"/>
    <s v="UCsbc-o8AGM07PjW5A4Rg58g"/>
    <s v="Electric Te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9029"/>
    <n v="97"/>
    <n v="2"/>
    <n v="1.0964669398604496E-2"/>
    <n v="59"/>
    <s v="Short"/>
  </r>
  <r>
    <s v="nViuTcPs7oE"/>
    <s v="PRICE 600 ORDER NOW ðŸ‘†ðŸ‘†ðŸ..."/>
    <s v="No description available"/>
    <s v="2025-05-26T11:38:29Z"/>
    <d v="2025-05-26T00:00:00"/>
    <n v="2025"/>
    <s v="May"/>
    <s v="2025-05"/>
    <n v="61"/>
    <s v="UC1mYZHH0EqtmDtZ4c0U_LNg"/>
    <s v="Mx Mobile"/>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4007"/>
    <n v="217464.60837887001"/>
    <n v="1970.1447811447799"/>
    <n v="54.762853296734406"/>
    <n v="18"/>
    <s v="Short"/>
  </r>
  <r>
    <s v="biAwn7KI2IQ"/>
    <s v="WHAT IS AI ðŸ¤– ?"/>
    <s v="No description available"/>
    <s v="2024-10-23T07:00:02Z"/>
    <d v="2024-10-23T00:00:00"/>
    <n v="2024"/>
    <s v="October"/>
    <s v="2024-10"/>
    <n v="276"/>
    <s v="UCIKlJ-xmsLSSNRjFidOS4Dw"/>
    <s v="ezExplain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327908"/>
    <n v="19296"/>
    <n v="82"/>
    <n v="5.9095843956231624E-2"/>
    <n v="58"/>
    <s v="Short"/>
  </r>
  <r>
    <s v="SrvtYHM_G00"/>
    <s v="22000 mAh battery à¤µà¤¾à¤²à¤¾..."/>
    <s v="22000 mAh battery à¤µà¤¾à¤²à¤¾ à¥žà¥‹à¤¨  ðŸ¤¯! Th..."/>
    <s v="2024-03-18T14:00:20Z"/>
    <d v="2024-03-18T00:00:00"/>
    <n v="2024"/>
    <s v="March"/>
    <s v="2024-03"/>
    <n v="495"/>
    <s v="UCglXlpWjIi95auM3umWWLdw"/>
    <s v="Tech Master Shorts"/>
    <s v="['tech master', 'shorts', 'technology', 'facts', 'amazingtipsandtricks', 'arvind kharra', '22000 mah battery phone', '10000 mah battery phone', 'big battery phone', '22000 mah battery', '22000 mah big battery', 'doogee v max 22000 mah battery', 'best battery phone', '21000 mah battery phone', '22000 mAh smartphone', 'Unihertz Tank', 'Unihertz Tank camera test', 'Unihertz Tank review', 'best rugged phone', 'best rugged phone 2022', 'best rugged phones', 'best rugged phones 2022', 'best rugged smartphone 2022']"/>
    <n v="28"/>
    <x v="0"/>
    <n v="26062005"/>
    <n v="1256104"/>
    <n v="34913"/>
    <n v="4.9536365294995534E-2"/>
    <n v="41"/>
    <s v="Short"/>
  </r>
  <r>
    <s v="IDXkR8TH3x8"/>
    <s v="jio f220b audio ic bypass jump..."/>
    <s v="No description available"/>
    <s v="2025-06-18T15:27:00Z"/>
    <d v="2025-06-18T00:00:00"/>
    <n v="2025"/>
    <s v="June"/>
    <s v="2025-06"/>
    <n v="38"/>
    <s v="UCVLaRbKaPFM29W91sHhGtqQ"/>
    <s v="DKP REPAI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134"/>
    <n v="258"/>
    <n v="5"/>
    <n v="2.8793518721261221E-2"/>
    <n v="56"/>
    <s v="Short"/>
  </r>
  <r>
    <s v="4fSLrhuqlr4"/>
    <s v="âš¡ï¸USB Fingerprint Reader -..."/>
    <s v="USB Fingerprint Reader - https://simpleghar.oia.bi..."/>
    <s v="2024-04-03T12:37:51Z"/>
    <d v="2024-04-03T00:00:00"/>
    <n v="2024"/>
    <s v="April"/>
    <s v="2024-04"/>
    <n v="479"/>
    <s v="UC85MIJMcZNnhxx84BZMlJgg"/>
    <s v="SimpleGhar Telugu"/>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3903145"/>
    <n v="458553"/>
    <n v="315"/>
    <n v="1.9196971779236582E-2"/>
    <n v="41"/>
    <s v="Short"/>
  </r>
  <r>
    <s v="uLNnz3T8g34"/>
    <s v="China ki drone technology shor..."/>
    <s v="China ki drone technology short video #china #dron..."/>
    <s v="2025-01-07T10:17:21Z"/>
    <d v="2025-01-07T00:00:00"/>
    <n v="2025"/>
    <s v="January"/>
    <s v="2025-01"/>
    <n v="200"/>
    <s v="UC2Dz_VQ7asHD0NxfgSkb8nw"/>
    <s v="it's fact field "/>
    <s v="['China ki drone technology short video', 'China ki technology short video', 'China mein drone se samaan export hota hai', 'China ki drone harvesting short video', 'Drone se fire ko bujhana short video', 'China ka drone short video', 'China india se kitne years aage hai', 'China india se kitna develop hai']"/>
    <n v="24"/>
    <x v="3"/>
    <n v="843703"/>
    <n v="7197"/>
    <n v="32"/>
    <n v="8.5681809831184667E-3"/>
    <n v="27"/>
    <s v="Short"/>
  </r>
  <r>
    <s v="tsfSwcl7mV0"/>
    <s v="Trick and Tools ðŸ”¥ðŸ’¯ #karm..."/>
    <s v="Trick and Tools ðŸ”¥ðŸ’¯ #karmanwalavoice #tricks ..."/>
    <s v="2025-06-19T16:43:48Z"/>
    <d v="2025-06-19T00:00:00"/>
    <n v="2025"/>
    <s v="June"/>
    <s v="2025-06"/>
    <n v="37"/>
    <s v="UCQ42svzl9N_9kW2IxCWnJgQ"/>
    <s v="Karmanwala Voice"/>
    <s v="['short videos', 'shorts', 'trick', 'tips', 'technically', 'viral video']"/>
    <n v="10"/>
    <x v="5"/>
    <n v="18562"/>
    <n v="235"/>
    <n v="0"/>
    <n v="1.2660273677405453E-2"/>
    <n v="60"/>
    <s v="Short"/>
  </r>
  <r>
    <s v="njF0I_dwLGk"/>
    <s v="Real Life WORKING Iron Man Hel..."/>
    <s v="No description available"/>
    <s v="2023-08-18T15:25:45Z"/>
    <d v="2023-08-18T00:00:00"/>
    <n v="2023"/>
    <s v="August"/>
    <s v="2023-08"/>
    <n v="708"/>
    <s v="UCsa7w3Kjl8CAbHPVoVQ903Q"/>
    <s v="TechBro"/>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3594615"/>
    <n v="1172467"/>
    <n v="2259"/>
    <n v="4.9787885922275059E-2"/>
    <n v="56"/>
    <s v="Short"/>
  </r>
  <r>
    <s v="ZLm-j4LpPPE"/>
    <s v="New technology ðŸ˜±ðŸ’¯"/>
    <s v="New technology ðŸ˜±ðŸ’¯_x000a__x000a__x000a__x000a_#shorts #sigma #viralvi..."/>
    <s v="2025-06-20T03:42:23Z"/>
    <d v="2025-06-20T00:00:00"/>
    <n v="2025"/>
    <s v="June"/>
    <s v="2025-06"/>
    <n v="36"/>
    <s v="UCRH-AyRxYxGHkZM0fMS6pbQ"/>
    <s v="Respect Shortaz"/>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5439"/>
    <n v="217464.60837887001"/>
    <n v="0"/>
    <n v="39.982461551548077"/>
    <n v="23"/>
    <s v="Short"/>
  </r>
  <r>
    <s v="vX9H1oHIB1s"/>
    <s v="Humanoid robots work in factor..."/>
    <s v="Check out these cutting-edge humanoid robots devel..."/>
    <s v="2024-06-18T11:03:08Z"/>
    <d v="2024-06-18T00:00:00"/>
    <n v="2024"/>
    <s v="June"/>
    <s v="2024-06"/>
    <n v="403"/>
    <s v="UCHBDXQDmqnaqIEPdEapEFVQ"/>
    <s v="New China TV"/>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292742"/>
    <n v="3238"/>
    <n v="210"/>
    <n v="1.1778289415253022E-2"/>
    <n v="15"/>
    <s v="Short"/>
  </r>
  <r>
    <s v="Fj8bhXHnv9A"/>
    <s v="how to change ordinary lights ..."/>
    <s v="how to change ordinary lights into dimming lights ..."/>
    <s v="2025-06-14T13:06:29Z"/>
    <d v="2025-06-14T00:00:00"/>
    <n v="2025"/>
    <s v="June"/>
    <s v="2025-06"/>
    <n v="42"/>
    <s v="UCCVwh-Am8U1glUmo-2GC7KQ"/>
    <s v="Brilliant minds "/>
    <s v="['tecnology']"/>
    <n v="28"/>
    <x v="0"/>
    <n v="32737"/>
    <n v="452"/>
    <n v="2"/>
    <n v="1.3868100314628708E-2"/>
    <n v="24"/>
    <s v="Short"/>
  </r>
  <r>
    <s v="p5w0LklR0B4"/>
    <s v="Google Keep Tricks You Wish Yo..."/>
    <s v="Youâ€™re using Google Keep just for simple notes? ..."/>
    <s v="2025-06-18T10:30:38Z"/>
    <d v="2025-06-18T00:00:00"/>
    <n v="2025"/>
    <s v="June"/>
    <s v="2025-06"/>
    <n v="38"/>
    <s v="UCW2s_zlmBQ0l848Y6wmOiag"/>
    <s v="Techlusive"/>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164"/>
    <n v="426"/>
    <n v="2"/>
    <n v="4.6704495853339155E-2"/>
    <n v="59"/>
    <s v="Short"/>
  </r>
  <r>
    <s v="YIpMApW9Q_o"/>
    <s v="What is a diode? #technology #..."/>
    <s v="No description available"/>
    <s v="2023-08-31T13:30:30Z"/>
    <d v="2023-08-31T00:00:00"/>
    <n v="2023"/>
    <s v="August"/>
    <s v="2023-08"/>
    <n v="695"/>
    <s v="UCk0fGHsCEzGig-rSzkfCjMw"/>
    <s v="The Engineering Mindse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3648455"/>
    <n v="210341"/>
    <n v="785"/>
    <n v="5.7867234212838035E-2"/>
    <n v="44"/>
    <s v="Short"/>
  </r>
  <r>
    <s v="W0qyTGt07XE"/>
    <s v="Homemade trick to clean millet..."/>
    <s v="Homemade trick to clean milletðŸ˜¯ #technology #mi..."/>
    <s v="2024-09-29T07:52:23Z"/>
    <d v="2024-09-29T00:00:00"/>
    <n v="2024"/>
    <s v="September"/>
    <s v="2024-09"/>
    <n v="300"/>
    <s v="UCS6-5eBZmPcyKA64d7stkGA"/>
    <s v="HS Shorts "/>
    <s v="['technology', 'farming', 'millet', 'agriculture', 'viral shorts', 'machine', 'bajra', 'crop', 'china farming', 'Desi jugaad']"/>
    <n v="27"/>
    <x v="2"/>
    <n v="14158160"/>
    <n v="217464.60837887001"/>
    <n v="52"/>
    <n v="1.536333876569201E-2"/>
    <n v="15"/>
    <s v="Short"/>
  </r>
  <r>
    <s v="VE-lb1X92cw"/>
    <s v="Future of AI: Robots Giving Bi..."/>
    <s v="Can robots really give birth? ðŸ¤” In this futuris..."/>
    <s v="2025-03-19T11:01:40Z"/>
    <d v="2025-03-19T00:00:00"/>
    <n v="2025"/>
    <s v="March"/>
    <s v="2025-03"/>
    <n v="129"/>
    <s v="UCkUDHpSP0xouVm5QNSJy9ew"/>
    <s v="Future Ai Robo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4510330"/>
    <n v="144821"/>
    <n v="812"/>
    <n v="3.271892165256919E-3"/>
    <n v="8"/>
    <s v="Short"/>
  </r>
  <r>
    <s v="Xs-0NOe2ft0"/>
    <s v="The Evolution of Technology: A..."/>
    <s v="Explore how technology has transformed over genera..."/>
    <s v="2024-09-04T23:30:06Z"/>
    <d v="2024-09-04T00:00:00"/>
    <n v="2024"/>
    <s v="September"/>
    <s v="2024-09"/>
    <n v="325"/>
    <s v="UCejUC-szNB74PmyTfbnsF7w"/>
    <s v="Making Mastery"/>
    <s v="['evolution of toyota rav4: journey through generati', 'generation of computer', 'generations of computer', 'technology', 'how many generations of computer', 'technology evolution', 'gaming technology evolution', '1st generation of computer', 'evolution of rav4', 'evolution of iphone 2017', 'evolution of iphone 2018', 'third generation of computer', 'generations of computers', 'evolution of computer', 'evolution of pc', 'evolution of redmi note series', 'evolution of iphone 2007 - 2018']"/>
    <n v="27"/>
    <x v="2"/>
    <n v="1249"/>
    <n v="23"/>
    <n v="1"/>
    <n v="1.9215372297838269E-2"/>
    <n v="45"/>
    <s v="Short"/>
  </r>
  <r>
    <s v="mvR_X93S_Yk"/>
    <s v="mini portable fan #tech #anite..."/>
    <s v="#gadjets_x000a_#tech_x000a_#anitech_x000a_#technology"/>
    <s v="2025-06-14T12:02:36Z"/>
    <d v="2025-06-14T00:00:00"/>
    <n v="2025"/>
    <s v="June"/>
    <s v="2025-06"/>
    <n v="42"/>
    <s v="UChNDZkwOHEYwm5uVycADEdQ"/>
    <s v="ANI TE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64733"/>
    <n v="173"/>
    <n v="0"/>
    <n v="2.6725163363354085E-3"/>
    <n v="10"/>
    <s v="Short"/>
  </r>
  <r>
    <s v="1RO1BzhzN4M"/>
    <s v="technologyðŸ˜ #freefire #funn..."/>
    <s v="No description available"/>
    <s v="2025-05-02T17:23:35Z"/>
    <d v="2025-05-02T00:00:00"/>
    <n v="2025"/>
    <s v="May"/>
    <s v="2025-05"/>
    <n v="85"/>
    <s v="UCCvHbZc83KCQW0U_NGdNjuQ"/>
    <s v="desi Dilip gaming  FF"/>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984172"/>
    <n v="7121"/>
    <n v="16"/>
    <n v="7.2517811927183462E-3"/>
    <n v="10"/>
    <s v="Short"/>
  </r>
  <r>
    <s v="yf4UxBD5LrI"/>
    <s v="Will FUTURE Technology Make Us..."/>
    <s v="No description available"/>
    <s v="2025-06-14T22:44:27Z"/>
    <d v="2025-06-14T00:00:00"/>
    <n v="2025"/>
    <s v="June"/>
    <s v="2025-06"/>
    <n v="42"/>
    <s v="UCBdAR7RGd5JuivKZtToGlZg"/>
    <s v="Carlos Reig"/>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743578"/>
    <n v="20716"/>
    <n v="13"/>
    <n v="4.3699081157725249E-3"/>
    <n v="15"/>
    <s v="Short"/>
  </r>
  <r>
    <s v="UFwbBBqWqsU"/>
    <s v="Worldâ€™s smallest 4K headset ..."/>
    <s v="Visor is the world's smallest 4K headset. Spawn fi..."/>
    <s v="2024-02-27T15:52:55Z"/>
    <d v="2024-02-27T00:00:00"/>
    <n v="2024"/>
    <s v="February"/>
    <s v="2024-02"/>
    <n v="515"/>
    <s v="UCGmuLwV0XD_uqL4wKZg4hgA"/>
    <s v="Immerse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8819965"/>
    <n v="1181196"/>
    <n v="1229"/>
    <n v="1.5001592553358783E-2"/>
    <n v="17"/>
    <s v="Short"/>
  </r>
  <r>
    <s v="jyJfC1C3jJI"/>
    <s v="300 â‚¹ vs 30000 â‚¹ Smart A.I..."/>
    <s v="No description available"/>
    <s v="2023-09-01T11:09:22Z"/>
    <d v="2023-09-01T00:00:00"/>
    <n v="2023"/>
    <s v="September"/>
    <s v="2023-09"/>
    <n v="694"/>
    <s v="UCsa7w3Kjl8CAbHPVoVQ903Q"/>
    <s v="TechBro"/>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0581042"/>
    <n v="2466928"/>
    <n v="4655"/>
    <n v="4.0797961183962471E-2"/>
    <n v="56"/>
    <s v="Short"/>
  </r>
  <r>
    <s v="6CgINNm-zyE"/>
    <s v="TECHNOLOGIA FULL VIDEO 2025//S..."/>
    <s v="TECHNOLOGIA FULL VIDEO 2025//SINGER AVINASH NAYAK/..."/>
    <s v="2025-05-10T00:30:11Z"/>
    <d v="2025-05-10T00:00:00"/>
    <n v="2025"/>
    <s v="May"/>
    <s v="2025-05"/>
    <n v="77"/>
    <s v="UCq6WGTBoS9TCsmJ2WM1mNaw"/>
    <s v="DDR CREW"/>
    <s v="['suman gupta', 'ignesh kumar', 'ddr crew', 'Kumar Satish New Nagpuri song', 'singer avinash nayak and anita bara', 'nagpuri hd video 2024', 'nagpuri hd video 2025', 'kon colour ki saree pahni ho singer nitesh kachhap', 'thar me ghumabu singer nitesh kachhap and chinta devi', 'meakup wali singer kumar satish', 'bijuriya singer avinash nayak and divya rani', 'ludu budu sag singer kumar satish', 'nagpuri song 2024', 'technologia full video 2025 singer avinash nayak']"/>
    <n v="24"/>
    <x v="3"/>
    <n v="5475121"/>
    <n v="61780"/>
    <n v="1286"/>
    <n v="1.1518649542174502E-2"/>
    <n v="268"/>
    <s v="Long"/>
  </r>
  <r>
    <s v="6mz2p6feGvc"/>
    <s v="à¤œà¤¾à¤ªà¤¾à¤¨ à¤Ÿà¥‡à¤•à¥à¤..."/>
    <s v="in this video you will Explore the cutting-edge ad..."/>
    <s v="2023-12-13T13:30:02Z"/>
    <d v="2023-12-13T00:00:00"/>
    <n v="2023"/>
    <s v="December"/>
    <s v="2023-12"/>
    <n v="591"/>
    <s v="UCzuZiFB6aO2XSLqd6GS1RdQ"/>
    <s v="The Knowledge Factory "/>
    <s v="['India vs Japan technology', 'Japan facts', 'car parking Japan', 'hydraulic car parking', 'train technology', 'Japan technology', 'Indian technology', 'India vs Japan tech competition', 'Japan advancements in Hindi']"/>
    <n v="27"/>
    <x v="2"/>
    <n v="127859"/>
    <n v="2306"/>
    <n v="6"/>
    <n v="1.8082418914585598E-2"/>
    <n v="29"/>
    <s v="Short"/>
  </r>
  <r>
    <s v="WUaSvnLpgY0"/>
    <s v="Chinese Technology ðŸ™‰ AdvikJ..."/>
    <s v="Instagram : AdvikJourney _x000a_Follow For more videos â..."/>
    <s v="2024-10-08T13:21:04Z"/>
    <d v="2024-10-08T00:00:00"/>
    <n v="2024"/>
    <s v="October"/>
    <s v="2024-10"/>
    <n v="291"/>
    <s v="UCVktkp1b1NLkdfjdZIBjIoA"/>
    <s v="AdvikJourney"/>
    <s v="['China', 'Wuhan', 'Technology', 'Shorts', 'Ytshorts', 'Viral video', 'Videos', 'China shorts', 'Ytshort', 'Short', 'China technology', 'Viral shorts', 'Insta Reels', 'Funny shorts', 'Indian in china', 'China vlogs', 'China hindi vlogs', 'Student life in china', 'China facts', 'Technology shorts', 'Chinese technology', 'Tech products', 'Funny video', 'China hindi vlog', 'Indian to china', 'Travel vlogs china', 'Lifestyle vlogs', 'Trends', 'Trending shorts', 'China funny video', 'Indian travel vlogger']"/>
    <n v="22"/>
    <x v="6"/>
    <n v="3007853"/>
    <n v="65075"/>
    <n v="204"/>
    <n v="2.1702855824403653E-2"/>
    <n v="10"/>
    <s v="Short"/>
  </r>
  <r>
    <s v="WxluSDC2ysE"/>
    <s v="Technology Meme | By Original ..."/>
    <s v="Technology Meme Funny jokes funny video Original V..."/>
    <s v="2025-05-29T03:55:53Z"/>
    <d v="2025-05-29T00:00:00"/>
    <n v="2025"/>
    <s v="May"/>
    <s v="2025-05"/>
    <n v="58"/>
    <s v="UCoflJIrme3fQltSEh0EdeLg"/>
    <s v="Speeches kairaliya"/>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4001755"/>
    <n v="62505"/>
    <n v="294"/>
    <n v="1.5692864755588485E-2"/>
    <n v="16"/>
    <s v="Short"/>
  </r>
  <r>
    <s v="VuG4BcghOSg"/>
    <s v="I bought the BIGGEST Tech in t..."/>
    <s v="Buying the BIGGEST smartphones, gadgets, iPhones, ..."/>
    <s v="2021-12-04T16:18:16Z"/>
    <d v="2021-12-04T00:00:00"/>
    <n v="2021"/>
    <s v="December"/>
    <s v="2021-12"/>
    <n v="1330"/>
    <s v="UCMiJRAwDNSNzuYeN2uWa0pA"/>
    <s v="Mrwhosethebos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9951447"/>
    <n v="451980"/>
    <n v="20106"/>
    <n v="2.366174242900778E-2"/>
    <n v="1153"/>
    <s v="Long"/>
  </r>
  <r>
    <s v="VTIkbboq3BQ"/>
    <s v="Technology or Nature ðŸ¤« Watc..."/>
    <s v="A swirling vortex pulls a bottle through a drain a..."/>
    <s v="2025-06-06T04:05:16Z"/>
    <d v="2025-06-06T00:00:00"/>
    <n v="2025"/>
    <s v="June"/>
    <s v="2025-06"/>
    <n v="50"/>
    <s v="UCEV-89cFprOKSNyaz7BhoIg"/>
    <s v="RA SHORTS BD"/>
    <s v="['#Technology', '#ScienceTrick', '#WaterVortex', '#DrainPhysics', '#SatisfyingVideo', '#Shorts', '#PhysicsHack', '#NatureVsTech', '#AmazingScience', '#BottleFlipGoneRight']"/>
    <n v="22"/>
    <x v="6"/>
    <n v="146570"/>
    <n v="560"/>
    <n v="5"/>
    <n v="3.8548133997407382E-3"/>
    <n v="12"/>
    <s v="Short"/>
  </r>
  <r>
    <s v="3hZgY0ha6gU"/>
    <s v="I Tested Secret Technology"/>
    <s v="Not sure how legal some of these are lol_x000a__x000a_Become a..."/>
    <s v="2025-05-22T23:00:09Z"/>
    <d v="2025-05-22T00:00:00"/>
    <n v="2025"/>
    <s v="May"/>
    <s v="2025-05"/>
    <n v="65"/>
    <s v="UCWBWgCD4oAqT3hUeq40SCUw"/>
    <s v="Sambucha"/>
    <s v="['sambucha', 'sambuca', 'technology', 'tech', 'secret', 'government', 'FBI', 'education']"/>
    <n v="24"/>
    <x v="3"/>
    <n v="1087696"/>
    <n v="21642"/>
    <n v="2403"/>
    <n v="2.2106360600756093E-2"/>
    <n v="1245"/>
    <s v="Long"/>
  </r>
  <r>
    <s v="0njeBK53wwc"/>
    <s v="Technologia free fireðŸ¤£ #tec..."/>
    <s v="Technologia free fireðŸ¤£ #technology #freefire #m..."/>
    <s v="2025-04-27T05:04:00Z"/>
    <d v="2025-04-27T00:00:00"/>
    <n v="2025"/>
    <s v="April"/>
    <s v="2025-04"/>
    <n v="90"/>
    <s v="UCy9bz9gV_Qo0PD0dSDKEP7A"/>
    <s v="Govind111 Y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339484"/>
    <n v="2223"/>
    <n v="25"/>
    <n v="6.6218142828528004E-3"/>
    <n v="7"/>
    <s v="Short"/>
  </r>
  <r>
    <s v="qVnPEJb7YMc"/>
    <s v="Budget Gaming PC build (fail) ..."/>
    <s v="This budget Gaming PC is my customers very first c..."/>
    <s v="2024-03-24T02:08:18Z"/>
    <d v="2024-03-24T00:00:00"/>
    <n v="2024"/>
    <s v="March"/>
    <s v="2024-03"/>
    <n v="489"/>
    <s v="UCClfFsWcT3N2I7VTXXyt84A"/>
    <s v="Salem Techspe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6261022"/>
    <n v="445870"/>
    <n v="2741"/>
    <n v="7.1651401320742839E-2"/>
    <n v="61"/>
    <s v="Long"/>
  </r>
  <r>
    <s v="6VoGivV6M9Q"/>
    <s v="technology technology ðŸ˜œðŸ˜‚..."/>
    <s v="technology technology ðŸ˜œðŸ˜‚ #comedy #shorts #sh..."/>
    <s v="2025-04-01T12:04:55Z"/>
    <d v="2025-04-01T00:00:00"/>
    <n v="2025"/>
    <s v="April"/>
    <s v="2025-04"/>
    <n v="116"/>
    <s v="UC7_i0PTN3xVmwmaKBuaNQMg"/>
    <s v="The crazy comedy"/>
    <s v="['shorts', 'shorts feed', 'trending shorts', 'viral videos', 'viral shorts', 'trending video', 'comedy', 'comedy video', 'comedy shorts', 'ajit', 'ajit shorts', 'Ajit video', 'the crazy comedy', 'video', 'social media', 'social marketing', 'network marketing', 'youtube']"/>
    <n v="23"/>
    <x v="7"/>
    <n v="156792"/>
    <n v="217464.60837887001"/>
    <n v="20"/>
    <n v="1.3870899559854457"/>
    <n v="43"/>
    <s v="Short"/>
  </r>
  <r>
    <s v="i5R1Yxh0Kc8"/>
    <s v="Amazing Power Full Tractor Wor..."/>
    <s v="No description available"/>
    <s v="2025-06-16T05:45:02Z"/>
    <d v="2025-06-16T00:00:00"/>
    <n v="2025"/>
    <s v="June"/>
    <s v="2025-06"/>
    <n v="40"/>
    <s v="UCrLeNvwFO5Xcvk6Q7BuuP_A"/>
    <s v="Technology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49056"/>
    <n v="2435"/>
    <n v="2"/>
    <n v="3.7546837252871862E-3"/>
    <n v="6"/>
    <s v="Short"/>
  </r>
  <r>
    <s v="f9Doan3zDKA"/>
    <s v="Technology âŽ Technologia âœ…..."/>
    <s v="Technology âŽ Technologia âœ… #shorts #memes #fun..."/>
    <s v="2024-12-28T12:00:53Z"/>
    <d v="2024-12-28T00:00:00"/>
    <n v="2024"/>
    <s v="December"/>
    <s v="2024-12"/>
    <n v="210"/>
    <s v="UCnqvoLwsaPiLbSAUusADdcw"/>
    <s v="AInfoClip"/>
    <s v="['funny memes', 'memes', 'shorts', 'viral memes', 'best memes', 'trending memes', 'technology memes', 'dank memes', 'funny memes reaction', 'unusual memes', 'viral funny memes video', 'memes video', 'funny comedy memes video', 'funny tech memes', 'viral shorts', 'hilarious memes', 'omg funny memes', 'school memes', 'funny short video', 'viralmeme', 'new funny short video', 'gym shorts', 'memes reaction', 'short', 'memes compilation']"/>
    <n v="22"/>
    <x v="6"/>
    <n v="2707209"/>
    <n v="74116"/>
    <n v="714"/>
    <n v="2.7641013309279039E-2"/>
    <n v="13"/>
    <s v="Short"/>
  </r>
  <r>
    <s v="YUvf1OILS1I"/>
    <s v="WWDC 2025 - Rating every new A..."/>
    <s v="My review of WWDC 2025! All the updates coming to ..."/>
    <s v="2025-06-10T03:31:02Z"/>
    <d v="2025-06-10T00:00:00"/>
    <n v="2025"/>
    <s v="June"/>
    <s v="2025-06"/>
    <n v="46"/>
    <s v="UCMiJRAwDNSNzuYeN2uWa0pA"/>
    <s v="Mrwhosetheboss"/>
    <s v="['wwdc', 'wwdc 25', 'wwdc 2025', 'ios 26', 'iphone', 'apple', 'mac os', 'ios', 'mac os 26']"/>
    <n v="28"/>
    <x v="0"/>
    <n v="2359964"/>
    <n v="76764"/>
    <n v="4946"/>
    <n v="3.4623409509636591E-2"/>
    <n v="1002"/>
    <s v="Long"/>
  </r>
  <r>
    <e v="#NAME?"/>
    <s v="Why You Shouldn't Cook on a We..."/>
    <s v="This video explains why certain stones can crack o..."/>
    <s v="2025-06-19T13:51:13Z"/>
    <d v="2025-06-19T00:00:00"/>
    <n v="2025"/>
    <s v="June"/>
    <s v="2025-06"/>
    <n v="37"/>
    <s v="UCJAliJPtOljSberbNEnUF5A"/>
    <s v="QuickTechNow"/>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2968"/>
    <n v="345"/>
    <n v="0"/>
    <n v="1.0464693035670953E-2"/>
    <n v="24"/>
    <s v="Short"/>
  </r>
  <r>
    <s v="hz6oys4Eem4"/>
    <s v="Apple's AI Crisis: Explained!"/>
    <s v="Apple Intelligence Delays are either no big deal o..."/>
    <s v="2025-03-29T02:41:29Z"/>
    <d v="2025-03-29T00:00:00"/>
    <n v="2025"/>
    <s v="March"/>
    <s v="2025-03"/>
    <n v="119"/>
    <s v="UCBJycsmduvYEL83R_U4JriQ"/>
    <s v="Marques Brownlee"/>
    <s v="['Apple AI', 'Apple Intelligence', 'MKBHD']"/>
    <n v="28"/>
    <x v="0"/>
    <n v="7339248"/>
    <n v="194778"/>
    <n v="14438"/>
    <n v="2.8506462787468143E-2"/>
    <n v="1012"/>
    <s v="Long"/>
  </r>
  <r>
    <s v="9JCsox7C7ew"/>
    <s v="Electric Crossing Gate â€¢ Dc ..."/>
    <s v="Electric Crossing Gate â€¢ Dc Motor | #tech #short..."/>
    <s v="2025-01-25T04:40:09Z"/>
    <d v="2025-01-25T00:00:00"/>
    <n v="2025"/>
    <s v="January"/>
    <s v="2025-01"/>
    <n v="182"/>
    <s v="UCWOWcJqL16b5ZK0bU-mO20A"/>
    <s v="Digital Smart Idea"/>
    <s v="['dc motor project', 'dc motor project easy', 'dc motor project free energy', 'Electric Crossing Gate', 'Dc Motor', 'shorts video', 'dc motor project shorts', 'dc motor project ideas']"/>
    <n v="28"/>
    <x v="0"/>
    <n v="20936016"/>
    <n v="217464.60837887001"/>
    <n v="24"/>
    <n v="1.0388251918553654E-2"/>
    <n v="6"/>
    <s v="Short"/>
  </r>
  <r>
    <s v="07OQ1uQ4-do"/>
    <s v="Apple Vision Pro à¤¸à¤¬à¤¸à¥‡ ..."/>
    <s v="Apple Vision Pro à¤¸à¤¬à¤¸à¥‡ à¤®à¤¹à¤‚à¤—à¤¾ à¤šà..."/>
    <s v="2024-02-07T13:00:00Z"/>
    <d v="2024-02-07T00:00:00"/>
    <n v="2024"/>
    <s v="February"/>
    <s v="2024-02"/>
    <n v="535"/>
    <s v="UCglXlpWjIi95auM3umWWLdw"/>
    <s v="Tech Master Shorts"/>
    <s v="['tech master', 'shorts', 'technology', 'apple', 'visionpro', 'expensivegadget', 'new apple product', 'trending gadget', 'dubai', 'unboxing', 'fun tech', 'visionpro2024', 'apple product']"/>
    <n v="28"/>
    <x v="0"/>
    <n v="4473021"/>
    <n v="257456"/>
    <n v="406"/>
    <n v="5.764828736551874E-2"/>
    <n v="51"/>
    <s v="Short"/>
  </r>
  <r>
    <s v="doJMDPCyl7A"/>
    <s v="respect ðŸ˜±ðŸ”¥ I non stop cy..."/>
    <s v="No description available"/>
    <s v="2024-04-13T13:47:23Z"/>
    <d v="2024-04-13T00:00:00"/>
    <n v="2024"/>
    <s v="April"/>
    <s v="2024-04"/>
    <n v="469"/>
    <s v="UCB2VRihXTrkzL5ifI1BlPVw"/>
    <s v="Rishiexperiment_18"/>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8700120"/>
    <n v="217464.60837887001"/>
    <n v="1460"/>
    <n v="7.6280032410620587E-3"/>
    <n v="14"/>
    <s v="Short"/>
  </r>
  <r>
    <s v="ucbgAS-M-A8"/>
    <s v="Museum Exhibit Reveals Enginee..."/>
    <s v="Explore the fascinating world of engineering and m..."/>
    <s v="2025-06-20T22:51:57Z"/>
    <d v="2025-06-20T00:00:00"/>
    <n v="2025"/>
    <s v="June"/>
    <s v="2025-06"/>
    <n v="36"/>
    <s v="UC-4Jx7yjLemePx2JFN9UbyA"/>
    <s v="IoT Forge"/>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76"/>
    <n v="2"/>
    <n v="0"/>
    <n v="4.2016806722689074E-3"/>
    <n v="20"/>
    <s v="Short"/>
  </r>
  <r>
    <s v="6bSXorhy_eQ"/>
    <s v="unknown planet ðŸ˜² 3d Special..."/>
    <s v="No description available"/>
    <s v="2022-08-15T01:22:05Z"/>
    <d v="2022-08-15T00:00:00"/>
    <n v="2022"/>
    <s v="August"/>
    <s v="2022-08"/>
    <n v="1076"/>
    <s v="UCOvOXLATfCrOJmAYaO4mRBA"/>
    <s v="VFX H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
    <x v="11"/>
    <n v="4006570"/>
    <n v="45260"/>
    <n v="184"/>
    <n v="1.13423701570171E-2"/>
    <n v="12"/>
    <s v="Short"/>
  </r>
  <r>
    <s v="yJSrX1uOjxs"/>
    <s v="This Breakthrough Technology W..."/>
    <s v="ðŸ‘‰ Grab your free seat to the 2-Day AI Mastermin..."/>
    <s v="2025-06-12T16:36:41Z"/>
    <d v="2025-06-12T00:00:00"/>
    <n v="2025"/>
    <s v="June"/>
    <s v="2025-06"/>
    <n v="44"/>
    <s v="UCORX3Cl7ByidjEgzSCgv9Yw"/>
    <s v="Anastasi In Tech"/>
    <s v="['graphene', 'new graphene chip', 'light based chip', 'photonic chip', 'processor', 'new computer']"/>
    <n v="27"/>
    <x v="2"/>
    <n v="287788"/>
    <n v="16726"/>
    <n v="887"/>
    <n v="6.1201300957649384E-2"/>
    <n v="1158"/>
    <s v="Long"/>
  </r>
  <r>
    <s v="qndVx4jOxz8"/>
    <s v="Robots New Technology #robots ..."/>
    <s v="Robots New Technology #robots #shorts #science_x000a__x000a__x000a_&quot;..."/>
    <s v="2025-01-28T13:01:12Z"/>
    <d v="2025-01-28T00:00:00"/>
    <n v="2025"/>
    <s v="January"/>
    <s v="2025-01"/>
    <n v="179"/>
    <s v="UCiMCEBZ4QMZlFcSULgrJ9vg"/>
    <s v="it's robots "/>
    <s v="['#robots', '#shorts', '#science']"/>
    <n v="28"/>
    <x v="0"/>
    <n v="3245054"/>
    <n v="217464.60837887001"/>
    <n v="498"/>
    <n v="6.716763677241426E-2"/>
    <n v="9"/>
    <s v="Short"/>
  </r>
  <r>
    <s v="b2_rzbGibpo"/>
    <s v="â‚¹4000000 à¤•à¤¾ Apple Vs Sup..."/>
    <s v="2000rs. Apple cloth vs 100rs. super clean jelly co..."/>
    <s v="2024-03-12T14:15:02Z"/>
    <d v="2024-03-12T00:00:00"/>
    <n v="2024"/>
    <s v="March"/>
    <s v="2024-03"/>
    <n v="501"/>
    <s v="UCglXlpWjIi95auM3umWWLdw"/>
    <s v="Tech Master Shorts"/>
    <s v="['youtube shorts', 'youtube shorts video', 'best shorts', '#shorts', 'shorts', 'apple iphone #shorts', 'apple #shorts', 'dance short video', 'super cleaner', 'gadgets #short', 'shorts video', 'comparison', 'smartphone short video']"/>
    <n v="28"/>
    <x v="0"/>
    <n v="17888444"/>
    <n v="709022"/>
    <n v="5800"/>
    <n v="3.9959987576336994E-2"/>
    <n v="58"/>
    <s v="Short"/>
  </r>
  <r>
    <s v="hUbKhUBs6XI"/>
    <s v="The mechanical switch is dead."/>
    <s v="Check prices on Amazon below_x000a_Monsgeek FUN60 TMR: h..."/>
    <s v="2025-06-14T12:52:12Z"/>
    <d v="2025-06-14T00:00:00"/>
    <n v="2025"/>
    <s v="June"/>
    <s v="2025-06"/>
    <n v="42"/>
    <s v="UCRYOj4DmyxhBVrdvbsUwmAA"/>
    <s v="optimum"/>
    <s v="['hall effect keyboard', 'best gaming keyboard', 'wooting', 'wooting 60HE', 'rapid trigger keyboard', 'optimum tech', 'optimum keyboard', 'razer vs wooting', 'snap tap', 'best keyboard for valorant']"/>
    <n v="28"/>
    <x v="0"/>
    <n v="419707"/>
    <n v="19816"/>
    <n v="2192"/>
    <n v="5.2436580757528467E-2"/>
    <n v="880"/>
    <s v="Long"/>
  </r>
  <r>
    <s v="9_wcmArr_u0"/>
    <s v="nokia type c jack replace tips..."/>
    <s v="No description available"/>
    <s v="2025-06-13T15:27:01Z"/>
    <d v="2025-06-13T00:00:00"/>
    <n v="2025"/>
    <s v="June"/>
    <s v="2025-06"/>
    <n v="43"/>
    <s v="UCVLaRbKaPFM29W91sHhGtqQ"/>
    <s v="DKP REPAI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1724"/>
    <n v="377"/>
    <n v="4"/>
    <n v="1.7538206591787883E-2"/>
    <n v="58"/>
    <s v="Short"/>
  </r>
  <r>
    <s v="_qSmAtGPmrE"/>
    <s v="Sim Connector Repair Tips #sho..."/>
    <s v="No description available"/>
    <s v="2025-06-19T15:27:00Z"/>
    <d v="2025-06-19T00:00:00"/>
    <n v="2025"/>
    <s v="June"/>
    <s v="2025-06"/>
    <n v="37"/>
    <s v="UCVLaRbKaPFM29W91sHhGtqQ"/>
    <s v="DKP REPAI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1342"/>
    <n v="282"/>
    <n v="3"/>
    <n v="2.5127843413859988E-2"/>
    <n v="56"/>
    <s v="Short"/>
  </r>
  <r>
    <s v="WTu9d5abQFI"/>
    <s v="Chinaâ€™s military unveils rob..."/>
    <s v="China has showcased its latest military weapon: ri..."/>
    <s v="2024-06-06T19:04:46Z"/>
    <d v="2024-06-06T00:00:00"/>
    <n v="2024"/>
    <s v="June"/>
    <s v="2024-06"/>
    <n v="415"/>
    <s v="UC04KsGq3npibMCE9Td3mVDg"/>
    <s v="Cheddar"/>
    <s v="['Cheddar']"/>
    <n v="25"/>
    <x v="1"/>
    <n v="1588183"/>
    <n v="24567"/>
    <n v="1562"/>
    <n v="1.6452134294347692E-2"/>
    <n v="20"/>
    <s v="Short"/>
  </r>
  <r>
    <s v="0zjIQhmPJMA"/>
    <s v="4 School Students GadgetsðŸ¤© ..."/>
    <s v="SUBSCRIBE THE CHANNEL FOR MORE VIDEOS_x000a__x000a_ DON'T FORG..."/>
    <s v="2024-09-23T13:30:02Z"/>
    <d v="2024-09-23T00:00:00"/>
    <n v="2024"/>
    <s v="September"/>
    <s v="2024-09"/>
    <n v="306"/>
    <s v="UCglXlpWjIi95auM3umWWLdw"/>
    <s v="Tech Master Shorts"/>
    <s v="['tech master', 'shorts', 'technology', 'facts', 'amazingtipsandtricks', 'arvind kharra', 'gadgets', 'cool gadgets', 'gadgets for students', 'new students gadgets', 'latest students gadgets', 'student gadgets', 'new gadgets', 'gadgets for student', 'student gadgets on amazon', 'best gadgets for students', 'amazon gadgets', 'amazing students gadgets', 'study gadgets', 'must have students gadget', 'awesome student gadgets', 'students gadget innovations', 'gadgets on amazon', 'techmaster shorts']"/>
    <n v="28"/>
    <x v="0"/>
    <n v="5990153"/>
    <n v="252198"/>
    <n v="826"/>
    <n v="4.2239989529482803E-2"/>
    <n v="41"/>
    <s v="Short"/>
  </r>
  <r>
    <s v="G8v0C7ukblE"/>
    <s v="à´¸àµ‚à´ªàµà´ªàµ¼ à´•à´•àµà´..."/>
    <s v="Self cleaning toilet_x000a_._x000a_._x000a_._x000a_._x000a_smart toilet_x000a_._x000a_._x000a_.  _x000a_..."/>
    <s v="2025-06-19T07:12:36Z"/>
    <d v="2025-06-19T00:00:00"/>
    <n v="2025"/>
    <s v="June"/>
    <s v="2025-06"/>
    <n v="37"/>
    <s v="UCajho7UDcgrqh6GK6FjcqTA"/>
    <s v="Right n Wrong "/>
    <s v="['smart toilet', 'luxury home interior', 'luxury toilet', 'self cleaning public toilet', 'ai toilet in the world', 'how smart toilet works', 'amazing smart technologies', 'smart home accessories', 'self clean technology']"/>
    <n v="10"/>
    <x v="5"/>
    <n v="662796"/>
    <n v="4871"/>
    <n v="9"/>
    <n v="7.3627481155589354E-3"/>
    <n v="16"/>
    <s v="Short"/>
  </r>
  <r>
    <s v="ryGQO8YVVsI"/>
    <s v="à¤¯à¥‡ à¤¹à¥ˆà¤‚ à¤¸à¤¬à¤¸à¥‡ ..."/>
    <s v="Buy Link - capsule pen - https://amzn.to/45FH672_x000a__x000a_..."/>
    <s v="2022-12-02T07:15:02Z"/>
    <d v="2022-12-02T00:00:00"/>
    <n v="2022"/>
    <s v="December"/>
    <s v="2022-12"/>
    <n v="967"/>
    <s v="UCglXlpWjIi95auM3umWWLdw"/>
    <s v="Tech Master Shorts"/>
    <s v="['tech master', 'shorts', 'technology', 'facts', 'amazingtipsandtricks', 'arvind kharra', 'gadgets shorts', 'coolstuff', 'viral video', 'capsule', 'capsule pen', 'sprite key chain', 'magic knife']"/>
    <n v="22"/>
    <x v="6"/>
    <n v="33338250"/>
    <n v="1663541"/>
    <n v="1048"/>
    <n v="4.9930305279971207E-2"/>
    <n v="48"/>
    <s v="Short"/>
  </r>
  <r>
    <s v="1799Rqn71A8"/>
    <s v="Primitive Technology: Belt and..."/>
    <s v="Belt and pulley blower_x000a_Subscribe: http://bit.ly/su..."/>
    <s v="2025-06-05T22:08:49Z"/>
    <d v="2025-06-05T00:00:00"/>
    <n v="2025"/>
    <s v="June"/>
    <s v="2025-06"/>
    <n v="51"/>
    <s v="UCAL3JXZSzSm8AlZyD3nQdBA"/>
    <s v="Primitive Technology"/>
    <s v="['primitive technology', 'primitive', 'technology', 'primitive tech', 'technology primitive', 'tech primitive', 'prim technology', 'prim tech', 'tech prim', 'technology prim', 'building from scratch', 'build from scratch', 'rotor', 'clay pots', 'brick', 'fire', 'wood', 'shelter', 'pulley', 'blower', 'pots', 'rope', 'machine', 'survival', 'hand crank', 'stones', 'hand cranked blower', 'rotation', 'flame', 'hands', 'making fire', 'clay', 'making a fire', 'forging', 'fire starter', 'rural life', 'smelting', 'gas', 'clay pot']"/>
    <n v="28"/>
    <x v="0"/>
    <n v="1141872"/>
    <n v="55294"/>
    <n v="4840"/>
    <n v="5.266264520016254E-2"/>
    <n v="1668"/>
    <s v="Long"/>
  </r>
  <r>
    <s v="ub-Qr2U4DzA"/>
    <s v="Introduction to OpAmps #electr..."/>
    <s v="Operational Amplifiers are the best! Watch the ful..."/>
    <s v="2025-05-09T16:01:57Z"/>
    <d v="2025-05-09T00:00:00"/>
    <n v="2025"/>
    <s v="May"/>
    <s v="2025-05"/>
    <n v="78"/>
    <s v="UCJ0-OtVpF0wOKEqT2Z1HEtA"/>
    <s v="ElectroBOOM"/>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70931"/>
    <n v="11290"/>
    <n v="152"/>
    <n v="4.2232155050547927E-2"/>
    <n v="58"/>
    <s v="Short"/>
  </r>
  <r>
    <s v="bWaabrlHjZc"/>
    <s v="à¤¦à¤¿à¤²à¥à¤²à¥€ à¤šà¥‹à¤° à..."/>
    <s v="#shorts #chorbazar_x000a__x000a_SUBSCRIBE THE CHANNEL FOR MORE..."/>
    <s v="2023-11-22T13:30:14Z"/>
    <d v="2023-11-22T00:00:00"/>
    <n v="2023"/>
    <s v="November"/>
    <s v="2023-11"/>
    <n v="612"/>
    <s v="UCglXlpWjIi95auM3umWWLdw"/>
    <s v="Tech Master Shorts"/>
    <s v="['tech master', 'shorts', 'technology', 'facts', 'amazingtipsandtricks', 'arvind kharra', 'cool gadgets', 'gadgets on amazon', 'amazon gadgets', 'chor bazaar gadgets', 'chor bazaar gadgets review', 'shopping at real chor bazzar', 'buy cheapest iphones', 'buy cheapest andriod phones', 'chor bazaar items review', 'cool gadgets in cheap price', 'cool cheap electronics on amazon', 'mumbai chor bazar', 'chor bazaar mumbai', 'chor bazar', 'tech', 'tech master shorts', 'india', 'hindi', '500 rs gadgets', '50rs gadgets']"/>
    <n v="28"/>
    <x v="0"/>
    <n v="17351050"/>
    <n v="828343"/>
    <n v="3094"/>
    <n v="4.7918540952853E-2"/>
    <n v="56"/>
    <s v="Short"/>
  </r>
  <r>
    <s v="jC0ReUmjwsQ"/>
    <s v="Technology Funny message ringt..."/>
    <s v="Technology Funny message ringtone|| cute message n..."/>
    <s v="2025-05-28T10:40:00Z"/>
    <d v="2025-05-28T00:00:00"/>
    <n v="2025"/>
    <s v="May"/>
    <s v="2025-05"/>
    <n v="59"/>
    <s v="UCiqmTQTG62wlmmdzAqxTWHQ"/>
    <s v="AK 111 music "/>
    <s v="['Cute message notification tone', 'Funny message ringtone', 'cute alert', 'cute alerts', 'cute notification', 'cute ringtone', 'cute tone', 'funny alert sound', 'funny ringtone', 'funny sounds', 'humorous notifications', 'love ringtone', 'message alert', 'message beep', 'message ringtone', 'message tone', 'notification alert', 'notification melody', 'notification sound', 'notification tones', 'playful notification', 'playful tones', 'ringtone', 'ringtones', 'sms alerts', 'sms ringtone', 'sms sound', 'sound effect']"/>
    <n v="10"/>
    <x v="5"/>
    <n v="290154"/>
    <n v="1255"/>
    <n v="4"/>
    <n v="4.3390751118371623E-3"/>
    <n v="5"/>
    <s v="Short"/>
  </r>
  <r>
    <s v="fCMFEpLwO6g"/>
    <s v="Gyro Sensor Based Mini Drone, ..."/>
    <s v="Gyro Sensor Based Mini Drone, New Science Project ..."/>
    <s v="2023-05-25T01:30:10Z"/>
    <d v="2023-05-25T00:00:00"/>
    <n v="2023"/>
    <s v="May"/>
    <s v="2023-05"/>
    <n v="793"/>
    <s v="UChvzFAyWyofbidb7Mh3WMZw"/>
    <s v="VMK Technical Power"/>
    <s v="['shorts', 'science', 'technology', 'trending']"/>
    <n v="28"/>
    <x v="0"/>
    <n v="3989344"/>
    <n v="76633"/>
    <n v="502"/>
    <n v="1.933525913032318E-2"/>
    <n v="8"/>
    <s v="Short"/>
  </r>
  <r>
    <s v="b9wRXd0D44s"/>
    <s v="Me subÃ­ al metro con los Appl..."/>
    <s v="No description available"/>
    <s v="2025-06-18T04:46:17Z"/>
    <d v="2025-06-18T00:00:00"/>
    <n v="2025"/>
    <s v="June"/>
    <s v="2025-06"/>
    <n v="38"/>
    <s v="UCgeu38G_jcXQ1xMiRZgD_AA"/>
    <s v="Sami Pec"/>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217758"/>
    <n v="14038"/>
    <n v="83"/>
    <n v="6.4847215716529363E-2"/>
    <n v="41"/>
    <s v="Short"/>
  </r>
  <r>
    <s v="C4sPW9l3c9s"/>
    <s v="à¤¦à¥à¤¨à¤¿à¤¯à¤¾ à¤•à¥‡ à¤¸à..."/>
    <s v="#gadget #techmaster _x000a__x000a_SUBSCRIBE THE CHANNEL FOR MO..."/>
    <s v="2024-04-15T14:33:00Z"/>
    <d v="2024-04-15T00:00:00"/>
    <n v="2024"/>
    <s v="April"/>
    <s v="2024-04"/>
    <n v="467"/>
    <s v="UCglXlpWjIi95auM3umWWLdw"/>
    <s v="Tech Master Shorts"/>
    <s v="['tech master', 'shorts', 'technology', 'facts', 'amazingtipsandtricks', 'arvind kharra', 'ipl gadget', 'gadgets', 'ipl winner', 'ipl team', 'gedgets for circket', 'useful gadgets', 'india', 'hindi', 'tech', 'tech master shorts', 'l guard', 'led stumps price', 'cricket', 'ipl', 'viral', 'entertainment', 'funny', 'comedy']"/>
    <n v="28"/>
    <x v="0"/>
    <n v="14522160"/>
    <n v="632659"/>
    <n v="745"/>
    <n v="4.3616376627168413E-2"/>
    <n v="60"/>
    <s v="Short"/>
  </r>
  <r>
    <s v="wJ1NSQSgVTE"/>
    <s v="iOS 26 is terrible."/>
    <s v="iOS 26 is official and it's officially terrible. _x000a_..."/>
    <s v="2025-06-16T18:44:16Z"/>
    <d v="2025-06-16T00:00:00"/>
    <n v="2025"/>
    <s v="June"/>
    <s v="2025-06"/>
    <n v="40"/>
    <s v="UC8jkbVLPvztz8TuE98OYo8Q"/>
    <s v="fpt."/>
    <s v="['apple', 'iphone', 'jon prosser', 'front page tech', 'frontpagetech']"/>
    <n v="28"/>
    <x v="0"/>
    <n v="320398"/>
    <n v="19299"/>
    <n v="2555"/>
    <n v="6.8208915161767553E-2"/>
    <n v="505"/>
    <s v="Long"/>
  </r>
  <r>
    <s v="D_DKWEQDLjk"/>
    <s v="Unbelievable China's technolog..."/>
    <s v="Unbelievable China's technology in Bike ( à¤‡à¤¸ à..."/>
    <s v="2024-09-14T12:33:41Z"/>
    <d v="2024-09-14T00:00:00"/>
    <n v="2024"/>
    <s v="September"/>
    <s v="2024-09"/>
    <n v="315"/>
    <s v="UC_e86divMiDWroG3HrCp30w"/>
    <s v="Favourite CAR"/>
    <s v="['shorts', 'ytshorts', 'youtubeshorts', 'shortsfeed', 'China superbike', 'China bike sensors', 'advance bike in china', &quot;Advance sensors in China's bike&quot;, 'shorts monetization', 'youtube monetization']"/>
    <n v="22"/>
    <x v="6"/>
    <n v="29050969"/>
    <n v="385458"/>
    <n v="1027"/>
    <n v="1.3303687047409675E-2"/>
    <n v="36"/>
    <s v="Short"/>
  </r>
  <r>
    <s v="YPZnXK_h3Qw"/>
    <s v="Nuclear Power #technology"/>
    <s v="Learn 3D Animation Basic To Expert Level- visit th..."/>
    <s v="2024-06-23T05:30:17Z"/>
    <d v="2024-06-23T00:00:00"/>
    <n v="2024"/>
    <s v="June"/>
    <s v="2024-06"/>
    <n v="398"/>
    <s v="UCHUByLzh_XbWd5-R9ZFJNCQ"/>
    <s v="LifeAda"/>
    <s v="['nuclear power', 'nuclear reactor', 'lifeada', '3d', 'animation']"/>
    <n v="27"/>
    <x v="2"/>
    <n v="3190790"/>
    <n v="142107"/>
    <n v="310"/>
    <n v="4.4633774081026957E-2"/>
    <n v="58"/>
    <s v="Short"/>
  </r>
  <r>
    <s v="Oa0ZHfcalCM"/>
    <s v="What do tech pioneers think ab..."/>
    <s v="Three leading engineers discuss the impact of the ..."/>
    <s v="2024-08-10T11:00:31Z"/>
    <d v="2024-08-10T00:00:00"/>
    <n v="2024"/>
    <s v="August"/>
    <s v="2024-08"/>
    <n v="350"/>
    <s v="UCQXHTFnQYFTqN0MqmNh9EIA"/>
    <s v="BBC World Service"/>
    <s v="['BBC', 'BBC World Service', 'Podcasts', 'Radio', 'Podcast', 'World Service Radio', 'World Service', 'Documentaries', 'Investigations', 'Explainers', 'BBC Documentary', 'Docs', 'artificial intelligence', 'ai', 'tech pioneer', 'ai in medicine and healthcare', 'ai in sports', 'ai panel discussion', 'bbc ai news', 'bbc tech news', 'Regina Barzilay', 'David Silver', 'Paolo Pirjanian', 'engineers and scientists', 'bbc world questions', 'machine learning', 'will robots take over the world', 'AI discussion', 'google deep mind', 'AGI', 'narrow ai']"/>
    <n v="28"/>
    <x v="0"/>
    <n v="1694957"/>
    <n v="30137"/>
    <n v="903"/>
    <n v="1.8313148947141433E-2"/>
    <n v="1548"/>
    <s v="Long"/>
  </r>
  <r>
    <s v="3G90Z980lgU"/>
    <s v="iPhone 17 unboxing #iphone #te..."/>
    <s v="No description available"/>
    <s v="2025-06-15T16:55:45Z"/>
    <d v="2025-06-15T00:00:00"/>
    <n v="2025"/>
    <s v="June"/>
    <s v="2025-06"/>
    <n v="41"/>
    <s v="UCoudl1tXTBXLnXM1dfn4rpQ"/>
    <s v="NikanXP"/>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5769"/>
    <n v="126"/>
    <n v="17"/>
    <n v="3.9978752551091731E-3"/>
    <n v="10"/>
    <s v="Short"/>
  </r>
  <r>
    <s v="zFT3YuNnF6g"/>
    <s v="How to fix water damaged phone..."/>
    <s v="Stay cool this summer with even more poolside hack..."/>
    <s v="2022-08-08T17:29:34Z"/>
    <d v="2022-08-08T00:00:00"/>
    <n v="2022"/>
    <s v="August"/>
    <s v="2022-08"/>
    <n v="1083"/>
    <s v="UC6VroAlEXUAT1OkH61TK_KA"/>
    <s v="Problem Solve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6"/>
    <x v="8"/>
    <n v="51334598"/>
    <n v="3061219"/>
    <n v="11926"/>
    <n v="5.9864986183392338E-2"/>
    <n v="60"/>
    <s v="Short"/>
  </r>
  <r>
    <s v="4RcThoRG46c"/>
    <s v="I tested every Celebrity Tech ..."/>
    <s v="Celebrity tech from Ronaldo, Mbappe, Will Smith, K..."/>
    <s v="2024-10-05T10:52:18Z"/>
    <d v="2024-10-05T00:00:00"/>
    <n v="2024"/>
    <s v="October"/>
    <s v="2024-10"/>
    <n v="294"/>
    <s v="UCMiJRAwDNSNzuYeN2uWa0pA"/>
    <s v="Mrwhosetheboss"/>
    <s v="['celebrity', 'celeb', 'tech', 'iphone', 'products', 'youtuber', 'celebrity products', 'youtuber products', 'influencer', 'rant', 'gadgets']"/>
    <n v="28"/>
    <x v="0"/>
    <n v="8359570"/>
    <n v="217368"/>
    <n v="6425"/>
    <n v="2.6770874578477124E-2"/>
    <n v="1635"/>
    <s v="Long"/>
  </r>
  <r>
    <s v="c5eK89o0_Bg"/>
    <s v="The Neuralink Brain Chip | Elo..."/>
    <s v="Neuralink is a neurotechnology company founded by ..."/>
    <s v="2024-03-08T12:30:31Z"/>
    <d v="2024-03-08T00:00:00"/>
    <n v="2024"/>
    <s v="March"/>
    <s v="2024-03"/>
    <n v="505"/>
    <s v="UCxlJ45KjG4XVcQ_hd8j227A"/>
    <s v="Peekaboo Kidz"/>
    <s v="['neuralink device', 'neuralink implant', 'neuralink', 'elon musk', 'neuralink elon musk', 'What does the neuralink brain chip do', 'what is neuralink brain chip', 'neuralink brain chip', 'brain chip', 'brain chip elon musk', 'brain chip neuralink', 'brain chip wired neuralink', 'brain implant', 'brain implants neuralink', 'elon musk brain chip', 'human brain chip', 'implants brain', 'monkey brain chip', 'neuralink brain chips', 'neuralink brain implants', 'neuralink implants wired', 'binocs show', 'peekaboo kidz', 'brain']"/>
    <n v="27"/>
    <x v="2"/>
    <n v="1706186"/>
    <n v="6555"/>
    <n v="0"/>
    <n v="3.8419023482785582E-3"/>
    <n v="343"/>
    <s v="Long"/>
  </r>
  <r>
    <s v="GNTdmzT0CJs"/>
    <s v="New technology used in the wor..."/>
    <s v="New technology used in the world #youtubeshorts #y..."/>
    <s v="2024-10-16T13:30:46Z"/>
    <d v="2024-10-16T00:00:00"/>
    <n v="2024"/>
    <s v="October"/>
    <s v="2024-10"/>
    <n v="283"/>
    <s v="UCXbv3qLKS0B63kakKcc8E0g"/>
    <s v="FactsZilla"/>
    <s v="['amazing facts', 'unique techniques', 'best technology used', 'amazing information about technology', 'technology used in ramleela']"/>
    <n v="27"/>
    <x v="2"/>
    <n v="3880144"/>
    <n v="217464.60837887001"/>
    <n v="116"/>
    <n v="5.6075395237617474E-2"/>
    <n v="18"/>
    <s v="Short"/>
  </r>
  <r>
    <s v="eqkbs5Z3y-M"/>
    <s v="( New ) Free internet 100% Wor..."/>
    <s v="Hello Everyone!_x000a_Welcome to my channel. My channel ..."/>
    <s v="2019-05-26T10:23:43Z"/>
    <d v="2019-05-26T00:00:00"/>
    <n v="2019"/>
    <s v="May"/>
    <s v="2019-05"/>
    <n v="2253"/>
    <s v="UCfmX9fD7yKjPkgMJoOYqpzA"/>
    <s v="Energy Tech"/>
    <s v="['how to get free internet life time', 'how to get free internet', 'internet free', 'internet', 'data internet free', 'free internet', 'free', 'how to free internet', 'vpn internet', 'vpn internet gratis', 'vpn internet free', 'free vpn internet', 'free internet 2018', 'free internet 2019', 'sim card', 'airtel internet', 'airtel 4g', 'jio', 'jio offer', 'data internet', 'free mb', 'telephone', 'New Technology 2019', 'Free internet 100% Working']"/>
    <n v="28"/>
    <x v="0"/>
    <n v="6377933"/>
    <n v="83467"/>
    <n v="2823"/>
    <n v="1.352946166101149E-2"/>
    <n v="617"/>
    <s v="Long"/>
  </r>
  <r>
    <s v="WJQfQA5yPY4"/>
    <s v="&quot;Mind-Blowing&quot;- The Most Expen..."/>
    <s v="Unique umbrella worth 11000rs!_x000a__x000a_Personally connect..."/>
    <s v="2024-07-19T13:00:28Z"/>
    <d v="2024-07-19T00:00:00"/>
    <n v="2024"/>
    <s v="July"/>
    <s v="2024-07"/>
    <n v="372"/>
    <s v="UCq30pSBD9tX6d5_xT5aNPoA"/>
    <s v="Tech Master"/>
    <s v="['most expensive cars', 'most expensive car', 'expensive cars', 'most expensive cars in the world', 'top 10 most expensive cars in the world', 'umbrella', 'expensive', 'expensive car', 'most expensive vending machine', 'most expensive', 'the most expensive car in the world', 'most expensive car in the world 2023', 'car expensive', 'tech master', 'shorts', 'youtube shorts', 'summer', 'monsoon', 'hacks', 'master shorts', 'how to', 'shorts video', 'short', 'expensive umbrella', 'summer gadgets', 'tech', 'funny', 'iphone', 'youtube']"/>
    <n v="28"/>
    <x v="0"/>
    <n v="10693689"/>
    <n v="276100"/>
    <n v="12385"/>
    <n v="2.6977126415402581E-2"/>
    <n v="45"/>
    <s v="Short"/>
  </r>
  <r>
    <s v="5lWrCLjIKBA"/>
    <s v="Design Pe confidence | Mini Vl..."/>
    <s v="No description available"/>
    <s v="2025-06-14T13:30:05Z"/>
    <d v="2025-06-14T00:00:00"/>
    <n v="2025"/>
    <s v="June"/>
    <s v="2025-06"/>
    <n v="42"/>
    <s v="UCJLUaNkv9Qck2jmZ-iFHXlA"/>
    <s v="Anashwar Technologie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22934"/>
    <n v="454"/>
    <n v="3"/>
    <n v="1.9926746315514082E-2"/>
    <n v="49"/>
    <s v="Short"/>
  </r>
  <r>
    <s v="8pH9WyB7VBg"/>
    <s v="duniya ki sabse ajib Bhains wa..."/>
    <s v="#science #technology #shortvideo #viral #fact #tre..."/>
    <s v="2025-06-06T17:00:18Z"/>
    <d v="2025-06-06T00:00:00"/>
    <n v="2025"/>
    <s v="June"/>
    <s v="2025-06"/>
    <n v="50"/>
    <s v="UCEFXPX6j6z3HHVAGhuFONug"/>
    <s v="Einstein Science"/>
    <s v="['science', 'technology', 'shortvideo', 'trending', 'viral', 'fact', 'trendingshorts', 'youtubeshorts', 'viralshort', 'sciencefacts', 'latest', 'trend']"/>
    <n v="28"/>
    <x v="0"/>
    <n v="36807"/>
    <n v="217464.60837887001"/>
    <n v="6"/>
    <n v="5.9084035204952867"/>
    <n v="19"/>
    <s v="Short"/>
  </r>
  <r>
    <s v="yLPrYrurOx8"/>
    <s v="Samsung à¤¤à¥à¤®à¤¸à¥‡ à¤¨à¤¾..."/>
    <s v="No description available"/>
    <s v="2024-11-16T05:30:19Z"/>
    <d v="2024-11-16T00:00:00"/>
    <n v="2024"/>
    <s v="November"/>
    <s v="2024-11"/>
    <n v="252"/>
    <s v="UC8SFy66JbVwPcYhvplWPm1g"/>
    <s v="Mahadev Tyagi"/>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8704366"/>
    <n v="217464.60837887001"/>
    <n v="913"/>
    <n v="1.1675221088962332E-2"/>
    <n v="56"/>
    <s v="Short"/>
  </r>
  <r>
    <s v="12pGrEG30f8"/>
    <s v="Viral Haha Technology  and Tec..."/>
    <s v="#technologia #technolÃ³gia #viralvideo #viralshort..."/>
    <s v="2025-03-27T20:08:18Z"/>
    <d v="2025-03-27T00:00:00"/>
    <n v="2025"/>
    <s v="March"/>
    <s v="2025-03"/>
    <n v="121"/>
    <s v="UCrltYZ4idW4o8NEqjtK5Xww"/>
    <s v="Beastly Dimension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514264"/>
    <n v="2969"/>
    <n v="34"/>
    <n v="5.8394132196692749E-3"/>
    <n v="8"/>
    <s v="Short"/>
  </r>
  <r>
    <s v="zcVpPom546M"/>
    <s v="technology #memes #funny"/>
    <s v="#vlog #souravjoshivlogs  #viralvideo #funny #comed..."/>
    <s v="2025-05-14T06:46:14Z"/>
    <d v="2025-05-14T00:00:00"/>
    <n v="2025"/>
    <s v="May"/>
    <s v="2025-05"/>
    <n v="73"/>
    <s v="UCXCrlBq5NZIJ6XoJeQln7Ew"/>
    <s v="The BR VLOG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1891087"/>
    <n v="204109"/>
    <n v="649"/>
    <n v="1.7219451846580552E-2"/>
    <n v="11"/>
    <s v="Short"/>
  </r>
  <r>
    <s v="FRhfkq6AwG8"/>
    <s v="Technology âŒTechnologia âœ… ..."/>
    <s v="Technology âŒTechnologia âœ… #shorts#funny #comed..."/>
    <s v="2025-04-20T00:39:52Z"/>
    <d v="2025-04-20T00:00:00"/>
    <n v="2025"/>
    <s v="April"/>
    <s v="2025-04"/>
    <n v="97"/>
    <s v="UCRzUF1MIZFGoQbjppzbIShA"/>
    <s v="iRFAN Vlogs "/>
    <s v="['Technology âŒTechnologia âœ… #shorts#funny #comedy #funnyvideo #comedy#reels #technology #trending', 'technology', 'technologia', 'trending reels', 'trending video', 'viral video', 'viral', 'short', 'short video', 'status', 'whatsApp status', 'reels', 'comedy', 'funny', 'funny video']"/>
    <n v="22"/>
    <x v="6"/>
    <n v="43254"/>
    <n v="335"/>
    <n v="8"/>
    <n v="7.9299024367688545E-3"/>
    <n v="9"/>
    <s v="Short"/>
  </r>
  <r>
    <s v="aIg5R-wQ74w"/>
    <s v="Das ist der extreme Budget Gam..."/>
    <s v="No description available"/>
    <s v="2025-06-20T15:15:35Z"/>
    <d v="2025-06-20T00:00:00"/>
    <n v="2025"/>
    <s v="June"/>
    <s v="2025-06"/>
    <n v="36"/>
    <s v="UCGg6TIvI9dxsZteF0414HfA"/>
    <s v="daleTe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069"/>
    <n v="41"/>
    <n v="2"/>
    <n v="4.0224508886810104E-2"/>
    <n v="50"/>
    <s v="Short"/>
  </r>
  <r>
    <s v="TWDtj99937I"/>
    <s v="NOT a normal smartphoneðŸ¤”#te..."/>
    <s v="This is call the Bigme smartphone and it has a col..."/>
    <s v="2024-10-18T15:21:46Z"/>
    <d v="2024-10-18T00:00:00"/>
    <n v="2024"/>
    <s v="October"/>
    <s v="2024-10"/>
    <n v="281"/>
    <s v="UCPMIXPIhGp2WJzocPRQiM1w"/>
    <s v="JMTech"/>
    <s v="['bigme smartphone', 'bigme smartphone review', 'biome smartphone vs iPhone', 'smartphone', 'cool smartphone', 'not a normal smartphone', 'coolest smartphone', 'e-ink smartphone', 'kindle smartphone']"/>
    <n v="28"/>
    <x v="0"/>
    <n v="1735597"/>
    <n v="91350"/>
    <n v="426"/>
    <n v="5.2878634844379199E-2"/>
    <n v="33"/>
    <s v="Short"/>
  </r>
  <r>
    <s v="skKsdBuMZQU"/>
    <s v="Robot Motherâ€™s Tender Moment..."/>
    <s v="Robot Motherâ€™s Tender Moment with Her Baby #tech..."/>
    <s v="2025-06-17T16:35:09Z"/>
    <d v="2025-06-17T00:00:00"/>
    <n v="2025"/>
    <s v="June"/>
    <s v="2025-06"/>
    <n v="39"/>
    <s v="UCPdVC7w-AmZ6BGCoIoU1v3g"/>
    <s v="Meibo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313123"/>
    <n v="5389"/>
    <n v="10"/>
    <n v="4.1115721832608214E-3"/>
    <n v="8"/>
    <s v="Short"/>
  </r>
  <r>
    <s v="CqdWZilRcT0"/>
    <s v="I Got Saste Useful Gadgets ðŸ˜..."/>
    <s v="Bhai ye wale gadgets kuch next level useful hain:!..."/>
    <s v="2023-08-17T08:37:00Z"/>
    <d v="2023-08-17T00:00:00"/>
    <n v="2023"/>
    <s v="August"/>
    <s v="2023-08"/>
    <n v="709"/>
    <s v="UCglXlpWjIi95auM3umWWLdw"/>
    <s v="Tech Master Shorts"/>
    <s v="['shorts', '#techmaster shorts', 'gadgets', 'yt shorts', 'most popular short', 'short videos', 'viral short', '#firstvlogviral', 'saste gadget', 'tech master', 'viral gadgets', 'cool gadgets', 'best shorts', 'new gadgets on amazon', 'gadgets under 100rs']"/>
    <n v="28"/>
    <x v="0"/>
    <n v="15812438"/>
    <n v="710249"/>
    <n v="953"/>
    <n v="4.497737793501546E-2"/>
    <n v="49"/>
    <s v="Short"/>
  </r>
  <r>
    <s v="_dlNUjfSBDk"/>
    <s v="Ye Technology India se bahar n..."/>
    <s v="Ask your own templates here_x000a_https://t.me/findingme..."/>
    <s v="2025-04-05T06:03:46Z"/>
    <d v="2025-04-05T00:00:00"/>
    <n v="2025"/>
    <s v="April"/>
    <s v="2025-04"/>
    <n v="112"/>
    <s v="UCpqKkuv9OZqYOdgeBSd_jJg"/>
    <s v="ð—™ð—¶ð—»ð—±ð—¶ð—»ð—´ ð— ð—²ð—ºð—² ð—§ð—²ð—ºð—½ð—¹ð—®ð˜ð—²ð˜€"/>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0494473"/>
    <n v="567006"/>
    <n v="825"/>
    <n v="9.3864938702747282E-3"/>
    <n v="10"/>
    <s v="Short"/>
  </r>
  <r>
    <s v="kYOxf4vkKGU"/>
    <s v="Repairing old 12v battery #exp..."/>
    <s v="12v battery repair,restoring old battery,battery r..."/>
    <s v="2025-06-06T15:39:45Z"/>
    <d v="2025-06-06T00:00:00"/>
    <n v="2025"/>
    <s v="June"/>
    <s v="2025-06"/>
    <n v="50"/>
    <s v="UC6fVGlHVF4ucZyI8AV2qv2g"/>
    <s v="Shiv Mobile agra"/>
    <s v="['12v battery repair', 'restoring old battery', 'battery refurbishment', 'how to repair 12v battery', 'fixing old batteries', 'battery reconditioning', 'battery rejuvenation', 'lead acid battery repair', 'diy battery repair', 'battery maintenance tips', 'extending battery life', 'battery troubleshooting', 'battery voltage test', 'battery capacity restore', 'old battery revival']"/>
    <n v="28"/>
    <x v="0"/>
    <n v="128919"/>
    <n v="1765"/>
    <n v="5"/>
    <n v="1.3729551113489866E-2"/>
    <n v="49"/>
    <s v="Short"/>
  </r>
  <r>
    <s v="kaH15O2YdJc"/>
    <s v="#technology #garenafreefire"/>
    <s v="#technology #garenafreefire"/>
    <s v="2025-06-11T13:11:45Z"/>
    <d v="2025-06-11T00:00:00"/>
    <n v="2025"/>
    <s v="June"/>
    <s v="2025-06"/>
    <n v="45"/>
    <s v="UC0eCxVUALXkmj8jimObz0Mw"/>
    <s v="Gamers"/>
    <s v="['#technology #garenafreefire']"/>
    <n v="20"/>
    <x v="10"/>
    <n v="42124"/>
    <n v="337"/>
    <n v="2"/>
    <n v="8.047668787389611E-3"/>
    <n v="14"/>
    <s v="Short"/>
  </r>
  <r>
    <s v="XBSTOfjc5nY"/>
    <s v="Top 15 Tech Finds of ALL TIME ..."/>
    <s v="No description available"/>
    <s v="2024-08-19T17:19:11Z"/>
    <d v="2024-08-19T00:00:00"/>
    <n v="2024"/>
    <s v="August"/>
    <s v="2024-08"/>
    <n v="341"/>
    <s v="UCKaWD4ZM7ixlot6ysBVKP_g"/>
    <s v="Justice Buy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6558980"/>
    <n v="635651"/>
    <n v="3588"/>
    <n v="3.8603766657125019E-2"/>
    <n v="60"/>
    <s v="Short"/>
  </r>
  <r>
    <s v="dxWb1Vd9aq8"/>
    <s v="20 INVENTIONS THAT WILL CHANGE..."/>
    <s v="Mind Warehouse â–º https://goo.gl/aeW8Sk  _x000a__x000a_1) Peg..."/>
    <s v="2024-07-14T13:00:56Z"/>
    <d v="2024-07-14T00:00:00"/>
    <n v="2024"/>
    <s v="July"/>
    <s v="2024-07"/>
    <n v="377"/>
    <s v="UC6H07z6zAwbHRl4Lbl0GSsw"/>
    <s v="TechZone"/>
    <s v="['inventions', 'gadgets', 'technology', 'tech', 'techzone gadgets', 'techzone', 'cool tools', 'cool inventions', 'incredible inventions', 'camping inventions', 'construction technologies', 'construction gadgets', 'cool gadgets', 'construction', 'satisfying', 'satisfying video', 'road inventions', 'handyman tips and tricks', 'tools', 'concepts', 'mobile homes', 'car inventions', 'garden inventions', 'tech zone', '20 inventions', 'change the world', 'Pegasus', 'Fotokite Sigma', 'Varjo Teleport', 'SkyDeck', &quot;Movin'On&quot;, 'Simsoft', 'Pulsefire', 'Bruker HI90']"/>
    <n v="22"/>
    <x v="6"/>
    <n v="1006574"/>
    <n v="6913"/>
    <n v="281"/>
    <n v="7.1470155199717059E-3"/>
    <n v="1210"/>
    <s v="Long"/>
  </r>
  <r>
    <s v="kqC1HWYzXgA"/>
    <s v="R2 | Inside Rivianâ€™s Vehicle..."/>
    <s v="Weâ€™ve been visiting Rivian locations across the ..."/>
    <s v="2025-06-11T19:59:26Z"/>
    <d v="2025-06-11T00:00:00"/>
    <n v="2025"/>
    <s v="June"/>
    <s v="2025-06"/>
    <n v="45"/>
    <s v="UCPMdVVKDEUrbp3nH46sTZmg"/>
    <s v="Rivian"/>
    <s v="['Rivian', 'EAV', 'EV', 'electric adventure vehicle', 'electric adventure vehicles', 'adventure', 'outdoors', 'truck', 'SUV', 'R1T', 'R1S', 'Electric Truck', 'Rivian Truck', 'adventurous forever', 'tank turn']"/>
    <n v="2"/>
    <x v="13"/>
    <n v="133709"/>
    <n v="3740"/>
    <n v="221"/>
    <n v="2.9624034283406504E-2"/>
    <n v="360"/>
    <s v="Long"/>
  </r>
  <r>
    <s v="rSTrXfu_vJw"/>
    <s v="Why Europe Failed to Dominate ..."/>
    <s v="Visit https://imprintapp.com/ColdFusion for 20% of..."/>
    <s v="2025-05-04T14:27:14Z"/>
    <d v="2025-05-04T00:00:00"/>
    <n v="2025"/>
    <s v="May"/>
    <s v="2025-05"/>
    <n v="83"/>
    <s v="UC4QZ_LsYcvcq7qOsOhpAX4A"/>
    <s v="ColdFusion"/>
    <s v="['Coldfusion', 'TV', 'Dagogo', 'Altraide', 'Technology', 'Apple', 'Google', 'Samsung', 'Facebook', 'Tesla']"/>
    <n v="28"/>
    <x v="0"/>
    <n v="481832"/>
    <n v="16362"/>
    <n v="3226"/>
    <n v="4.0653173720300854E-2"/>
    <n v="1287"/>
    <s v="Long"/>
  </r>
  <r>
    <s v="d0OyImu-rqg"/>
    <s v="Technology of Free Fire ðŸ˜Ž: ..."/>
    <s v="ðŸ¤¯ Technology of Free Fire ðŸ”¥: The Funniest Sh..."/>
    <s v="2025-03-30T02:30:32Z"/>
    <d v="2025-03-30T00:00:00"/>
    <n v="2025"/>
    <s v="March"/>
    <s v="2025-03"/>
    <n v="118"/>
    <s v="UCNzC0JIpxdXXo8zr4OXZong"/>
    <s v="Titan Gaming official"/>
    <s v="['Technology of Free Fire', &quot;The Funniest Shorts You Can't Miss&quot;, 'craftland map funny shorts', 'ff', 'ff new update', 'free fire', 'free fire funny memes', 'free fire funny moments', 'free fire funny short video', 'free fire funny shorts', 'free fire funny video', 'free fire gameplay', 'free fire max', 'free fire memes', 'free fire new event', 'free fire new update', 'free fire tips and tricks', 'free fire viral shorts', 'funny moments', 'funny shorts', 'funny shorts in free fire', 'shorts', 'viral shorts']"/>
    <n v="20"/>
    <x v="10"/>
    <n v="75262"/>
    <n v="1046"/>
    <n v="12"/>
    <n v="1.4057558927480004E-2"/>
    <n v="15"/>
    <s v="Short"/>
  </r>
  <r>
    <s v="uW7zI_tm0Zc"/>
    <s v="technologya ðŸ¤£ðŸ¤£ #funny #c..."/>
    <s v="No description available"/>
    <s v="2025-05-13T12:42:45Z"/>
    <d v="2025-05-13T00:00:00"/>
    <n v="2025"/>
    <s v="May"/>
    <s v="2025-05"/>
    <n v="74"/>
    <s v="UCfibaUjy-EcvziuYkYYHnPg"/>
    <s v="Top up team"/>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3"/>
    <x v="7"/>
    <n v="17485"/>
    <n v="103"/>
    <n v="1"/>
    <n v="5.9479553903345724E-3"/>
    <n v="11"/>
    <s v="Short"/>
  </r>
  <r>
    <s v="42o4sDhe0SE"/>
    <s v="Google Now Protects YOU Like a..."/>
    <s v="Googleâ€™s VIP Protection is LIVE! Shield your acc..."/>
    <s v="2025-04-22T06:25:00Z"/>
    <d v="2025-04-22T00:00:00"/>
    <n v="2025"/>
    <s v="April"/>
    <s v="2025-04"/>
    <n v="95"/>
    <s v="UCW2s_zlmBQ0l848Y6wmOiag"/>
    <s v="Techlusive"/>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1238"/>
    <n v="357"/>
    <n v="4"/>
    <n v="3.2123153586047337E-2"/>
    <n v="46"/>
    <s v="Short"/>
  </r>
  <r>
    <s v="mFjE7H0DNrY"/>
    <s v="Amazon mobile order cheythappo..."/>
    <s v="Amazon mobile order cheythappol #ytshorts #travel ..."/>
    <s v="2025-06-14T14:26:48Z"/>
    <d v="2025-06-14T00:00:00"/>
    <n v="2025"/>
    <s v="June"/>
    <s v="2025-06"/>
    <n v="42"/>
    <s v="UCcpDsL4z6FiZG4dG-pIEHxQ"/>
    <s v="ASPD VLOG"/>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44678"/>
    <n v="4890"/>
    <n v="25"/>
    <n v="1.1052941679147608E-2"/>
    <n v="48"/>
    <s v="Short"/>
  </r>
  <r>
    <s v="gII8WrA5h7c"/>
    <s v="à¸§à¸´à¸˜à¸µà¸›à¸¥à¸¹à¸à¸žà¸·..."/>
    <s v="#whatsappstatus  #yearofyou  #elephant  #anime _x000a_#z..."/>
    <s v="2025-06-20T14:01:11Z"/>
    <d v="2025-06-20T00:00:00"/>
    <n v="2025"/>
    <s v="June"/>
    <s v="2025-06"/>
    <n v="36"/>
    <s v="UCn7NttsdsYIak33KORE8F-Q"/>
    <s v="à¸žà¸¥à¸²à¸¢à¸šà¸±à¸§à¸šà¸²à¸™ [ELEPHANT THAILAN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6783"/>
    <n v="42"/>
    <n v="0"/>
    <n v="6.1919504643962852E-3"/>
    <n v="10"/>
    <s v="Short"/>
  </r>
  <r>
    <s v="AMUjlObFCno"/>
    <s v="WWDC 2025: Everything Revealed..."/>
    <s v="WWDC25 unified Apple's ecosystem with a new naming..."/>
    <s v="2025-06-09T18:35:14Z"/>
    <d v="2025-06-09T00:00:00"/>
    <n v="2025"/>
    <s v="June"/>
    <s v="2025-06"/>
    <n v="47"/>
    <s v="UCOmcA3f_RrH6b9NmcNa4tdg"/>
    <s v="CNET"/>
    <s v="['CNET', 'Technology', 'tech', 'Tech Devices', 'apple', 'apple news', 'wwdc', 'wwdc 2025', 'wwdc 25', 'iOS 26', 'supercut', 'apple event supercut', 'apple event', 'apple keynote', 'Tim Cook', 'apple announcements', 'Apple event']"/>
    <n v="28"/>
    <x v="0"/>
    <n v="942047"/>
    <n v="12596"/>
    <n v="3042"/>
    <n v="1.6600021018059609E-2"/>
    <n v="578"/>
    <s v="Long"/>
  </r>
  <r>
    <s v="1E3tv_3D95g"/>
    <s v="WWDC 2025 Impressions: Liquid ..."/>
    <s v="Hands on with iOS 26 and everything you need to kn..."/>
    <s v="2025-06-10T05:55:54Z"/>
    <d v="2025-06-10T00:00:00"/>
    <n v="2025"/>
    <s v="June"/>
    <s v="2025-06"/>
    <n v="46"/>
    <s v="UCBJycsmduvYEL83R_U4JriQ"/>
    <s v="Marques Brownlee"/>
    <s v="['WWDC', 'WWDC 2025', 'iOS 15', 'iPadOS', 'iPadOS 25', 'MKBHD', 'WWDC recap', 'WWDC impressions']"/>
    <n v="28"/>
    <x v="0"/>
    <n v="7002607"/>
    <n v="169445"/>
    <n v="14750"/>
    <n v="2.6303775151168701E-2"/>
    <n v="1103"/>
    <s v="Long"/>
  </r>
  <r>
    <s v="J0qKOnDJcgA"/>
    <s v="O Teclado MagnÃ©tico Mais Lind..."/>
    <s v="No description available"/>
    <s v="2025-06-18T15:27:04Z"/>
    <d v="2025-06-18T00:00:00"/>
    <n v="2025"/>
    <s v="June"/>
    <s v="2025-06"/>
    <n v="38"/>
    <s v="UC3dZHM0o8Gb6raWHTpaXAhQ"/>
    <s v="Brucho"/>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14806"/>
    <n v="1129"/>
    <n v="32"/>
    <n v="7.8414156423071729E-2"/>
    <n v="52"/>
    <s v="Short"/>
  </r>
  <r>
    <s v="WDF7WowQ2Bo"/>
    <s v="Technology Funny message ringt..."/>
    <s v="Technology Funny message ringtone|| cute message n..."/>
    <s v="2025-06-03T05:30:14Z"/>
    <d v="2025-06-03T00:00:00"/>
    <n v="2025"/>
    <s v="June"/>
    <s v="2025-06"/>
    <n v="53"/>
    <s v="UC7J5Hmjdt4ha1cN6SF597rg"/>
    <s v="T-Series Hamar music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0"/>
    <x v="5"/>
    <n v="34496"/>
    <n v="217464.60837887001"/>
    <n v="0"/>
    <n v="6.3040528866787451"/>
    <n v="5"/>
    <s v="Short"/>
  </r>
  <r>
    <s v="UXDPKE86RTk"/>
    <s v="TechnologyâŽ Technologiaâœ… T..."/>
    <s v="technologyâŽ technologiaâœ… Technologia original ..."/>
    <s v="2025-05-02T10:52:42Z"/>
    <d v="2025-05-02T00:00:00"/>
    <n v="2025"/>
    <s v="May"/>
    <s v="2025-05"/>
    <n v="85"/>
    <s v="UCyfmOQPIrHTuv7rGLBmLuQw"/>
    <s v="CRAZY_XYZ_321K"/>
    <s v="['crazy _xyz_321k', 'technology', 'technologia', 'technologie', 'technologies', 'technology original video', 'technologia original video', 'technology funny video', 'technologia funny video', 'funny video', 'funny videos', 'funny shorts', 'viral funny shorts', 'funny comedy video', 'funny video 2025', 'comedy videos', 'new comedy video 2025', 'comedy club', 'youtube search', 'shorts', 'shorts 2025', 'shorts feed', 'viral video', 'viral reels', 'viral memes', 'trending', 'trending shorts', 'trending video', 'tiktok shorts']"/>
    <n v="23"/>
    <x v="7"/>
    <n v="107622"/>
    <n v="217464.60837887001"/>
    <n v="1970.1447811447799"/>
    <n v="2.0389395584547283"/>
    <n v="8"/>
    <s v="Short"/>
  </r>
  <r>
    <s v="ltxH_JstZqY"/>
    <s v="Digital Technology | The Inven..."/>
    <s v="The Quick Response (QR) code was invented in 1994 ..."/>
    <s v="2025-05-02T12:30:50Z"/>
    <d v="2025-05-02T00:00:00"/>
    <n v="2025"/>
    <s v="May"/>
    <s v="2025-05"/>
    <n v="85"/>
    <s v="UCxlJ45KjG4XVcQ_hd8j227A"/>
    <s v="Peekaboo Kidz"/>
    <s v="['scan qr code', 'how to scan qr code on android', 'invention of qr code', 'what is qr code', 'qr code history', 'how do qr codes work technically', 'how barcode works', 'barcode', 'quick response code', 'what is barcode', 'masahiro hara qr code', 'masahiro hara', 'history of qr code', 'digital world technology', 'digital payments', 'upi digital payment', 'inventions that changed the world', 'origin of qr code', 'qr code invention', 'qr code generator', 'dr binocs show', 'peekaboo kidz', 'history of qr codes', 'barcodes']"/>
    <n v="27"/>
    <x v="2"/>
    <n v="440548"/>
    <n v="1973"/>
    <n v="0"/>
    <n v="4.4785131245630438E-3"/>
    <n v="393"/>
    <s v="Long"/>
  </r>
  <r>
    <s v="WhIaIe_dIzs"/>
    <s v="411 I like ðŸ‘ this video #ne..."/>
    <s v="No description available"/>
    <s v="2025-06-20T13:35:17Z"/>
    <d v="2025-06-20T00:00:00"/>
    <n v="2025"/>
    <s v="June"/>
    <s v="2025-06"/>
    <n v="36"/>
    <s v="UCAdv2dc8GqOpTSh8S2UkdQw"/>
    <s v="Short Reaction Video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328"/>
    <n v="217464.60837887001"/>
    <n v="0"/>
    <n v="50.245981603250925"/>
    <n v="19"/>
    <s v="Short"/>
  </r>
  <r>
    <s v="CSF5dF9zYtw"/>
    <s v="DIY Electronic Dice â€“ It Act..."/>
    <s v="No description available"/>
    <s v="2025-06-08T13:42:46Z"/>
    <d v="2025-06-08T00:00:00"/>
    <n v="2025"/>
    <s v="June"/>
    <s v="2025-06"/>
    <n v="48"/>
    <s v="UCQe48l_82xd6kRPdKqfiMZA"/>
    <s v="RService"/>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22563"/>
    <n v="256"/>
    <n v="4"/>
    <n v="1.1523290342596287E-2"/>
    <n v="55"/>
    <s v="Short"/>
  </r>
  <r>
    <s v="QsCmLLTzXzY"/>
    <s v="USB touch light #tech #anitech..."/>
    <s v="#gadjets_x000a_#tech_x000a_#anitech_x000a_#technology"/>
    <s v="2025-06-16T11:23:48Z"/>
    <d v="2025-06-16T00:00:00"/>
    <n v="2025"/>
    <s v="June"/>
    <s v="2025-06"/>
    <n v="40"/>
    <s v="UChNDZkwOHEYwm5uVycADEdQ"/>
    <s v="ANI TE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66398"/>
    <n v="362"/>
    <n v="0"/>
    <n v="2.1755069171504465E-3"/>
    <n v="8"/>
    <s v="Short"/>
  </r>
  <r>
    <s v="Nl7aCUsWykg"/>
    <s v="Big Tech in panic mode... Did ..."/>
    <s v="Chip stocks like Nvidia are in trouble after the D..."/>
    <s v="2025-01-27T19:27:11Z"/>
    <d v="2025-01-27T00:00:00"/>
    <n v="2025"/>
    <s v="January"/>
    <s v="2025-01"/>
    <n v="180"/>
    <s v="UCsBjURrPoezykLs9EqgamOA"/>
    <s v="Fireship"/>
    <s v="['webdev', 'app development', 'lesson', 'tutorial']"/>
    <n v="28"/>
    <x v="0"/>
    <n v="3863019"/>
    <n v="153735"/>
    <n v="9886"/>
    <n v="4.235573265365767E-2"/>
    <n v="217"/>
    <s v="Long"/>
  </r>
  <r>
    <s v="pMqciQaZ9wA"/>
    <s v="TechnologyðŸ˜#ashudishu_6717 ..."/>
    <s v="No description available"/>
    <s v="2025-06-20T04:29:06Z"/>
    <d v="2025-06-20T00:00:00"/>
    <n v="2025"/>
    <s v="June"/>
    <s v="2025-06"/>
    <n v="36"/>
    <s v="UCOwJ981d4tXiPgvY04AGwkQ"/>
    <s v="Ashu_Dishu"/>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3715"/>
    <n v="187"/>
    <n v="0"/>
    <n v="5.5464926590538333E-3"/>
    <n v="12"/>
    <s v="Short"/>
  </r>
  <r>
    <s v="tvsk4hzhcvg"/>
    <s v="à¹„à¸­à¹€à¸”à¸µà¸¢à¸”à¸µà¸¡à¸²..."/>
    <s v="#whatsappstatus  #yearofyou  #elephant  #anime _x000a_#z..."/>
    <s v="2025-06-19T03:30:40Z"/>
    <d v="2025-06-19T00:00:00"/>
    <n v="2025"/>
    <s v="June"/>
    <s v="2025-06"/>
    <n v="37"/>
    <s v="UCn7NttsdsYIak33KORE8F-Q"/>
    <s v="à¸žà¸¥à¸²à¸¢à¸šà¸±à¸§à¸šà¸²à¸™ [ELEPHANT THAILAN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79189"/>
    <n v="274"/>
    <n v="1"/>
    <n v="3.4727045422975411E-3"/>
    <n v="9"/>
    <s v="Short"/>
  </r>
  <r>
    <s v="twFO7qaGMxU"/>
    <s v="Elon Musk and President Trump ..."/>
    <s v="Bloombergâ€™s Caroline Hyde and Ed Ludlow discuss ..."/>
    <s v="2025-06-06T21:03:27Z"/>
    <d v="2025-06-06T00:00:00"/>
    <n v="2025"/>
    <s v="June"/>
    <s v="2025-06"/>
    <n v="50"/>
    <s v="UCrM7B7SL_g1edFOnmj-SDKg"/>
    <s v="Bloomberg Technology"/>
    <s v="['Anna Rathbun', 'Caroline Hyde', &quot;Cecilia D'Anastasio&quot;, 'Ed Ludlow', 'Kailey Leinz', 'Matt Oguz', 'Max Chafkin', 'Michael Truell', 'Nancy Tengler', 'Nintendo Co. Ltd.', 'Tesla Motors Inc.', 'loren grush']"/>
    <n v="25"/>
    <x v="1"/>
    <n v="9923"/>
    <n v="166"/>
    <n v="24"/>
    <n v="1.9147435251436057E-2"/>
    <n v="2781"/>
    <s v="Long"/>
  </r>
  <r>
    <s v="1MYFiWu-404"/>
    <s v="Technology âŒ Technologia âœ…"/>
    <s v="No description available"/>
    <s v="2025-06-07T18:54:30Z"/>
    <d v="2025-06-07T00:00:00"/>
    <n v="2025"/>
    <s v="June"/>
    <s v="2025-06"/>
    <n v="49"/>
    <s v="UCS3Wkf4E8qFdFPX1coxNyAw"/>
    <s v="NoobMa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55921"/>
    <n v="669"/>
    <n v="4"/>
    <n v="1.2034834856315159E-2"/>
    <n v="12"/>
    <s v="Short"/>
  </r>
  <r>
    <s v="FN7QIDTG2-A"/>
    <s v="TechnologyðŸ¥´ðŸ«  #bikelover ..."/>
    <s v="No description available"/>
    <s v="2025-06-19T17:16:19Z"/>
    <d v="2025-06-19T00:00:00"/>
    <n v="2025"/>
    <s v="June"/>
    <s v="2025-06"/>
    <n v="37"/>
    <s v="UCv-7XfJ44mshX_fWNp9-fOA"/>
    <s v="Road Roller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485"/>
    <n v="64"/>
    <n v="0"/>
    <n v="9.8689282960678481E-3"/>
    <n v="13"/>
    <s v="Short"/>
  </r>
  <r>
    <s v="-R7hzowf2lM"/>
    <s v="Gostou? Se inscreva no canal p..."/>
    <s v="No description available"/>
    <s v="2025-06-20T16:33:00Z"/>
    <d v="2025-06-20T00:00:00"/>
    <n v="2025"/>
    <s v="June"/>
    <s v="2025-06"/>
    <n v="36"/>
    <s v="UC1jadvunaVQZLRQfvkl7W9g"/>
    <s v="HADEZERA TE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1415"/>
    <n v="47"/>
    <n v="5"/>
    <n v="3.674911660777385E-2"/>
    <n v="23"/>
    <s v="Short"/>
  </r>
  <r>
    <s v="a34ZpoKP7hg"/>
    <s v="Top 10 Emerging Technologies o..."/>
    <s v="Top 10 Emerging Technologies of 2025 (According to..."/>
    <s v="2024-12-05T20:56:32Z"/>
    <d v="2024-12-05T00:00:00"/>
    <n v="2024"/>
    <s v="December"/>
    <s v="2024-12"/>
    <n v="233"/>
    <s v="UCUTF61UNExRdjmoK5mXwWfQ"/>
    <s v="AI Uncovered"/>
    <s v="['top 10 emerging technologies of 2025 (according to science)', 'top 10 emerging technologies of 2025', 'emerging technologies of 2025', 'future technology trends', '2025 tech predictions', 'upcoming technologies 2025', 'scientific advancements 2025', 'top tech innovations of 2025', 'whatâ€™s next in technology', 'future technology breakthroughs', '2025 technology trends', 'cutting-edge technologies of 2025', 'technological advancements in 2025', 'future innovation predictions', 'ai uncovered']"/>
    <n v="28"/>
    <x v="0"/>
    <n v="136955"/>
    <n v="1615"/>
    <n v="82"/>
    <n v="1.2390931327808405E-2"/>
    <n v="631"/>
    <s v="Long"/>
  </r>
  <r>
    <s v="sEErbR6J2sk"/>
    <s v="#cricket #cricketshorts #techn..."/>
    <s v="No description available"/>
    <s v="2025-05-26T04:20:32Z"/>
    <d v="2025-05-26T00:00:00"/>
    <n v="2025"/>
    <s v="May"/>
    <s v="2025-05"/>
    <n v="61"/>
    <s v="UCVf1xp-6b4iabCQembMf-dg"/>
    <s v="Babu 7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7"/>
    <x v="14"/>
    <n v="129050"/>
    <n v="621"/>
    <n v="3"/>
    <n v="4.8353351414180549E-3"/>
    <n v="11"/>
    <s v="Short"/>
  </r>
  <r>
    <s v="V1Hbm7EGIcY"/>
    <s v="Top 10 New Trending Technologi..."/>
    <s v="In this rapidly evolving world of technology, stay..."/>
    <s v="2024-03-05T05:12:48Z"/>
    <d v="2024-03-05T00:00:00"/>
    <n v="2024"/>
    <s v="March"/>
    <s v="2024-03"/>
    <n v="508"/>
    <s v="UCh2sbH_mPy4HzE8SWWj5gjg"/>
    <s v="Job Oriented Training"/>
    <s v="['Job Oriented Training', 'Web Designing Training in Lucknow', 'Best Java Training Institute in Lucknow', 'Best PHP Training in Lucknow', 'CSS3', 'BOOTSTRAP 4', 'BOOTSTRAP 5', 'JavaScript', 'JS', 'Jquery', 'PHP', 'CI', 'CodeIgniter', 'Laravel', 'MySQL', 'Wordpress', 'Angluar Js', 'React Js', 'Node Js', 'Front End Web Development', 'UI/UX Design', 'Android Development', 'Display Advertising', 'E-mail Marketing', 'Search Engine Optimization', 'Search Media Optimization', 'SEO', 'SMO', 'PPC', 'Pay Per Click', 'Social Media', 'BCA', 'B.Tech', 'M.Tech', 'IT', 'CS', 'B.Voc']"/>
    <n v="27"/>
    <x v="2"/>
    <n v="8433"/>
    <n v="176"/>
    <n v="1"/>
    <n v="2.0988971896122376E-2"/>
    <n v="25"/>
    <s v="Short"/>
  </r>
  <r>
    <s v="VDzhIPsX8oA"/>
    <s v="Viral Memes of 2024 | Part 2"/>
    <s v="#boombaamfact #meme #memes #shorts #memesvideo #sh..."/>
    <s v="2024-12-18T15:30:14Z"/>
    <d v="2024-12-18T00:00:00"/>
    <n v="2024"/>
    <s v="December"/>
    <s v="2024-12"/>
    <n v="220"/>
    <s v="UCeNwWy7uf8FySbJpxom9qkQ"/>
    <s v="Boom Baam Fac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719580"/>
    <n v="217464.60837887001"/>
    <n v="72"/>
    <n v="0.30231052611088416"/>
    <n v="40"/>
    <s v="Short"/>
  </r>
  <r>
    <s v="RWSLYmImtrA"/>
    <s v="#adityavlogs #adityaranjansir ..."/>
    <s v="aditya ranjan sir vikramjeet Sir in khan sir shadi..."/>
    <s v="2025-06-03T23:44:26Z"/>
    <d v="2025-06-03T00:00:00"/>
    <n v="2025"/>
    <s v="June"/>
    <s v="2025-06"/>
    <n v="53"/>
    <s v="UCpv0zCVcnipfOfJIhAkE4Mw"/>
    <s v="motivation With  MY"/>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667234"/>
    <n v="4228"/>
    <n v="17"/>
    <n v="2.5461332962259647E-3"/>
    <n v="6"/>
    <s v="Short"/>
  </r>
  <r>
    <s v="4uS32KGlFko"/>
    <s v="Programming memes, only humor ..."/>
    <s v="No description available"/>
    <s v="2025-06-20T06:58:15Z"/>
    <d v="2025-06-20T00:00:00"/>
    <n v="2025"/>
    <s v="June"/>
    <s v="2025-06"/>
    <n v="36"/>
    <s v="UCYMM9tFC6oYDqJfpILGayYA"/>
    <s v="Amurik Khoyetsya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382"/>
    <n v="310"/>
    <n v="5"/>
    <n v="9.3140153755174454E-2"/>
    <n v="6"/>
    <s v="Short"/>
  </r>
  <r>
    <s v="ap_dEYfbUNY"/>
    <s v="Fingerprint sensor with Arduin..."/>
    <s v="No description available"/>
    <s v="2025-05-25T09:00:08Z"/>
    <d v="2025-05-25T00:00:00"/>
    <n v="2025"/>
    <s v="May"/>
    <s v="2025-05"/>
    <n v="62"/>
    <s v="UCg000s7WtHV0yps-hQ-SHwA"/>
    <s v="Upload Ideas With Itama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1138"/>
    <n v="136"/>
    <n v="9"/>
    <n v="1.3018495241515533E-2"/>
    <n v="21"/>
    <s v="Short"/>
  </r>
  <r>
    <s v="AvfYpj3Dr9Y"/>
    <s v="à¸§à¸´à¸˜à¸µà¸«à¸§à¹ˆà¸²à¸™à¸›..."/>
    <s v="#whatsappstatus  #yearofyou  #elephant  #anime _x000a_#z..."/>
    <s v="2025-06-20T05:30:15Z"/>
    <d v="2025-06-20T00:00:00"/>
    <n v="2025"/>
    <s v="June"/>
    <s v="2025-06"/>
    <n v="36"/>
    <s v="UCn7NttsdsYIak33KORE8F-Q"/>
    <s v="à¸žà¸¥à¸²à¸¢à¸šà¸±à¸§à¸šà¸²à¸™ [ELEPHANT THAILAN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16107"/>
    <n v="93"/>
    <n v="1"/>
    <n v="5.8359719376668527E-3"/>
    <n v="9"/>
    <s v="Short"/>
  </r>
  <r>
    <s v="LC1PCXnirrQ"/>
    <s v="Poco 7550mAh Phone coming, Not..."/>
    <s v="Weekend ka vaar aa gaya hai bhailog..._x000a__x000a_#POCOF7 #O..."/>
    <s v="2025-06-14T14:54:05Z"/>
    <d v="2025-06-14T00:00:00"/>
    <n v="2025"/>
    <s v="June"/>
    <s v="2025-06"/>
    <n v="42"/>
    <s v="UC1tVU8H153ZFO9eRsxdJlhA"/>
    <s v="Technology Gyan"/>
    <s v="['Nothing phone 3', 'poco f7', 'POCO F7', 'iqoo z10 lite', 'tech news', 'Tech', 'Technology', 'Technology Gyan']"/>
    <n v="28"/>
    <x v="0"/>
    <n v="296354"/>
    <n v="16633"/>
    <n v="1179"/>
    <n v="6.0103794785965434E-2"/>
    <n v="568"/>
    <s v="Long"/>
  </r>
  <r>
    <s v="GMGlWCagymo"/>
    <s v="Broken Flex Repair #mobilerepa..."/>
    <s v="Broken Flex Repair #mobilerepair #technology _x000a_#sol..."/>
    <s v="2025-06-06T08:02:40Z"/>
    <d v="2025-06-06T00:00:00"/>
    <n v="2025"/>
    <s v="June"/>
    <s v="2025-06"/>
    <n v="50"/>
    <s v="UCccExinXJkC9aQHROcCizaQ"/>
    <s v="ideal institute aligarh"/>
    <s v="['Broken Flex Repair #mobilerepair #technology', 'how to repair broken flex', 'broken flex repairing', 'broken flex', 'damage flex', 'cutted flex repair', 'turn flex repair', 'broken ribon belt repair', 'lcd flex', 'display flex', 'lcd flex repair', 'broken lcd flex repair', 'broken display flex repair', 'flex repair', 'mobile repair', 'mobile repairing', 'mobile repairing course', 'electronic', 'soldering', 'desoldering', 'soldering tutorial', 'micro soldering', 'micro jumper', 'solder mask', 'uv mask', 'uv curing mask']"/>
    <n v="28"/>
    <x v="0"/>
    <n v="33693"/>
    <n v="854"/>
    <n v="34"/>
    <n v="2.6355622829667885E-2"/>
    <n v="57"/>
    <s v="Short"/>
  </r>
  <r>
    <s v="ouOayOIXguQ"/>
    <s v="mini solar plate for mobile ch..."/>
    <s v="#gadjets_x000a_#tech_x000a_#anitech_x000a_#technology"/>
    <s v="2025-06-19T11:56:48Z"/>
    <d v="2025-06-19T00:00:00"/>
    <n v="2025"/>
    <s v="June"/>
    <s v="2025-06"/>
    <n v="37"/>
    <s v="UChNDZkwOHEYwm5uVycADEdQ"/>
    <s v="ANI TE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8095"/>
    <n v="34"/>
    <n v="0"/>
    <n v="4.2001235330450899E-3"/>
    <n v="12"/>
    <s v="Short"/>
  </r>
  <r>
    <s v="LffOMAm_YUg"/>
    <s v="Meta glassesðŸ˜Ž #meta #glasse..."/>
    <s v="No description available"/>
    <s v="2025-06-20T09:12:31Z"/>
    <d v="2025-06-20T00:00:00"/>
    <n v="2025"/>
    <s v="June"/>
    <s v="2025-06"/>
    <n v="36"/>
    <s v="UCOZl8NG3JDV09xo-lASN6zw"/>
    <s v="CanadianJaa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416"/>
    <n v="303"/>
    <n v="115"/>
    <n v="0.12236533957845433"/>
    <n v="57"/>
    <s v="Short"/>
  </r>
  <r>
    <s v="NlZUGIQqpJ4"/>
    <s v="I Tested 100 Years of Tech!"/>
    <s v="I tested 100 years of tech! Learn more about AI an..."/>
    <s v="2025-05-17T15:30:21Z"/>
    <d v="2025-05-17T00:00:00"/>
    <n v="2025"/>
    <s v="May"/>
    <s v="2025-05"/>
    <n v="70"/>
    <s v="UCXMVaxrax7RNDPdfRrXXgtQ"/>
    <s v="Hafu Go"/>
    <s v="['shorts', 'youtube shorts', 'hafu', 'hafu go', 'experiments', 'experiment', 'science experiment', 'hafu go shorts', 'level 1 to 100', 'mr beast', 'diy', 'mrbeast', 'vector', '_vector_', '100 years of tech', '100 years', 'i tested', 'tested', 'banned', 'banned products']"/>
    <n v="24"/>
    <x v="3"/>
    <n v="1176050"/>
    <n v="11696"/>
    <n v="258"/>
    <n v="1.0164533820840951E-2"/>
    <n v="1314"/>
    <s v="Long"/>
  </r>
  <r>
    <s v="jtZNjn4wIsA"/>
    <s v="Race Highlights | 2025 Bommari..."/>
    <s v="High drama and hard racing lit up the night in St...."/>
    <s v="2025-06-16T03:39:05Z"/>
    <d v="2025-06-16T00:00:00"/>
    <n v="2025"/>
    <s v="June"/>
    <s v="2025-06"/>
    <n v="40"/>
    <s v="UCy1F61QvUUQXAXi2Voa_fUw"/>
    <s v="NTT INDYCAR SERIES"/>
    <s v="['Indy', 'indycar', 'indy car', 'indycar news', 'indycar series', 'open wheel racing', 'motorsports', 'ntt indycar series', 'autosports', 'auto racing', 'indycar updates', 'IndyCar Series news', 'indycar highlights', 'motor racing', 'sports', 'sport', 'action', 'indycar videos', 'racing', '2025 indycar', '2025 indycar series', 'indycar on fox', 'fox sports indycar', 'indy 500', 'indianapolis 500', 'indycar 2025 highlights', 'indycar st louis', 'indycar gateway', 'indycar crash', 'kyle kirkwood', 'indycar 2025 gateway', 'indycar full race']"/>
    <n v="17"/>
    <x v="14"/>
    <n v="66301"/>
    <n v="1667"/>
    <n v="134"/>
    <n v="2.716399450988673E-2"/>
    <n v="528"/>
    <s v="Long"/>
  </r>
  <r>
    <s v="xZQpf6qcwUs"/>
    <s v="iPhone 17 Pro Big News, POCO F..."/>
    <s v="Hello, Friends Welcome to Tech News No.1685. Today..."/>
    <s v="2025-06-16T12:31:11Z"/>
    <d v="2025-06-16T00:00:00"/>
    <n v="2025"/>
    <s v="June"/>
    <s v="2025-06"/>
    <n v="40"/>
    <s v="UCEPL07qzVsOcHd3sMUws65g"/>
    <s v="Trakin Tech"/>
    <s v="['realme Narzo 80 Lite 5G', 'Lava Storm Lite', 'Lava Play', 'Samsung Galaxy M36', 'Tecno Pova 7 5G', 'POCO F7 leak', 'Dimensity 9500 Geekbench', 'iPhone 17 Pro Geekbench', 'Funtouch OS update', 'Nothing Phone 3 India', 'Galaxy S25 One UI 8', 'WhatsApp Telegram Ban Russia', 'AI Siri iOS 26.4', 'tech news India', 'new phone launches 2025', 'smartphone leaks June 2025', 'TrakinTech news', 'tech news', 'trakin tech news', 'trakin news', 'iphone 17 series', 'nothing phone 3', 'Nord CE 5', 'Nord 5', 'bullets wireless 3']"/>
    <n v="28"/>
    <x v="0"/>
    <n v="368021"/>
    <n v="15932"/>
    <n v="638"/>
    <n v="4.5024604574195493E-2"/>
    <n v="454"/>
    <s v="Long"/>
  </r>
  <r>
    <s v="cZypFRdPS9M"/>
    <s v="I bought the Cheapest Tech on ..."/>
    <s v="I bought the Cheapest Tech on the internet....why ..."/>
    <s v="2025-04-01T12:33:01Z"/>
    <d v="2025-04-01T00:00:00"/>
    <n v="2025"/>
    <s v="April"/>
    <s v="2025-04"/>
    <n v="116"/>
    <s v="UCMiJRAwDNSNzuYeN2uWa0pA"/>
    <s v="Mrwhosetheboss"/>
    <s v="['cheapest', 'tech', 'gadgets', 'cheap', 'cheap tech', 'cheap gadgets', 'tech gifts', 'I bought']"/>
    <n v="28"/>
    <x v="0"/>
    <n v="7242862"/>
    <n v="172242"/>
    <n v="6485"/>
    <n v="2.4676295088875089E-2"/>
    <n v="2306"/>
    <s v="Long"/>
  </r>
  <r>
    <s v="iCkJOLYlw7U"/>
    <s v="à¹ƒà¸Šà¹‰à¸—à¸¸à¹ˆà¸™à¹„à¸›à¹€..."/>
    <s v="#whatsappstatus  #yearofyou  #elephant  #anime _x000a_#z..."/>
    <s v="2025-06-20T10:01:30Z"/>
    <d v="2025-06-20T00:00:00"/>
    <n v="2025"/>
    <s v="June"/>
    <s v="2025-06"/>
    <n v="36"/>
    <s v="UCn7NttsdsYIak33KORE8F-Q"/>
    <s v="à¸žà¸¥à¸²à¸¢à¸šà¸±à¸§à¸šà¸²à¸™ [ELEPHANT THAILAN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19212"/>
    <n v="94"/>
    <n v="0"/>
    <n v="4.892775348740371E-3"/>
    <n v="11"/>
    <s v="Short"/>
  </r>
  <r>
    <s v="Tb1jvfOCcb8"/>
    <s v="Amazing Power Full Tractor Wor..."/>
    <s v="No description available"/>
    <s v="2025-06-20T04:30:26Z"/>
    <d v="2025-06-20T00:00:00"/>
    <n v="2025"/>
    <s v="June"/>
    <s v="2025-06"/>
    <n v="36"/>
    <s v="UCRViTbkidX2YMQuo3anHAhA"/>
    <s v="Happy Tractor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6068"/>
    <n v="147"/>
    <n v="0"/>
    <n v="4.0756349118332043E-3"/>
    <n v="6"/>
    <s v="Short"/>
  </r>
  <r>
    <s v="rf3UyUiHM_c"/>
    <s v="Tecnologia in Cricket #technol..."/>
    <s v="Tecnologia in Cricket #technology #memes #shorts #..."/>
    <s v="2025-06-09T13:43:12Z"/>
    <d v="2025-06-09T00:00:00"/>
    <n v="2025"/>
    <s v="June"/>
    <s v="2025-06"/>
    <n v="47"/>
    <s v="UCspyRYwKoAXVspnIyEV_a5w"/>
    <s v="AMA_cricketer"/>
    <s v="['shorts', 'cricket', 'tecnology', 'memes', 'technologia']"/>
    <n v="23"/>
    <x v="7"/>
    <n v="31197"/>
    <n v="217464.60837887001"/>
    <n v="0"/>
    <n v="6.9706897579533287"/>
    <n v="11"/>
    <s v="Short"/>
  </r>
  <r>
    <s v="pCCJeZQoUwI"/>
    <s v="Instagram-à®²à¯ à®ªà¯à®¤à®¿à..."/>
    <s v="No description available"/>
    <s v="2025-06-18T10:57:41Z"/>
    <d v="2025-06-18T00:00:00"/>
    <n v="2025"/>
    <s v="June"/>
    <s v="2025-06"/>
    <n v="38"/>
    <s v="UCu2ElvU6KgMS6jMUsEma1Sg"/>
    <s v="App Tamil"/>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576"/>
    <n v="106"/>
    <n v="1"/>
    <n v="1.1173767752715121E-2"/>
    <n v="24"/>
    <s v="Short"/>
  </r>
  <r>
    <s v="pCCJeZQoUwI"/>
    <s v="Instagram-à®²à¯ à®ªà¯à®¤à®¿à..."/>
    <s v="No description available"/>
    <s v="2025-06-18T10:57:41Z"/>
    <d v="2025-06-18T00:00:00"/>
    <n v="2025"/>
    <s v="June"/>
    <s v="2025-06"/>
    <n v="38"/>
    <s v="UCu2ElvU6KgMS6jMUsEma1Sg"/>
    <s v="App Tamil"/>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633"/>
    <n v="106"/>
    <n v="1"/>
    <n v="1.1107650783764144E-2"/>
    <n v="24"/>
    <s v="Short"/>
  </r>
  <r>
    <s v="0sSfAF65bsI"/>
    <s v="#freefireshorts  #new Bandar #..."/>
    <s v="No description available"/>
    <s v="2025-06-16T02:21:30Z"/>
    <d v="2025-06-16T00:00:00"/>
    <n v="2025"/>
    <s v="June"/>
    <s v="2025-06"/>
    <n v="40"/>
    <s v="UC5JWy-pwJL4QsM2OrnRv7jA"/>
    <s v="Ayaj_free_fire"/>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2713"/>
    <n v="22"/>
    <n v="0"/>
    <n v="8.1091043125691119E-3"/>
    <n v="23"/>
    <s v="Short"/>
  </r>
  <r>
    <s v="fKjTk756ddM"/>
    <s v="Did you know ðŸ¤¯ #lifehacks #..."/>
    <s v="No description available"/>
    <s v="2025-06-15T11:59:11Z"/>
    <d v="2025-06-15T00:00:00"/>
    <n v="2025"/>
    <s v="June"/>
    <s v="2025-06"/>
    <n v="41"/>
    <s v="UCRDFPlaigrXGcgrEqutDKuQ"/>
    <s v="Mystery Circui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2714"/>
    <n v="953"/>
    <n v="6"/>
    <n v="2.9314666503637586E-2"/>
    <n v="27"/>
    <s v="Short"/>
  </r>
  <r>
    <s v="JTT67FSc8j8"/>
    <s v="I Canâ€™t Believe I Care about..."/>
    <s v="Check out the Secretlab Titan Evo ergonomic gaming..."/>
    <s v="2025-06-14T20:01:50Z"/>
    <d v="2025-06-14T00:00:00"/>
    <n v="2025"/>
    <s v="June"/>
    <s v="2025-06"/>
    <n v="42"/>
    <s v="UCdBK94H6oZT2Q7l0-b0xmMg"/>
    <s v="ShortCircuit"/>
    <s v="['shortcircuit', 'SC', 'unboxing', 'first impression', 'tech', 'gadget', 'home', 'fun', 'buy', 'Motorola', 'RAZR 2025', 'RAZR Ultra', 'Foldable Phones', 'Flip Phone', 'Motorola Razr', 'Smartphone Review', 'Android Phones', 'Tech Review', 'ShortCircuit', 'Linus Tech Tips', 'LMG', 'Motorola Comparison']"/>
    <n v="28"/>
    <x v="0"/>
    <n v="660910"/>
    <n v="17279"/>
    <n v="1132"/>
    <n v="2.7857045588658064E-2"/>
    <n v="857"/>
    <s v="Long"/>
  </r>
  <r>
    <s v="lqYg0hLGCAg"/>
    <s v="The Most Dangerous Neodymium M..."/>
    <s v="The Most Dangerous Neodymium Magnets on Earth! ðŸ§..."/>
    <s v="2025-03-17T14:30:33Z"/>
    <d v="2025-03-17T00:00:00"/>
    <n v="2025"/>
    <s v="March"/>
    <s v="2025-03"/>
    <n v="131"/>
    <s v="UC6TEngWEu42_bJ6rYzlosNA"/>
    <s v="AstroCore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8113333"/>
    <n v="203344"/>
    <n v="138"/>
    <n v="2.5079951728839429E-2"/>
    <n v="42"/>
    <s v="Short"/>
  </r>
  <r>
    <s v="78cX0yLJPMw"/>
    <s v="I bought the Ultimate Survival..."/>
    <s v="I bought and tested the best survival tech I could..."/>
    <s v="2025-02-22T13:24:28Z"/>
    <d v="2025-02-22T00:00:00"/>
    <n v="2025"/>
    <s v="February"/>
    <s v="2025-02"/>
    <n v="154"/>
    <s v="UCMiJRAwDNSNzuYeN2uWa0pA"/>
    <s v="Mrwhosethebos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7041116"/>
    <n v="212188"/>
    <n v="6254"/>
    <n v="3.1023775208361856E-2"/>
    <n v="1987"/>
    <s v="Long"/>
  </r>
  <r>
    <s v="E2xmpFULoTY"/>
    <s v="Czy to w ogÃ³le potrzebne?#Å›m..."/>
    <s v="No description available"/>
    <s v="2025-06-20T10:13:33Z"/>
    <d v="2025-06-20T00:00:00"/>
    <n v="2025"/>
    <s v="June"/>
    <s v="2025-06"/>
    <n v="36"/>
    <s v="UCbwA8vh9fdS8_X37FaFIk2w"/>
    <s v="Technik Za Grosz"/>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13025"/>
    <n v="367"/>
    <n v="2"/>
    <n v="2.8330134357005758E-2"/>
    <n v="51"/>
    <s v="Short"/>
  </r>
  <r>
    <s v="Zc7uaA_3dII"/>
    <s v="ðŸ“±ðŸ’» Â¿CambiarÃ­as tu Mac ..."/>
    <s v="No description available"/>
    <s v="2025-06-18T00:08:17Z"/>
    <d v="2025-06-18T00:00:00"/>
    <n v="2025"/>
    <s v="June"/>
    <s v="2025-06"/>
    <n v="38"/>
    <s v="UCr9a47pzGZNAUY5srcczTAQ"/>
    <s v="Cris MartÃ­nez"/>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7870"/>
    <n v="3060"/>
    <n v="60"/>
    <n v="6.5176519740965111E-2"/>
    <n v="80"/>
    <s v="Long"/>
  </r>
  <r>
    <s v="WM7c_kPG4us"/>
    <s v="Hyper X Gaming Mouse &amp; Gaming ..."/>
    <s v="No description available"/>
    <s v="2025-05-27T07:02:23Z"/>
    <d v="2025-05-27T00:00:00"/>
    <n v="2025"/>
    <s v="May"/>
    <s v="2025-05"/>
    <n v="60"/>
    <s v="UCILOFtyUUceEnd5yEenavOw"/>
    <s v="Moonxte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205"/>
    <n v="65"/>
    <n v="5"/>
    <n v="2.1840873634945399E-2"/>
    <n v="55"/>
    <s v="Short"/>
  </r>
  <r>
    <s v="Ts_r-pE56So"/>
    <s v="Amazing Power Full Tractor Wor..."/>
    <s v="No description available"/>
    <s v="2025-06-19T04:30:30Z"/>
    <d v="2025-06-19T00:00:00"/>
    <n v="2025"/>
    <s v="June"/>
    <s v="2025-06"/>
    <n v="37"/>
    <s v="UCRViTbkidX2YMQuo3anHAhA"/>
    <s v="Happy Tractor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98184"/>
    <n v="416"/>
    <n v="2"/>
    <n v="4.2573128004562864E-3"/>
    <n v="6"/>
    <s v="Short"/>
  </r>
  <r>
    <s v="Sx-hzdC0XGI"/>
    <s v="à¦à¦‡ à¦›à§‹à¦Ÿ à¦›à¦¿à¦¦à§à..."/>
    <s v="#road #shorts #technology #rohossomoy _x000a__x000a__x000a_à¦œà¦¾à¦ª..."/>
    <s v="2025-06-20T09:00:59Z"/>
    <d v="2025-06-20T00:00:00"/>
    <n v="2025"/>
    <s v="June"/>
    <s v="2025-06"/>
    <n v="36"/>
    <s v="UC6gfR-c57XtR8Ytm7vv1GUg"/>
    <s v="Rohossomoy"/>
    <s v="['road', 'shorts', 'technology', 'rohossomoy', 'road technology', 'drainage system', 'road tech']"/>
    <n v="27"/>
    <x v="2"/>
    <n v="8312"/>
    <n v="100"/>
    <n v="0"/>
    <n v="1.203079884504331E-2"/>
    <n v="31"/>
    <s v="Short"/>
  </r>
  <r>
    <s v="s9XS13zefN0"/>
    <s v="vivo Y400 Pro is here - Stylis..."/>
    <s v="to aaj hum krenge vivo k y series ka phone vivo Y4..."/>
    <s v="2025-06-20T06:31:32Z"/>
    <d v="2025-06-20T00:00:00"/>
    <n v="2025"/>
    <s v="June"/>
    <s v="2025-06"/>
    <n v="36"/>
    <s v="UC1tVU8H153ZFO9eRsxdJlhA"/>
    <s v="Technology Gyan"/>
    <s v="['vivo y400 pro', 'vivo Y400 Pro', 'vivo Y400 Pro unboxing', 'vivo y400 pro camera test', 'vivo y400 pro review', 'vivo y400 pro price', 'vivo y400 pro bgmi test', 'vivo y400 pro test']"/>
    <n v="28"/>
    <x v="0"/>
    <n v="323608"/>
    <n v="18473"/>
    <n v="1275"/>
    <n v="6.1024449333761832E-2"/>
    <n v="846"/>
    <s v="Long"/>
  </r>
  <r>
    <s v="jX6AswjtxfU"/>
    <s v="iOS 26 Features || Prasad Tech..."/>
    <s v="iOS 26 Best Features Explained By Prasad tech in t..."/>
    <s v="2025-06-11T04:30:35Z"/>
    <d v="2025-06-11T00:00:00"/>
    <n v="2025"/>
    <s v="June"/>
    <s v="2025-06"/>
    <n v="45"/>
    <s v="UCb-xXZ7ltTvrh9C6DgB9H-Q"/>
    <s v="Prasadtechintelugu"/>
    <s v="['prasadtechintelugu', 'prasad', 'techtelugu', 'technews', 'Prasad tech in telugu', 'iOS 26 features', 'iOS 26 hands-on', 'iOS 26 review', 'iOS 26 update', 'iOS 26 supported device', 'iOS 26 new lock screen features', 'Whatâ€™s new in iOS 26 for iPhone', 'iOS 26 vs iOS 25 comparison', 'Hidden features in iOS 26', 'iOS 26 performance on iPhone 15']"/>
    <n v="28"/>
    <x v="0"/>
    <n v="471343"/>
    <n v="16705"/>
    <n v="689"/>
    <n v="3.6903062101272324E-2"/>
    <n v="702"/>
    <s v="Long"/>
  </r>
  <r>
    <s v="d3daRYrEa8M"/>
    <s v="Mind-Blowing Construction Tech..."/>
    <s v="Welcome to Lord Gizmo, your ultimate destination f..."/>
    <s v="2025-06-19T18:00:39Z"/>
    <d v="2025-06-19T00:00:00"/>
    <n v="2025"/>
    <s v="June"/>
    <s v="2025-06"/>
    <n v="37"/>
    <s v="UCtNqDwpTHxhT4b0VIZ680Tw"/>
    <s v="Lord Gizmo"/>
    <s v="['Lord Gizmo', 'construction technology', 'futuristic construction', 'advanced construction methods', 'construction innovations', 'smart construction tools', 'future of construction', 'automated construction', 'robotics in construction', 'construction site technology', 'high tech building', 'sustainable construction', 'prefab technology', 'building automation', 'smart infrastructure', 'construction equipment 2025', 'next-gen building techniques', 'tech in construction']"/>
    <n v="28"/>
    <x v="0"/>
    <n v="15534"/>
    <n v="155"/>
    <n v="3"/>
    <n v="1.0171237285953393E-2"/>
    <n v="1523"/>
    <s v="Long"/>
  </r>
  <r>
    <s v="iyb38dzetRk"/>
    <s v="What is Artificial Intelligenc..."/>
    <s v="#WhatisArtificialIntelligence #QuickSupport #Innov..."/>
    <s v="2020-11-07T10:34:26Z"/>
    <d v="2020-11-07T00:00:00"/>
    <n v="2020"/>
    <s v="November"/>
    <s v="2020-11"/>
    <n v="1722"/>
    <s v="UCN3-BVMnr44LIUheSuppw1A"/>
    <s v="Quick Support"/>
    <s v="['What is Artificial Intelligence With Full Information?', 'What is Artificial Intelligence in Hindi?', 'Artificial Intelligence Kya Hain?', 'What is artificial intelligence with examples? What is artificial intelligence in computer?', 'Artificial intelligence Animation Video', 'Benefits of artificial intelligence', 'Artificial intelligence future', 'Who started AI?', 'Where is Artificial Intelligence used?', 'What is the disadvantage of Artificial Intelligence?', 'Types of artificial intelligence']"/>
    <n v="22"/>
    <x v="6"/>
    <n v="3430352"/>
    <n v="91926"/>
    <n v="2321"/>
    <n v="2.7474439940857381E-2"/>
    <n v="650"/>
    <s v="Long"/>
  </r>
  <r>
    <s v="1UloeYdlFII"/>
    <s v="Japan Ki Technology |#shortvid..."/>
    <s v="Japan Ki Technology |#shortvideo #japan"/>
    <s v="2023-10-07T00:30:02Z"/>
    <d v="2023-10-07T00:00:00"/>
    <n v="2023"/>
    <s v="October"/>
    <s v="2023-10"/>
    <n v="658"/>
    <s v="UCYGG8zOddS-r1sRbgseabhQ"/>
    <s v="INTJAR KHAN 0009"/>
    <s v="['Japan ki Technology', 'Japan', 'YouTube shorts video', 'shorts', 'intjar khan 0009']"/>
    <n v="24"/>
    <x v="3"/>
    <n v="324714"/>
    <n v="217464.60837887001"/>
    <n v="25"/>
    <n v="0.66978820863550692"/>
    <n v="55"/>
    <s v="Short"/>
  </r>
  <r>
    <s v="fV2ZzHx0UI0"/>
    <s v="Ha ha à¦à¦Ÿà¦¾ à¦¨à¦¾à¦•à¦¿ T..."/>
    <s v="Ha ha à¦à¦Ÿà¦¾ à¦¨à¦¾à¦•à¦¿ TechnologyðŸ˜‚ðŸ˜‚à¦¸..."/>
    <s v="2025-06-20T06:07:44Z"/>
    <d v="2025-06-20T00:00:00"/>
    <n v="2025"/>
    <s v="June"/>
    <s v="2025-06"/>
    <n v="36"/>
    <s v="UCOsIy06fqolrwK72HTgyTkQ"/>
    <s v="Nahid Hasan Vlogs"/>
    <s v="['funny', 'comedy', 'shorts', 'new funny video', 'best funny', 'bangla funny', 'bd funny', 'hasir video']"/>
    <n v="24"/>
    <x v="3"/>
    <n v="1176285"/>
    <n v="18763"/>
    <n v="75"/>
    <n v="1.6014826338854954E-2"/>
    <n v="91"/>
    <s v="Long"/>
  </r>
  <r>
    <s v="9VvV1FUQ06Y"/>
    <s v="4 Satisfying Gadgets  #gadgets..."/>
    <s v="4 Satisfying Gadgets  #gadgets #shorts"/>
    <s v="2024-07-08T15:48:07Z"/>
    <d v="2024-07-08T00:00:00"/>
    <n v="2024"/>
    <s v="July"/>
    <s v="2024-07"/>
    <n v="383"/>
    <s v="UCBbeXVY55K5estTHrKWJ5Yg"/>
    <s v="Tech FC Sho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7236998"/>
    <n v="509957"/>
    <n v="272"/>
    <n v="2.9600804037918899E-2"/>
    <n v="42"/>
    <s v="Short"/>
  </r>
  <r>
    <s v="bQGRW2mXnmQ"/>
    <s v="#smartphone #technologykabaap ..."/>
    <s v="No description available"/>
    <s v="2025-06-19T10:40:45Z"/>
    <d v="2025-06-19T00:00:00"/>
    <n v="2025"/>
    <s v="June"/>
    <s v="2025-06"/>
    <n v="37"/>
    <s v="UCYmubRgKh0mk4TYQnonwTGQ"/>
    <s v="MATA MOBILE BHATPAR RANI"/>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024"/>
    <n v="145"/>
    <n v="1"/>
    <n v="1.6179078014184396E-2"/>
    <n v="29"/>
    <s v="Short"/>
  </r>
  <r>
    <s v="YT4jWl-2Ojs"/>
    <s v="This is why I keep downgrading..."/>
    <s v="Check out the CORSAIR Platform:4 Elevate Desk at: ..."/>
    <s v="2025-04-28T20:11:16Z"/>
    <d v="2025-04-28T00:00:00"/>
    <n v="2025"/>
    <s v="April"/>
    <s v="2025-04"/>
    <n v="89"/>
    <s v="UCdBK94H6oZT2Q7l0-b0xmMg"/>
    <s v="ShortCircuit"/>
    <s v="['shortcircuit', 'SC', 'unboxing', 'first impression', 'tech', 'gadget', 'home', 'fun', 'buy', 'Samsung Galaxy A35', 'A36 review', 'Galaxy A35 hands-on', 'Galaxy A36 hands-on', 'Galaxy A36 first impressions', 'Samsung budget phone review', 'Samsung midrange phone', 'Galaxy A series review', 'Linus Tech Tips', 'ShortCircuit', 'Linus Sebastian', 'smartphone review', 'cheap phone review', 'Galaxy A36 vs flagship', 'Galaxy A36 gaming', 'Galaxy A36 camera test', 'Galaxy A36 battery life', 'Galaxy A36 vs Pixel 9a', 'Android phone 2024']"/>
    <n v="28"/>
    <x v="0"/>
    <n v="843288"/>
    <n v="25034"/>
    <n v="3464"/>
    <n v="3.3793911451366558E-2"/>
    <n v="533"/>
    <s v="Long"/>
  </r>
  <r>
    <s v="7w8jmw96ryA"/>
    <s v="1 month without US tech giants"/>
    <s v="Get 40% off an annual Nebula subscription here: ht..."/>
    <s v="2025-05-04T11:16:39Z"/>
    <d v="2025-05-04T00:00:00"/>
    <n v="2025"/>
    <s v="May"/>
    <s v="2025-05"/>
    <n v="83"/>
    <s v="UCtZO3K2p8mqFwiKWb9k7fXA"/>
    <s v="TechAltar"/>
    <s v="['techaltar', 'the story behind', 'the friday checkout', 'friday checkout', 'laptop', 'fairphone', 'fairphone 5', 'eos', 'e/os', 'european alternatives', 'european software', 'open source', 'american tech', 'boycott', 'tech giants', 'google', 'microsoft', 'nextcloud', 'next cloud', 'murena', 'proton', 'proton mail', 'proton drive', 'tariffs', 'trade war', 'trump', 'EU', 'european union', 'europe', 'german', 'dutch', 'french', 'US', 'USA', 'american']"/>
    <n v="28"/>
    <x v="0"/>
    <n v="272545"/>
    <n v="13055"/>
    <n v="1250"/>
    <n v="5.2486745308114258E-2"/>
    <n v="988"/>
    <s v="Long"/>
  </r>
  <r>
    <s v="yldrjxQvYjk"/>
    <s v="Why is Big Tech Slashing Jobs ..."/>
    <s v="Why is Big Tech Slashing Jobs in 2025? | Vantage w..."/>
    <s v="2025-05-28T18:25:00Z"/>
    <d v="2025-05-28T00:00:00"/>
    <n v="2025"/>
    <s v="May"/>
    <s v="2025-05"/>
    <n v="59"/>
    <s v="UCz8QaiQxApLq8sLNcszYyJw"/>
    <s v="Firstpost"/>
    <s v="['firstpost', 'vantage', 'palki sharma', 'vantage palki sharma', 'first post', 'firstpost palki sharma', 'vantage on firstpost', 'jobs in tech', 'tech jobs', 'jobs in technology', 'google jobs', 'job vacancy in microsoft', 'job vacancy in google', 'technology jobs', 'tech jobs 2025', 'technology jobs 2025', 'technology jobs in 2025', '2025 technology jobs', 'jobs in technology video', 'jobs in technologyvideos', 'jobs in technology 2025 video', 'tech jobs portal', 'tech jobs naukri', 'tech jobs linkedin']"/>
    <n v="25"/>
    <x v="1"/>
    <n v="223617"/>
    <n v="2274"/>
    <n v="215"/>
    <n v="1.1130638547158758E-2"/>
    <n v="378"/>
    <s v="Long"/>
  </r>
  <r>
    <s v="m0ViZDQuOrg"/>
    <s v="Meibot in Lab  ðŸ¥¼ ðŸ”¬ #futu..."/>
    <s v="Meibot in Lab ðŸ§ª #future #tech #technology ##mei..."/>
    <s v="2025-06-18T16:50:24Z"/>
    <d v="2025-06-18T00:00:00"/>
    <n v="2025"/>
    <s v="June"/>
    <s v="2025-06"/>
    <n v="38"/>
    <s v="UCPdVC7w-AmZ6BGCoIoU1v3g"/>
    <s v="Meibo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10606"/>
    <n v="721"/>
    <n v="3"/>
    <n v="6.5457570113737051E-3"/>
    <n v="11"/>
    <s v="Short"/>
  </r>
  <r>
    <s v="i7lh7MM3P-o"/>
    <s v="ATM bike viral shorts #technol..."/>
    <s v="ATM bike viral shorts #technology #atm #funny #hac..."/>
    <s v="2025-06-19T16:38:38Z"/>
    <d v="2025-06-19T00:00:00"/>
    <n v="2025"/>
    <s v="June"/>
    <s v="2025-06"/>
    <n v="37"/>
    <s v="UCakSAR_crAk4P5DT6FsovwQ"/>
    <s v="mcm sanjay"/>
    <s v="['bike shorts', 'viral bike', 'ATM bike', 'viral ATM', 'machine', 'ATM', 'experiment ATM', 'bike experiment', 'ATM technology', 'ATM bike shorts', 'viral short', 'feed', 'shorts', 'new bike', 'new hack', 'YouTube shorts', 'shorts feed']"/>
    <n v="22"/>
    <x v="6"/>
    <n v="13765"/>
    <n v="217464.60837887001"/>
    <n v="4"/>
    <n v="15.798663885134037"/>
    <n v="46"/>
    <s v="Short"/>
  </r>
  <r>
    <s v="1eegd28NOck"/>
    <s v="Heavy Tractor Working In The F..."/>
    <s v="No description available"/>
    <s v="2025-06-20T05:06:17Z"/>
    <d v="2025-06-20T00:00:00"/>
    <n v="2025"/>
    <s v="June"/>
    <s v="2025-06"/>
    <n v="36"/>
    <s v="UCKd9CHxXx0GPCQSlGYfVTuA"/>
    <s v="Huge Tractors videos ðŸšœ"/>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6934"/>
    <n v="104"/>
    <n v="0"/>
    <n v="3.861290562114799E-3"/>
    <n v="6"/>
    <s v="Short"/>
  </r>
  <r>
    <s v="LWz469u2oeo"/>
    <s v="TECHNOLOGIA!!BOBY SHINGH!!CHOU..."/>
    <s v="TECHNOLOGIA!!BOBY SHINGH!!CHOUDHURI &amp; BEBO!!BOBY S..."/>
    <s v="2025-05-21T01:00:06Z"/>
    <d v="2025-05-21T00:00:00"/>
    <n v="2025"/>
    <s v="May"/>
    <s v="2025-05"/>
    <n v="66"/>
    <s v="UCTuaDfooCOEXbW4X-dbDmkw"/>
    <s v="BOBY SINGH OFFICIAL"/>
    <s v="['tenge tenge', 'tenge tenge kid', 'rango tenge tenge', 'tenge tenge uganda', 'tenge tenge kid dance', 'tenge tenge dance', 'tenge tenge original', 'tenge tenge original video', 'tengetenge', 'BADO BADI', 'PURTY STAR ENTERTAINMENT', 'NEW SANTALI VIDEO SONG', 'NEW SANTALI VIDEO', 'CHIN TAPAK', 'CHINTAPAKDUMDUM', 'CHINTAPAKDAMDAM', 'CHIN TAPAK DAM DAM', 'DAM DAM', 'LAKA LAKA', 'LAKA LAKA BOBY SINGH', 'AMBO KAIBU KI', 'BOBY SINGH', 'KHADAL KHADAL', 'TECHNOLOGIA', 'TECHNOLOGIA BOBY SINGH', 'BOBY SINGH TECHNOLOGIA']"/>
    <n v="24"/>
    <x v="3"/>
    <n v="992690"/>
    <n v="15827"/>
    <n v="573"/>
    <n v="1.6520766805347087E-2"/>
    <n v="194"/>
    <s v="Long"/>
  </r>
  <r>
    <s v="cGBUZB8eOLI"/>
    <s v="Amazing Power Full Tractor Wor..."/>
    <s v="No description available"/>
    <s v="2025-06-18T04:38:49Z"/>
    <d v="2025-06-18T00:00:00"/>
    <n v="2025"/>
    <s v="June"/>
    <s v="2025-06"/>
    <n v="38"/>
    <s v="UCpM3JS2OolDneqp04flQP1g"/>
    <s v="Women Tractor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9070"/>
    <n v="72"/>
    <n v="0"/>
    <n v="2.4767801857585141E-3"/>
    <n v="6"/>
    <s v="Short"/>
  </r>
  <r>
    <s v="DE9IchvpOPk"/>
    <s v="Milow - Ayo Technology (Offici..."/>
    <s v="Official music video for Milow &quot;Ayo Technology&quot; _x000a_D..."/>
    <s v="2009-04-18T21:06:33Z"/>
    <d v="2009-04-18T00:00:00"/>
    <n v="2009"/>
    <s v="April"/>
    <s v="2009-04"/>
    <n v="5943"/>
    <s v="UChCDNXr_7WGYGcVsk6JuboQ"/>
    <s v="Radial by The Orchard"/>
    <s v="['50 Cent (Musical Artist)', 'Alternative', 'Ayo Technology', 'Ayo Technology (Composition)', 'Belgium', 'Coming Of Age (Musical Album)', 'Homerun', 'Jonathan Vandenbroeck', 'Justin Timberlake (Musical Artist)', 'Milow', 'Milow songs', 'Official Music Video', 'Orchard Music', 'Radial', 'Records', 'Rock', 'The Orchard', 'official video']"/>
    <n v="10"/>
    <x v="5"/>
    <n v="78152857"/>
    <n v="238675"/>
    <n v="13765"/>
    <n v="3.2300802515767275E-3"/>
    <n v="214"/>
    <s v="Long"/>
  </r>
  <r>
    <s v="I8oMcMlItpU"/>
    <s v="Ayo Yo Technology - Sunep Lemt..."/>
    <s v="Song Title: Ayo Yo Technology (Nagamese Comedy Son..."/>
    <s v="2020-08-23T08:30:13Z"/>
    <d v="2020-08-23T00:00:00"/>
    <n v="2020"/>
    <s v="August"/>
    <s v="2020-08"/>
    <n v="1798"/>
    <s v="UCr-4TcDYvJis3_Pgzyvwvag"/>
    <s v="Sunep Lemtu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5083502"/>
    <n v="83850"/>
    <n v="1559"/>
    <n v="1.6801213022046613E-2"/>
    <n v="291"/>
    <s v="Long"/>
  </r>
  <r>
    <s v="P_iSmFeizDE"/>
    <s v="EarBuds from China in 150rs ðŸ..."/>
    <s v="No description available"/>
    <s v="2024-11-25T12:47:38Z"/>
    <d v="2024-11-25T00:00:00"/>
    <n v="2024"/>
    <s v="November"/>
    <s v="2024-11"/>
    <n v="243"/>
    <s v="UCmJbw8OlRhzAXPjfVHXGndg"/>
    <s v="The Techtv"/>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27148315"/>
    <n v="1001472"/>
    <n v="3127"/>
    <n v="3.7004101359513472E-2"/>
    <n v="60"/>
    <s v="Short"/>
  </r>
  <r>
    <s v="649PCPzqnBo"/>
    <s v="AMD Doesnâ€™t Give a F**K Eith..."/>
    <s v="AMD Doesnâ€™t Give a F**K Either - Tech News June ..."/>
    <s v="2025-06-08T07:05:16Z"/>
    <d v="2025-06-08T00:00:00"/>
    <n v="2025"/>
    <s v="June"/>
    <s v="2025-06"/>
    <n v="48"/>
    <s v="UCvWWf-LYjaujE50iYai8WgQ"/>
    <s v="Paul's Hardware"/>
    <s v="['computer', 'PC', 'PC gaming', 'personal computer', 'computer hardware', 'paulshardware', 'AMD', 'RX 9060 XT', '8GB', '16GB', 'RX 9060 XT launch', 'backlash', 'radeon', 'gpu', 'RTX 5060', 'RTX 5060 Ti', '5060 ti', '5060 ti 8gb', 'NVIDIA', 'Gaming GPUs', 'AMD Radeon', 'nvidia', 'intel', 'tech news', 'weekly tech news', 'graphics cards', 'gaming pc', 'sunday tech news', 'RTX 50 series', 'RX 9070 XT', 'gpu news', 'launch date', 'rtx 50 series', 'gpu availability', 'RTX 5060 launch', 'Windows 11']"/>
    <n v="28"/>
    <x v="0"/>
    <n v="113134"/>
    <n v="8898"/>
    <n v="1075"/>
    <n v="8.8152102816129549E-2"/>
    <n v="690"/>
    <s v="Long"/>
  </r>
  <r>
    <s v="9JwMlW6BVhU"/>
    <s v="à¦Ÿà§‡à¦•à¦¨à§‹à¦²à¦œà¦¿ vs à¦..."/>
    <s v="à¦Ÿà§‡à¦•à¦¨à§‹à¦²à¦œà¦¿ vs à¦¬à§Œà¦®à¦¾ ðŸ˜‚ðŸ¤£ ..."/>
    <s v="2025-05-27T11:30:17Z"/>
    <d v="2025-05-27T00:00:00"/>
    <n v="2025"/>
    <s v="May"/>
    <s v="2025-05"/>
    <n v="60"/>
    <s v="UC62kJaLNMTv9DTbgFGUZYdQ"/>
    <s v="Sasuri vs Bouma"/>
    <s v="['bangla gaan', 'bangla natok', 'cartoon', 'chicken', 'comedy', 'comedy shorts', 'comedy video', 'dance', 'entertainment', 'funny moments', 'medical', 'meme', 'memes', 'music', 'new funny video', 'ranna banna', 'recipe', 'shorts', 'song', 'tiktok', 'trending', 'à¦Ÿà§à¦°à§‡à¦¨à§à¦¡à¦¿à¦‚ à¦•à¦®à§‡à¦¡à¦¿', 'à¦Ÿà§à¦°à§‡à¦¨à§à¦¡à¦¿à¦‚ à¦­à¦¿à¦¡à¦¿à¦“']"/>
    <n v="23"/>
    <x v="7"/>
    <n v="29593"/>
    <n v="183"/>
    <n v="9"/>
    <n v="6.4880208157334501E-3"/>
    <n v="26"/>
    <s v="Short"/>
  </r>
  <r>
    <s v="Y_rVgbZamdM"/>
    <s v="Amazing Power Full Tractor Wor..."/>
    <s v="No description available"/>
    <s v="2025-06-18T04:30:17Z"/>
    <d v="2025-06-18T00:00:00"/>
    <n v="2025"/>
    <s v="June"/>
    <s v="2025-06"/>
    <n v="38"/>
    <s v="UCRViTbkidX2YMQuo3anHAhA"/>
    <s v="Happy Tractor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45406"/>
    <n v="1327"/>
    <n v="1"/>
    <n v="3.8447508149829475E-3"/>
    <n v="6"/>
    <s v="Short"/>
  </r>
  <r>
    <s v="wQUD1-H1J1s"/>
    <s v="Bidi Ko Fuk Diya || à¤¬à¥€à¤¡à..."/>
    <s v="#avinashnayak #avinash #avinashnayaknagpurisongs #..."/>
    <s v="2025-04-27T10:56:13Z"/>
    <d v="2025-04-27T00:00:00"/>
    <n v="2025"/>
    <s v="April"/>
    <s v="2025-04"/>
    <n v="90"/>
    <s v="UCpR-WSYHt_xsWNc3A5KJEdA"/>
    <s v="Nagpuri Rhythm House"/>
    <s v="['MUH KO CHIPA LIYA', '#AVINASH NAYAK NEW NAGPURI SONG', '# AVINASH NAYAK', '#LATEST NAGPURI SONG', '#K K NEW SONG', '#K K FUNNY SONG', 'KK SONG 2025', 'new nagpuri song', 'new nagpuri video 2025', 'nagpuri video 2024', 'avinash nayak nagpuri song', 'mhu ko chamka liya nagpuri video', 'mhu ko chmka liya trending song', 'viral nagpuri song muh ko chamka liya', 'avinash nayak', 'nrh music', 'nrhmusicnagpuri', 'bidi ko fuk diya', 'bidi ko fuk diya nagpuri song', 'bidi ko fuk diya avinash nayak nagpuri song']"/>
    <n v="10"/>
    <x v="5"/>
    <n v="9385375"/>
    <n v="88912"/>
    <n v="1483"/>
    <n v="9.6314745015516155E-3"/>
    <n v="276"/>
    <s v="Long"/>
  </r>
  <r>
    <s v="WkJ9LbOFoU0"/>
    <s v="à¹€à¸„à¸£à¸·à¹ˆà¸­à¸‡à¸à¸£à¸­..."/>
    <s v="#whatsappstatus  #yearofyou  #elephant  #anime _x000a_#z..."/>
    <s v="2025-06-20T04:30:25Z"/>
    <d v="2025-06-20T00:00:00"/>
    <n v="2025"/>
    <s v="June"/>
    <s v="2025-06"/>
    <n v="36"/>
    <s v="UCn7NttsdsYIak33KORE8F-Q"/>
    <s v="à¸žà¸¥à¸²à¸¢à¸šà¸±à¸§à¸šà¸²à¸™ [ELEPHANT THAILAN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14184"/>
    <n v="92"/>
    <n v="0"/>
    <n v="6.4861816130851666E-3"/>
    <n v="10"/>
    <s v="Short"/>
  </r>
  <r>
    <s v="SK6snd5Mwc4"/>
    <s v="AgiBot Robotic Learning Datase..."/>
    <s v="No description available"/>
    <s v="2025-06-09T13:07:44Z"/>
    <d v="2025-06-09T00:00:00"/>
    <n v="2025"/>
    <s v="June"/>
    <s v="2025-06"/>
    <n v="47"/>
    <s v="UC4_puqArPl3rWk4qg5sRQHQ"/>
    <s v="Space and Technology"/>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030"/>
    <n v="19"/>
    <n v="0"/>
    <n v="1.8446601941747572E-2"/>
    <n v="36"/>
    <s v="Short"/>
  </r>
  <r>
    <s v="5RDSkR8_AQ0"/>
    <s v="50 Cent - Ayo Technology (Offi..."/>
    <s v="REMASTERED IN HD!_x000a_Official Music Video for Ayo Tec..."/>
    <s v="2009-06-17T05:30:22Z"/>
    <d v="2009-06-17T00:00:00"/>
    <n v="2009"/>
    <s v="June"/>
    <s v="2009-06"/>
    <n v="5883"/>
    <s v="UC0sL86jDLgs2fGRD-XBnPQA"/>
    <s v="50CentVEVO"/>
    <s v="['50 CENT', '50 CENT AYO TECHNOLOGY', 'AYO TECHNOLOGY', 'AYO TECHNOLOGY 50 CENT', 'AYO TECHNOLOGY official music video', 'AYO TECHNOLOGY remastered video', '50 CENT remastered', '50 CENT remastered videos', '#remastered', 'hd music videos', 'remastered music videos', 'Curtis Jackson', 'In Da Club', 'JUSTIN TIMBERLAKE', '50 CENT JUSTIN TIMBERLAKE']"/>
    <n v="10"/>
    <x v="5"/>
    <n v="343758991"/>
    <n v="1734503"/>
    <n v="40241"/>
    <n v="5.1627566011793417E-3"/>
    <n v="249"/>
    <s v="Long"/>
  </r>
  <r>
    <s v="kqXfvqIzpgs"/>
    <s v="The Evolution of Technology: A..."/>
    <s v="Jim Al-Khalili explores the history of computer sc..."/>
    <s v="2025-01-30T00:00:28Z"/>
    <d v="2025-01-30T00:00:00"/>
    <n v="2025"/>
    <s v="January"/>
    <s v="2025-01"/>
    <n v="177"/>
    <s v="UCZeq5B4ur7uk9fUBvYkHlOA"/>
    <s v="Doc of the Day"/>
    <s v="['doc of the day', 'documentary', 'current affairs', 'history', 'science', 'education', 'inspiration', 'culture', 'world events', 'diverse perspectives', 'daily dose', 'informative', 'thought-provoking']"/>
    <n v="22"/>
    <x v="6"/>
    <n v="186040"/>
    <n v="3127"/>
    <n v="228"/>
    <n v="1.803375618146635E-2"/>
    <n v="3561"/>
    <s v="Long"/>
  </r>
  <r>
    <s v="ab8MlBw_GBE"/>
    <s v="The Fan With no Moving Parts! ..."/>
    <s v="The Fan With no Moving Parts! #science #technology..."/>
    <s v="2025-04-15T14:30:01Z"/>
    <d v="2025-04-15T00:00:00"/>
    <n v="2025"/>
    <s v="April"/>
    <s v="2025-04"/>
    <n v="102"/>
    <s v="UCFJW46vi9NiBePRa92C4oNQ"/>
    <s v="Vigyan Mitra"/>
    <s v="['fan with no moving parts', 'laptop', 'cooling', 'smartphone cooling', 'future of cooling tech', 'technology', 'tech', 'future technology', 'science', 'science explained', 'science facts', 'Laptop Cooler', 'fanless', 'best laptop', 'quiet', 'silent', 'silent fan', 'PC fan', 'quietest fan', 'best fan', 'best PC fan', 'best laptop cooler', 'vigyan mitra', 'vigyan mitra new video']"/>
    <n v="28"/>
    <x v="0"/>
    <n v="767009"/>
    <n v="16185"/>
    <n v="49"/>
    <n v="2.1165331827918576E-2"/>
    <n v="43"/>
    <s v="Short"/>
  </r>
  <r>
    <s v="u-5jkjd-dUA"/>
    <s v="Teleportasi? Bisa atau enggak ..."/>
    <s v="No description available"/>
    <s v="2025-06-20T08:18:10Z"/>
    <d v="2025-06-20T00:00:00"/>
    <n v="2025"/>
    <s v="June"/>
    <s v="2025-06"/>
    <n v="36"/>
    <s v="UC5C3bwo-CdJBvEqp5rieUYg"/>
    <s v="Theresa Learn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777"/>
    <n v="81"/>
    <n v="2"/>
    <n v="2.9888368743248111E-2"/>
    <n v="37"/>
    <s v="Short"/>
  </r>
  <r>
    <s v="xybSilthYgs"/>
    <s v="#tecnologia acessÃ³rios para c..."/>
    <s v="No description available"/>
    <s v="2025-06-13T20:04:04Z"/>
    <d v="2025-06-13T00:00:00"/>
    <n v="2025"/>
    <s v="June"/>
    <s v="2025-06"/>
    <n v="43"/>
    <s v="UCO_wisVMKeWvbKZOGgYMeBA"/>
    <s v="Andre Lug"/>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866"/>
    <n v="16"/>
    <n v="0"/>
    <n v="1.8475750577367205E-2"/>
    <n v="37"/>
    <s v="Short"/>
  </r>
  <r>
    <s v="Zrss8I4mvu4"/>
    <s v="How Pakistan Stole Nuclear B*m..."/>
    <s v="Boost your career in Data Science, Software Develo..."/>
    <s v="2025-05-18T04:41:12Z"/>
    <d v="2025-05-18T00:00:00"/>
    <n v="2025"/>
    <s v="May"/>
    <s v="2025-05"/>
    <n v="69"/>
    <s v="UCepBxbSrGZkgjgGJuY04c-Q"/>
    <s v="Professor Of How"/>
    <s v="['How Pakistan Stole Nuclear B*mb Technology? | Professor Of How']"/>
    <n v="1"/>
    <x v="11"/>
    <n v="1595996"/>
    <n v="58787"/>
    <n v="5640"/>
    <n v="4.0367895658886363E-2"/>
    <n v="1240"/>
    <s v="Long"/>
  </r>
  <r>
    <s v="5nKLu2CSxx8"/>
    <s v="Galaxy S25 Edge and the Thin P..."/>
    <s v="Stunningly thin phones and silicon carbon batterie..."/>
    <s v="2025-05-30T16:18:04Z"/>
    <d v="2025-05-30T00:00:00"/>
    <n v="2025"/>
    <s v="May"/>
    <s v="2025-05"/>
    <n v="57"/>
    <s v="UCBJycsmduvYEL83R_U4JriQ"/>
    <s v="Marques Brownlee"/>
    <s v="['S25 Edge', 'iPhone Air', 'iPhone 17 Air', 'MKBHD', 'S25 Edge battery', 'S25 Edge vs', 'Samsung Edge', 'ultra thin phone', 'silicon carbon']"/>
    <n v="28"/>
    <x v="0"/>
    <n v="2497065"/>
    <n v="71407"/>
    <n v="4975"/>
    <n v="3.0588711146886445E-2"/>
    <n v="601"/>
    <s v="Long"/>
  </r>
  <r>
    <s v="7MTuSV8PUjE"/>
    <s v="damage bluetooth headphone con..."/>
    <s v="damage bluetooth headphone convert a bluetooth rec..."/>
    <s v="2025-06-19T13:15:20Z"/>
    <d v="2025-06-19T00:00:00"/>
    <n v="2025"/>
    <s v="June"/>
    <s v="2025-06"/>
    <n v="37"/>
    <s v="UC-zx3tEi3t7JYCeR09f7Tpw"/>
    <s v="Technical chahal 1M"/>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5532"/>
    <n v="210"/>
    <n v="0"/>
    <n v="8.2249725834247223E-3"/>
    <n v="32"/>
    <s v="Short"/>
  </r>
  <r>
    <s v="6SqZBbLsuII"/>
    <s v="The BOLDEST boot technology cl..."/>
    <s v="There's been a lot of wild, crazy and bold technol..."/>
    <s v="2025-06-19T12:30:17Z"/>
    <d v="2025-06-19T00:00:00"/>
    <n v="2025"/>
    <s v="June"/>
    <s v="2025-06"/>
    <n v="37"/>
    <s v="UC5SQGzkWyQSW_fe-URgq7xw"/>
    <s v="Unisport"/>
    <s v="['football', 'skills', 'unisport', 'boots', 'soccer', 'cleats', 'review', 'learn', 'how to', 'tutorial']"/>
    <n v="17"/>
    <x v="14"/>
    <n v="21675"/>
    <n v="589"/>
    <n v="50"/>
    <n v="2.9480968858131489E-2"/>
    <n v="720"/>
    <s v="Long"/>
  </r>
  <r>
    <s v="2rN0XTW8dU8"/>
    <s v="Top 10 Technologies To Learn I..."/>
    <s v="In this video on the Top 10 Technologies to Learn ..."/>
    <s v="2024-10-16T14:30:01Z"/>
    <d v="2024-10-16T00:00:00"/>
    <n v="2024"/>
    <s v="October"/>
    <s v="2024-10"/>
    <n v="283"/>
    <s v="UCsvqVGtbbyHaMoevxPAq9Fg"/>
    <s v="Simplilearn"/>
    <s v="['top 10 technologies to learn in 2025', 'trending technologies in 2025', 'high paying tech skills', 'new technology for 2025', 'technology 2025', 'top technologies', 'top technologies in the world', 'top technologies to learn for future', 'future technologies', 'blockchain', 'ar', 'vr', 'IOT', 'generative AI', 'machine learning', 'cybersecurity', 'quantum computing', 'artificial intelligence', 'ai', 'top technologies for software engineer', 'top emerging technologies 2024', 'top tech trends']"/>
    <n v="27"/>
    <x v="2"/>
    <n v="740105"/>
    <n v="5436"/>
    <n v="75"/>
    <n v="7.4462407361117677E-3"/>
    <n v="584"/>
    <s v="Long"/>
  </r>
  <r>
    <s v="fit99d1qsbI"/>
    <s v="à¦à¦‡ à¦¸à¦¿à¦¨à§à¦¡à¦¿à¦•à§..."/>
    <s v="No description available"/>
    <s v="2025-06-20T09:01:09Z"/>
    <d v="2025-06-20T00:00:00"/>
    <n v="2025"/>
    <s v="June"/>
    <s v="2025-06"/>
    <n v="36"/>
    <s v="UCxKMnAX1EcGz2kNczTT8YYQ"/>
    <s v="GSM TUBE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7669"/>
    <n v="807"/>
    <n v="16"/>
    <n v="4.6578753749504785E-2"/>
    <n v="51"/>
    <s v="Short"/>
  </r>
  <r>
    <s v="C2flXXXK2eY"/>
    <s v="Create a robot controlled by p..."/>
    <s v="No description available"/>
    <s v="2025-05-17T17:58:02Z"/>
    <d v="2025-05-17T00:00:00"/>
    <n v="2025"/>
    <s v="May"/>
    <s v="2025-05"/>
    <n v="70"/>
    <s v="UCfOzcugDQBnnsCkJJS0MndQ"/>
    <s v="sk electronic spark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2578"/>
    <n v="34"/>
    <n v="6"/>
    <n v="1.5515903801396431E-2"/>
    <n v="30"/>
    <s v="Short"/>
  </r>
  <r>
    <s v="uczl_P959t0"/>
    <s v="#smartphone #howtomakepowerban..."/>
    <s v="No description available"/>
    <s v="2025-06-06T02:50:11Z"/>
    <d v="2025-06-06T00:00:00"/>
    <n v="2025"/>
    <s v="June"/>
    <s v="2025-06"/>
    <n v="50"/>
    <s v="UCx4shTmKt1kflWK7NeTjNww"/>
    <s v="Tech Shouki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24131"/>
    <n v="75"/>
    <n v="0"/>
    <n v="3.1080353072810906E-3"/>
    <n v="15"/>
    <s v="Short"/>
  </r>
  <r>
    <s v="YLKQUy2A72U"/>
    <s v="POTENTE MÃQUINA #shorts #vira..."/>
    <s v="No description available"/>
    <s v="2025-06-14T01:33:01Z"/>
    <d v="2025-06-14T00:00:00"/>
    <n v="2025"/>
    <s v="June"/>
    <s v="2025-06"/>
    <n v="42"/>
    <s v="UCTLZdmZKMUp_bKFLy4SSRvA"/>
    <s v="JAZZ Y GIII"/>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965938"/>
    <n v="3908"/>
    <n v="6"/>
    <n v="4.0520199018984652E-3"/>
    <n v="16"/>
    <s v="Short"/>
  </r>
  <r>
    <s v="yCs10fK5dxA"/>
    <s v="Future Technology According to..."/>
    <s v="Future Technology According to the Imagination  â€..."/>
    <s v="2021-09-29T09:20:20Z"/>
    <d v="2021-09-29T00:00:00"/>
    <n v="2021"/>
    <s v="September"/>
    <s v="2021-09"/>
    <n v="1396"/>
    <s v="UCA85AiBRlxmY4ckhZqZ1hFg"/>
    <s v="MC creativity"/>
    <s v="['Mobile photography', 'special effects', 'creativity', 'photos', 'mobile special effects photography', 'special effects photography', 'taking pictures', 'special effects photos', 'illusion', 'Future technology', 'robots', 'computer special effects', 'science and technology', 'cars', 'video special effects', 'Woodcarving', 'carpenter', 'wooden product', 'Traditional craft', 'Good people', 'good deeds', 'old people', 'helping the poor', 'Fashion', 'Change makeup']"/>
    <n v="24"/>
    <x v="3"/>
    <n v="89671065"/>
    <n v="346478"/>
    <n v="2389"/>
    <n v="3.8905191992534048E-3"/>
    <n v="584"/>
    <s v="Long"/>
  </r>
  <r>
    <s v="0YbBe8KW9ss"/>
    <s v="NEW Apple CarPlay with iOS 26!..."/>
    <s v="I check out Apple's latest iOS 26 CarPlay so think..."/>
    <s v="2025-06-14T07:15:00Z"/>
    <d v="2025-06-14T00:00:00"/>
    <n v="2025"/>
    <s v="June"/>
    <s v="2025-06"/>
    <n v="42"/>
    <s v="UC8VSC5vv_SUeydoBo9ISucw"/>
    <s v="Nick O'Leary"/>
    <s v="['Apple', 'Apple CarPlay', 'iOS', 'iOS 26', 'Apple iOS 26', 'Apple CarPlay iOS 26', 'iOS 26 Apple CarPlay', 'Apple CarPlay 2025', 'Apple CarPlay 2026', 'CarPlay', 'CarPlay 2025', 'CarPlay 2026', 'iOS 2026', 'iOS 26 CarPlay', 'Apple CarPlay iOS 26 Guide', 'New Apple CarPlay', 'New CarPlay 2026']"/>
    <n v="2"/>
    <x v="13"/>
    <n v="57369"/>
    <n v="934"/>
    <n v="137"/>
    <n v="1.8668618940542801E-2"/>
    <n v="501"/>
    <s v="Long"/>
  </r>
  <r>
    <s v="wLLty2GoAuU"/>
    <s v="The Next Big Thing in Semicond..."/>
    <s v="Check out Hostinger Horizons https://hostinger.com..."/>
    <s v="2025-03-19T22:22:40Z"/>
    <d v="2025-03-19T00:00:00"/>
    <n v="2025"/>
    <s v="March"/>
    <s v="2025-03"/>
    <n v="129"/>
    <s v="UCORX3Cl7ByidjEgzSCgv9Yw"/>
    <s v="Anastasi In Tech"/>
    <s v="['TSMC', 'genius', 'new technology', 'semiconductors', 'TSMC stock', 'ASML']"/>
    <n v="27"/>
    <x v="2"/>
    <n v="314050"/>
    <n v="14447"/>
    <n v="995"/>
    <n v="4.9170514249323359E-2"/>
    <n v="1467"/>
    <s v="Long"/>
  </r>
  <r>
    <s v="vB2pUARNpyc"/>
    <s v="oneplus 13t black color #short..."/>
    <s v="No description available"/>
    <s v="2025-04-29T20:51:26Z"/>
    <d v="2025-04-29T00:00:00"/>
    <n v="2025"/>
    <s v="April"/>
    <s v="2025-04"/>
    <n v="88"/>
    <s v="UC8SRwGeznFNvKKsxw5Rkl5g"/>
    <s v="VIMAL TECHNICAL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6329"/>
    <n v="60"/>
    <n v="0"/>
    <n v="9.4801706430715747E-3"/>
    <n v="28"/>
    <s v="Short"/>
  </r>
  <r>
    <s v="FcbP--wmgO4"/>
    <s v="15 Technologies That Will Chan..."/>
    <s v="Gyroscopic Transport_x000a_https://www.youtube.com/watch..."/>
    <s v="2024-06-17T12:00:21Z"/>
    <d v="2024-06-17T00:00:00"/>
    <n v="2024"/>
    <s v="June"/>
    <s v="2024-06"/>
    <n v="404"/>
    <s v="UCrq8njNr92EBuA4KXJX3OiQ"/>
    <s v="FuturisticTech"/>
    <s v="['technology', 'future tech', 'future technology', 'future technologies', 'future of technology', 'future technology devices', 'future inventions', 'new technology', 'inventions', 'Gyroscopic Transport', 'Renault Float', 'Flying train', 'MG Maze Concept Car', 'SkyWay Technology Advantages', 'Airspace Cabin Vision 2035+', 'EHang 216', 'Virgin Hyperloop', 'Bellwether eVTOL', 'AVANT Solo Electric Sport Car', 'Plana eVTOL Aircraft', 'Kelekona aircraft', 'Star Raker', &quot;NASA's CAPSTONE&quot;, 'Nasa HAVOC']"/>
    <n v="28"/>
    <x v="0"/>
    <n v="1004863"/>
    <n v="4775"/>
    <n v="132"/>
    <n v="4.8832527419160618E-3"/>
    <n v="988"/>
    <s v="Long"/>
  </r>
  <r>
    <s v="wlVsBN6qn5Y"/>
    <s v="tecno spark go 1 |@7,299 | bes..."/>
    <s v="tecno spark go 1 |@7,299 | best smartphone under 7..."/>
    <s v="2024-09-06T05:00:38Z"/>
    <d v="2024-09-06T00:00:00"/>
    <n v="2024"/>
    <s v="September"/>
    <s v="2024-09"/>
    <n v="323"/>
    <s v="UCKNnp_9uXIWVLfyw5_5Jo8Q"/>
    <s v="KSHYAP JI TECHNICAL "/>
    <s v="['tecno spark go 1', 'tecno spark go 1 unboxing', 'tecno spark go 1 review', 'best smartphone under 7000', 'best smartphone under 10000', 'best gaming smartphone under 7000', 'best gaming phone under 10k', 'tech news', 'kshyap ji TACHNICAL']"/>
    <n v="28"/>
    <x v="0"/>
    <n v="606613"/>
    <n v="217464.60837887001"/>
    <n v="91"/>
    <n v="0.35863987151424387"/>
    <n v="43"/>
    <s v="Short"/>
  </r>
  <r>
    <s v="orJcARIxYT4"/>
    <s v="20 BEST Things I saw in Vegas ..."/>
    <s v="CES 2025 was crazy! Here is all of the best tech I..."/>
    <s v="2025-01-11T17:15:50Z"/>
    <d v="2025-01-11T00:00:00"/>
    <n v="2025"/>
    <s v="January"/>
    <s v="2025-01"/>
    <n v="196"/>
    <s v="UCwOBG77Tm8cE24FPxHb_abw"/>
    <s v="Smart Home Solver"/>
    <s v="['ces 2025', 'ces', 'best of ces', 'ces smart home tech', 'ces 2025 smart home', 'ces robot vacuums', 'ces ai', 'ces 2025 highlights', 'ces 2025 samsung', 'ces 2025 robots', 'CES 2025 cars', 'CES tech', 'new tech', 'new technology', 'smart home solver', 'smart home', 'home automation']"/>
    <n v="28"/>
    <x v="0"/>
    <n v="1611198"/>
    <n v="16351"/>
    <n v="734"/>
    <n v="1.0603910878737436E-2"/>
    <n v="978"/>
    <s v="Long"/>
  </r>
  <r>
    <s v="Q_03FWDBZG0"/>
    <s v="Primitive Technology: Water po..."/>
    <s v="Primitive Technology: Water powered forge blower_x000a_S..."/>
    <s v="2025-03-06T21:32:12Z"/>
    <d v="2025-03-06T00:00:00"/>
    <n v="2025"/>
    <s v="March"/>
    <s v="2025-03"/>
    <n v="142"/>
    <s v="UCAL3JXZSzSm8AlZyD3nQdBA"/>
    <s v="Primitive Technology"/>
    <s v="['primitive technology', 'primitive', 'technology', 'primitive tech', 'technology primitive', 'tech primitive', 'prim technology', 'prim tech', 'tech prim', 'technology prim', 'building from scratch', 'build from scratch', 'hand crank', 'diy', 'fire', 'amazon', 'manual', 'building', 'charcoal', 'brick', 'bamboo', 'concrete']"/>
    <n v="28"/>
    <x v="0"/>
    <n v="2743296"/>
    <n v="85534"/>
    <n v="5806"/>
    <n v="3.329571435237029E-2"/>
    <n v="1353"/>
    <s v="Long"/>
  </r>
  <r>
    <s v="X7SJxF_JsNA"/>
    <s v="Excellent Technology! Top 10 A..."/>
    <s v="[ Video Chapter ]_x000a__x000a_0:00 Process of Making Large Ge..."/>
    <s v="2024-11-11T12:15:01Z"/>
    <d v="2024-11-11T00:00:00"/>
    <n v="2024"/>
    <s v="November"/>
    <s v="2024-11"/>
    <n v="257"/>
    <s v="UCSNIT8Z40XgB4RKk9Vhf1eA"/>
    <s v="All process of world"/>
    <s v="['í•œêµ­ê³µìž¥', 'ì œì¡°ê³¼ì •', 'knowhow', 'skill', 'plant', 'works', 'planting']"/>
    <n v="26"/>
    <x v="8"/>
    <n v="1279779"/>
    <n v="4011"/>
    <n v="59"/>
    <n v="3.1802365877233491E-3"/>
    <n v="2080"/>
    <s v="Long"/>
  </r>
  <r>
    <s v="hpwoGjpYygI"/>
    <s v="DeepSeek stole our tech... say..."/>
    <s v="Build better apps with PostHog https://posthog.com..."/>
    <s v="2025-01-29T20:47:22Z"/>
    <d v="2025-01-29T00:00:00"/>
    <n v="2025"/>
    <s v="January"/>
    <s v="2025-01"/>
    <n v="178"/>
    <s v="UCsBjURrPoezykLs9EqgamOA"/>
    <s v="Fireship"/>
    <s v="['webdev', 'app development', 'lesson', 'tutorial']"/>
    <n v="28"/>
    <x v="0"/>
    <n v="2426877"/>
    <n v="92609"/>
    <n v="8925"/>
    <n v="4.1837307782800696E-2"/>
    <n v="291"/>
    <s v="Long"/>
  </r>
  <r>
    <s v="8QZmnW9CobA"/>
    <s v="100 Coolest Amazon Gadgets and..."/>
    <s v="100 Coolest Amazon Gadgets and Inventions_x000a__x000a_â–º Sub..."/>
    <s v="2024-05-21T17:30:00Z"/>
    <d v="2024-05-21T00:00:00"/>
    <n v="2024"/>
    <s v="May"/>
    <s v="2024-05"/>
    <n v="431"/>
    <s v="UCcq8pko7KqkgYeXMM_SGFNA"/>
    <s v="TechJoint"/>
    <s v="['techjoint', 'tech joint', 'Inventions', 'gadgets', 'technology', 'tech', 'gear', 'cool tools', 'review', 'list', 'top 10', 'amazing inventions', 'cool gadgets', 'Coolest Amazon Gadgets and Inventions', 'Amazon Gadgets', 'Gadgets and Inventions', 'mechanical keyboard', 'fun gadgets', 'professional drone', 'smart home control', 'portable projector', 'interactive shooting practice', 'guitar learning tool', 'music learning gadget', 'music synchronization lamp', 'dual cameras glasses']"/>
    <n v="28"/>
    <x v="0"/>
    <n v="2093102"/>
    <n v="15284"/>
    <n v="415"/>
    <n v="7.5003511534554937E-3"/>
    <n v="2716"/>
    <s v="Long"/>
  </r>
  <r>
    <s v="S3lrx-jVsng"/>
    <s v="#motoedge60stylus #iphone16pro..."/>
    <s v="motorola edge 60,_x000a_motorola edge 60 fusion,_x000a_vivo v5..."/>
    <s v="2025-05-25T01:30:30Z"/>
    <d v="2025-05-25T00:00:00"/>
    <n v="2025"/>
    <s v="May"/>
    <s v="2025-05"/>
    <n v="62"/>
    <s v="UCFOT_LtNGgoqUSTDgJ1T6ag"/>
    <s v="Sasta Gyan"/>
    <s v="['#motoedge60stylus #iphone16promax #iphone16 #short #shorts #funny #funnyvideo #tech #technology']"/>
    <n v="28"/>
    <x v="0"/>
    <n v="14863"/>
    <n v="468"/>
    <n v="0"/>
    <n v="3.1487586624503801E-2"/>
    <n v="35"/>
    <s v="Short"/>
  </r>
  <r>
    <s v="Ay9RL5YQViA"/>
    <s v="14 most AWKWARD Tech Fails of ..."/>
    <s v="Still can't believe Ashley Madison is a thing yike..."/>
    <s v="2024-05-30T10:22:03Z"/>
    <d v="2024-05-30T00:00:00"/>
    <n v="2024"/>
    <s v="May"/>
    <s v="2024-05"/>
    <n v="422"/>
    <s v="UCMiJRAwDNSNzuYeN2uWa0pA"/>
    <s v="Mrwhosetheboss"/>
    <s v="['fails', 'awkward', 'tech', 'rant', 'scam', 'fake', 'fail', 'gadgets', 'phone', 'technology', 'iphone', 'apple']"/>
    <n v="28"/>
    <x v="0"/>
    <n v="11527942"/>
    <n v="260879"/>
    <n v="8362"/>
    <n v="2.3355513065558449E-2"/>
    <n v="1701"/>
    <s v="Long"/>
  </r>
  <r>
    <s v="tEI9t9lcRJo"/>
    <s v="â‚¹4 Vs â‚¹4000 Satisfying Pro..."/>
    <s v="â‚¹4 Vs â‚¹4000 Satisfying Products #shorts #gadge..."/>
    <s v="2024-04-30T13:09:12Z"/>
    <d v="2024-04-30T00:00:00"/>
    <n v="2024"/>
    <s v="April"/>
    <s v="2024-04"/>
    <n v="452"/>
    <s v="UCBbeXVY55K5estTHrKWJ5Yg"/>
    <s v="Tech FC Shor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4565343"/>
    <n v="152565"/>
    <n v="122"/>
    <n v="3.3444803599641908E-2"/>
    <n v="41"/>
    <s v="Short"/>
  </r>
  <r>
    <s v="OX7stGEMm7Y"/>
    <s v="Forget the Switch 2... Get a S..."/>
    <s v="Nintendo Switch 2 vs Steam Deck OLED - Which is th..."/>
    <s v="2025-06-15T11:00:40Z"/>
    <d v="2025-06-15T00:00:00"/>
    <n v="2025"/>
    <s v="June"/>
    <s v="2025-06"/>
    <n v="41"/>
    <s v="UCzlXf-yUIaOpOjEjPrOO9TA"/>
    <s v="The Tech Chap"/>
    <s v="['nintendo switch', 'steam deck', 'nintendo switch oled', 'nintendo switch 2', 'nintendo switch 2 review', 'nintendo switch 2 mario kart world', 'steam deck review', 'steam deck oled', 'steam deck 2', 'steam deck oled review', 'steam deck vs rog ally', 'xbox ally x', 'xbox gaming', 'ps5', 'console gaming', 'handheld', 'best handheld console 2025', 'switch 2 vs steam deck', 'switch vs switch 2', 'steam deck lcd vs oled', 'gaming', 'nintendo switch games', 'steam deck games', 'steamOS', 'switch games']"/>
    <n v="28"/>
    <x v="0"/>
    <n v="123699"/>
    <n v="3336"/>
    <n v="1435"/>
    <n v="3.856943063403908E-2"/>
    <n v="808"/>
    <s v="Long"/>
  </r>
  <r>
    <s v="csZuFHfaVoA"/>
    <s v="RRB NTPC 2025 ðŸ”¥ Science and..."/>
    <s v="RRB NTPC 2025 ðŸ”¥ Science and Technology | ISRO a..."/>
    <s v="2025-06-02T14:01:03Z"/>
    <d v="2025-06-02T00:00:00"/>
    <n v="2025"/>
    <s v="June"/>
    <s v="2025-06"/>
    <n v="54"/>
    <s v="UCFYx_ojr3E2ooztXHlJUk7g"/>
    <s v="Jeet Rana GS "/>
    <s v="['science and technology', 'rrb ntpc science', 'rrb ntpc 2025', 'rrb ntpc science and technology', 'ntpc paper analysis', 'ntpc marathan class', 'ntpc science class', 'rrb ntpc gk gs', 'rrb ntpc science and tech', 'rrb ntpc gk gs classes', 'rrb ntpc gk gs syllabus', 'rrb ntpc gk gs previous year question', 'rrb ntpc', 'rrb ntpc gk gs marathon class', 'rrb ntpc science classes', 'rrb ntpc science practice set', 'rrb ntpc science pyq', 'ntpc gk gs practice set', 'gk gs', 'ntpc gk gs questions']"/>
    <n v="27"/>
    <x v="2"/>
    <n v="80139"/>
    <n v="4690"/>
    <n v="274"/>
    <n v="6.1942375123223398E-2"/>
    <n v="967"/>
    <s v="Long"/>
  </r>
  <r>
    <s v="5o78816tZDo"/>
    <s v="15 June Enjine falure Technolo..."/>
    <s v="15 June Enjine falure TechnologyðŸ˜± #automobile #..."/>
    <s v="2025-06-16T11:22:07Z"/>
    <d v="2025-06-16T00:00:00"/>
    <n v="2025"/>
    <s v="June"/>
    <s v="2025-06"/>
    <n v="40"/>
    <s v="UCYIdKenTPQ_h1zxceAy1RlA"/>
    <s v="Working tech"/>
    <s v="['13 June Enjine falure TechnologyðŸ˜± #automobile #shorte #technology #shorte #ytshorts #mechanic']"/>
    <n v="2"/>
    <x v="13"/>
    <n v="113584"/>
    <n v="322"/>
    <n v="0"/>
    <n v="2.8349063248344838E-3"/>
    <n v="11"/>
    <s v="Short"/>
  </r>
  <r>
    <s v="ZYKWVNWCZUI"/>
    <s v="Technologia Original Video ðŸ˜..."/>
    <s v="Jai Shree Ram_x000a_Technologia Original Video_x000a__x000a__x000a__x000a__x000a__x000a__x000a__x000a__x000a__x000a_..."/>
    <s v="2025-05-20T09:01:36Z"/>
    <d v="2025-05-20T00:00:00"/>
    <n v="2025"/>
    <s v="May"/>
    <s v="2025-05"/>
    <n v="67"/>
    <s v="UCJxkRpNvJATf8yESLFYDjrw"/>
    <s v="Kala Parda "/>
    <s v="['Jai Shree Ram', 'Technologia Original Video', 'Vedansh', 'Kala parda', 'Technologia', 'Funny', 'Shorts']"/>
    <n v="24"/>
    <x v="3"/>
    <n v="18060554"/>
    <n v="604517"/>
    <n v="1317"/>
    <n v="3.354459669398846E-2"/>
    <n v="43"/>
    <s v="Short"/>
  </r>
  <r>
    <s v="kUm0_3fg2gI"/>
    <s v="The Hottest Bikes &amp; Pro Tech O..."/>
    <s v="The Giro d'Italia isn't just about epic racing; it..."/>
    <s v="2025-05-31T08:00:59Z"/>
    <d v="2025-05-31T00:00:00"/>
    <n v="2025"/>
    <s v="May"/>
    <s v="2025-05"/>
    <n v="56"/>
    <s v="UC710HJmp-YgNbE5BnFBRoeg"/>
    <s v="GCN Tech"/>
    <s v="[&quot;Giro d'Italia&quot;, 'Pro Bike Tech', 'Cycling Tech', 'Bike Check', 'GCN Italia', 'Giro 2025', 'Movistar Canyon', 'Astana XDS Helmets', 'Campagnolo 13 Speed', 'De Rosa Pininfarina', 'Bahrain Victorious', 'Vision Metron', 'Lidl-Trek', 'Red Bull Bora Hansgrohe', 'Specialized Tyres', 'Pinarello Dogma F', 'UAE Team Emirates', 'Colnago V1rs', 'Cervelo TT', 'BMC TT', 'Giant TT', 'Scott Plasma', 'Look Blade', 'Road Cycling', 'bike tech', 'cycling tech', 'cycling', 'tech', 'road', 'bike', 'road bike', 'bicycle', 'à®”', '5807', 'Ó—', 'Ñ«', 'sca15', 'gc21s', 'áž·', 'ê¤¬', 'c1', 'Õ‚', 'á•8', 'ð–¬«']"/>
    <n v="17"/>
    <x v="14"/>
    <n v="162870"/>
    <n v="2652"/>
    <n v="107"/>
    <n v="1.6939890710382512E-2"/>
    <n v="550"/>
    <s v="Long"/>
  </r>
  <r>
    <s v="jGztGfRujSE"/>
    <s v="Introducing Liquid Glass | App..."/>
    <s v="Meet our next chapter in software design, built wi..."/>
    <s v="2025-06-09T18:52:36Z"/>
    <d v="2025-06-09T00:00:00"/>
    <n v="2025"/>
    <s v="June"/>
    <s v="2025-06"/>
    <n v="47"/>
    <s v="UCE_M8A5yxnLfW0KghEeajjw"/>
    <s v="Apple"/>
    <s v="['wwdc25', 'appleevent', 'liquidglass', 'applekeynote', 'applespecialevent', 'keynote', '2025', 'MacOS', 'iPadOS', 'iOS', 'visionpro', 'watchOS', 'tvOS']"/>
    <n v="28"/>
    <x v="0"/>
    <n v="2497590"/>
    <n v="57328"/>
    <n v="1970.1447811447799"/>
    <n v="2.3742145340566217E-2"/>
    <n v="274"/>
    <s v="Long"/>
  </r>
  <r>
    <s v="vyMCNtw23uQ"/>
    <s v="Grizzy &amp; the lemmings vs. Adva..."/>
    <s v="ðŸ‘‰ Subscribe for more videos: https://www.youtub..."/>
    <s v="2025-05-04T10:01:21Z"/>
    <d v="2025-05-04T00:00:00"/>
    <n v="2025"/>
    <s v="May"/>
    <s v="2025-05"/>
    <n v="83"/>
    <s v="UCn9l4gU5mkmmlC2eiVu0LHw"/>
    <s v="Grizzy &amp; les Lemmings"/>
    <s v="['AI', 'Bear', 'Cartoon', 'CartoonforKids', 'Cute', 'Grizzy', 'Kids', 'Lemmings', 'Slapstick', 'electricity', 'noise', 'phones', 'reset', 'robot', 'teddy']"/>
    <n v="1"/>
    <x v="11"/>
    <n v="5349325"/>
    <n v="15351"/>
    <n v="0"/>
    <n v="2.8697078603375191E-3"/>
    <n v="1547"/>
    <s v="Long"/>
  </r>
  <r>
    <s v="jssEK9oy-j8"/>
    <s v="new technology drone use in fi..."/>
    <s v="new technology drone use in fireðŸ˜²ðŸ˜Š#technolog..."/>
    <s v="2025-05-25T13:27:43Z"/>
    <d v="2025-05-25T00:00:00"/>
    <n v="2025"/>
    <s v="May"/>
    <s v="2025-05"/>
    <n v="62"/>
    <s v="UC2w35lK_m2xtQs4duoaFvHg"/>
    <s v="INANIYA EDUCATIO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039"/>
    <n v="3"/>
    <n v="0"/>
    <n v="2.8873917228103944E-3"/>
    <n v="20"/>
    <s v="Short"/>
  </r>
  <r>
    <s v="rYrE-oli5_E"/>
    <s v="NUBBIN UNBOXING #technology #t..."/>
    <s v="No description available"/>
    <s v="2025-04-09T16:26:25Z"/>
    <d v="2025-04-09T00:00:00"/>
    <n v="2025"/>
    <s v="April"/>
    <s v="2025-04"/>
    <n v="108"/>
    <s v="UCyWy0uK-L2gcFp_ADZ2YogQ"/>
    <s v="Mich Rimmer"/>
    <s v="['Nubbin', 'Black mirror', 'Nubbin device', 'Unboxing', 'New technology', 'Black mirror season 7']"/>
    <n v="23"/>
    <x v="7"/>
    <n v="241594"/>
    <n v="3533"/>
    <n v="112"/>
    <n v="1.5087295214285123E-2"/>
    <n v="62"/>
    <s v="Long"/>
  </r>
  <r>
    <s v="xNXKWAL0-zM"/>
    <s v="Ai à¦•à¦¿ à¦®à¦¾à¦¨à¦¬à¦¸à¦­à§..."/>
    <s v="ai dangerous for human, ai,future of ai,dangers of..."/>
    <s v="2025-05-11T13:41:11Z"/>
    <d v="2025-05-11T00:00:00"/>
    <n v="2025"/>
    <s v="May"/>
    <s v="2025-05"/>
    <n v="76"/>
    <s v="UCZff6I2okeH71I5jsE0LirQ"/>
    <s v="AFR Technology"/>
    <s v="['AFR Technology', 'ai dangerous for human', 'ai', 'future of ai', 'dangers of ai', 'dangerous side of ai', 'machine learning', 'ai privacy', 'google ai studio tutorial bangla', 'chatgpt tutorial', 'ai content creation', 'chatgpt explained', 'what is chatgpt']"/>
    <n v="28"/>
    <x v="0"/>
    <n v="716986"/>
    <n v="15929"/>
    <n v="958"/>
    <n v="2.3552761141779618E-2"/>
    <n v="272"/>
    <s v="Long"/>
  </r>
  <r>
    <s v="OPJWnoOhpTI"/>
    <s v="10M technology #shorts #comedy..."/>
    <s v="10M technology #shorts #comedy #viralvideo #shortv..."/>
    <s v="2025-06-20T03:49:38Z"/>
    <d v="2025-06-20T00:00:00"/>
    <n v="2025"/>
    <s v="June"/>
    <s v="2025-06"/>
    <n v="36"/>
    <s v="UCzu9818voaNQGhyDitA4waw"/>
    <s v="NIRAJ TIWARI VLOG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4640"/>
    <n v="14"/>
    <n v="0"/>
    <n v="3.0172413793103448E-3"/>
    <n v="9"/>
    <s v="Short"/>
  </r>
  <r>
    <s v="bqvp1UpCdRw"/>
    <s v="iPhone 11 screen replacement #..."/>
    <s v="iPhone 11 screen replacement #iphone11 #screenrepl..."/>
    <s v="2025-05-10T11:05:42Z"/>
    <d v="2025-05-10T00:00:00"/>
    <n v="2025"/>
    <s v="May"/>
    <s v="2025-05"/>
    <n v="77"/>
    <s v="UCIGh6YjDGPTlNI4gZg3e32w"/>
    <s v="Brown Computers ðŸ’»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108"/>
    <n v="17"/>
    <n v="6"/>
    <n v="1.0910815939278937E-2"/>
    <n v="38"/>
    <s v="Short"/>
  </r>
  <r>
    <s v="dhW4XFGQB4o"/>
    <s v="Primitive Technology: Iron kni..."/>
    <s v="Iron knife made from bacteria_x000a_Subscribe: http://bi..."/>
    <s v="2022-06-30T21:15:14Z"/>
    <d v="2022-06-30T00:00:00"/>
    <n v="2022"/>
    <s v="June"/>
    <s v="2022-06"/>
    <n v="1122"/>
    <s v="UCAL3JXZSzSm8AlZyD3nQdBA"/>
    <s v="Primitive Technology"/>
    <s v="['primitive technology', 'youtube primitive technology', 'primitive technology youtube', 'primitive technology knife', 'knife primitive technology', 'iron knife', 'knife iron', 'primitive technology iron', 'iron primitive technology', 'iron knife made from bacteria', 'how to make a knife', 'knife sharpening', 'knives', 'smelted iron', 'iron bacteria', 'iron tool', 'primitive tech', 'primitive', 'technology', 'primitive technology tool', 'multiblade blower', 'iron ore', 'primative technology', 'tool made of iron', 'iron tools']"/>
    <n v="28"/>
    <x v="0"/>
    <n v="7947737"/>
    <n v="260818"/>
    <n v="12964"/>
    <n v="3.4447793126521423E-2"/>
    <n v="695"/>
    <s v="Long"/>
  </r>
  <r>
    <s v="08JoSCHV9VY"/>
    <s v="Here's the iPhone 17 Pro | Fir..."/>
    <s v="Exclusive information and renders of the brand new..."/>
    <s v="2025-02-14T00:47:23Z"/>
    <d v="2025-02-14T00:00:00"/>
    <n v="2025"/>
    <s v="February"/>
    <s v="2025-02"/>
    <n v="162"/>
    <s v="UC8jkbVLPvztz8TuE98OYo8Q"/>
    <s v="fpt."/>
    <s v="['apple', 'iphone', 'jon prosser', 'front page tech', 'frontpagetech']"/>
    <n v="28"/>
    <x v="0"/>
    <n v="1087634"/>
    <n v="16993"/>
    <n v="1891"/>
    <n v="1.7362458326973963E-2"/>
    <n v="422"/>
    <s v="Long"/>
  </r>
  <r>
    <s v="_ZrjMqMsakU"/>
    <s v="Enjine falure TechnologyðŸ˜± #..."/>
    <s v="Enjine falure TechnologyðŸ˜± #automobile #shorte #..."/>
    <s v="2025-06-19T12:30:50Z"/>
    <d v="2025-06-19T00:00:00"/>
    <n v="2025"/>
    <s v="June"/>
    <s v="2025-06"/>
    <n v="37"/>
    <s v="UCYfdt1akjdAMYNCT89R5Rww"/>
    <s v="Car reaction"/>
    <s v="['Enjine falure TechnologyðŸ˜± #automobile #shorte #technology #shorte #ytshorts #mechanic #engine']"/>
    <n v="22"/>
    <x v="6"/>
    <n v="15304"/>
    <n v="88"/>
    <n v="0"/>
    <n v="5.7501306847882903E-3"/>
    <n v="14"/>
    <s v="Short"/>
  </r>
  <r>
    <s v="acdM9a-zg5I"/>
    <s v="MY NEW TECH CHANNEL"/>
    <s v="What's going on, everyone? Ujjwal here, and welcom..."/>
    <s v="2024-04-27T11:39:10Z"/>
    <d v="2024-04-27T00:00:00"/>
    <n v="2024"/>
    <s v="April"/>
    <s v="2024-04"/>
    <n v="455"/>
    <s v="UCs6EmLAT4lTWwCSJRgbbchQ"/>
    <s v="TechShot"/>
    <s v="['tech channel', 'new', 'unboxing', 'experiment', 'funny', 'new studio', 'gaming', 'ujjwal', 'techno gamerz']"/>
    <n v="28"/>
    <x v="0"/>
    <n v="3611874"/>
    <n v="181285"/>
    <n v="5610"/>
    <n v="5.1744606816295363E-2"/>
    <n v="82"/>
    <s v="Long"/>
  </r>
  <r>
    <s v="f-gkGYd9vAs"/>
    <s v="3 Cool GadgetsðŸ”¥"/>
    <s v="#gadgets #techmaster _x000a__x000a_SUBSCRIBE THE CHANNEL FOR M..."/>
    <s v="2023-11-29T13:15:06Z"/>
    <d v="2023-11-29T00:00:00"/>
    <n v="2023"/>
    <s v="November"/>
    <s v="2023-11"/>
    <n v="605"/>
    <s v="UCglXlpWjIi95auM3umWWLdw"/>
    <s v="Tech Master Shorts"/>
    <s v="['tech master', 'shorts', 'technology', 'facts', 'amazingtipsandtricks', 'arvind kharra', 'best tech gadgets 2023', 'amazon tech gadgets', 'gadgets june 2023', 'tech', 'technology connections', 'technology world', 'futuristic', 'gadgets', 'cool gadgets', 'new gadgets', 'amazon gadgets', 'trending', 'viral', 'india', 'hindi', 'gadgets cool', '3 cool gadgets']"/>
    <n v="28"/>
    <x v="0"/>
    <n v="50641492"/>
    <n v="1429466"/>
    <n v="1996"/>
    <n v="2.8266584246767455E-2"/>
    <n v="60"/>
    <s v="Short"/>
  </r>
  <r>
    <s v="yxEupzz8mSY"/>
    <s v="Primitive Technology: Charcoal..."/>
    <s v="Charcoal retort experiment_x000a_Subscribe: http://bit.l..."/>
    <s v="2025-05-01T21:33:02Z"/>
    <d v="2025-05-01T00:00:00"/>
    <n v="2025"/>
    <s v="May"/>
    <s v="2025-05"/>
    <n v="86"/>
    <s v="UCAL3JXZSzSm8AlZyD3nQdBA"/>
    <s v="Primitive Technology"/>
    <s v="['primitive technology', 'primitive', 'technology', 'primitive tech', 'technology primitive', 'tech primitive', 'prim technology', 'prim tech', 'tech prim', 'technology prim', 'building from scratch', 'build from scratch', 'claypipe', 'experiment', 'fire', 'survival', 'building', 'fire making', 'building a hut', 'bushcraft', 'charcoal', 'roofing', 'hut', 'smelting', 'wood', 'gas']"/>
    <n v="28"/>
    <x v="0"/>
    <n v="1081527"/>
    <n v="50566"/>
    <n v="2139"/>
    <n v="4.8732024258294059E-2"/>
    <n v="1155"/>
    <s v="Long"/>
  </r>
  <r>
    <s v="kx_srXZec2w"/>
    <s v="Enjine falure TechnologyðŸ˜± #..."/>
    <s v="Enjine falure TechnologyðŸ˜± #automobile #shorte #..."/>
    <s v="2025-06-20T03:30:47Z"/>
    <d v="2025-06-20T00:00:00"/>
    <n v="2025"/>
    <s v="June"/>
    <s v="2025-06"/>
    <n v="36"/>
    <s v="UCYfdt1akjdAMYNCT89R5Rww"/>
    <s v="Car reaction"/>
    <s v="['Enjine falure TechnologyðŸ˜± #automobile #shorte #technology #shorte #ytshorts #mechanic #engine']"/>
    <n v="22"/>
    <x v="6"/>
    <n v="11389"/>
    <n v="48"/>
    <n v="0"/>
    <n v="4.2145930283606992E-3"/>
    <n v="13"/>
    <s v="Short"/>
  </r>
  <r>
    <s v="qF1Fklf-rJw"/>
    <s v="Feedback to EVERY Phone Brand ..."/>
    <s v="Hey #TechBarArmy _x000a_In this video, I and @Technology..."/>
    <s v="2025-05-10T15:37:11Z"/>
    <d v="2025-05-10T00:00:00"/>
    <n v="2025"/>
    <s v="May"/>
    <s v="2025-05"/>
    <n v="77"/>
    <s v="UCdoDYkupTElV62K7ttA_E4w"/>
    <s v="TechBar"/>
    <s v="['podcast', 'tech', 'tech podcast', 'best phone', 'best phone under 20000', 'best phone under 1 lakh', 'best phone under 40000', 'price', 'price in india', 'OnePlus', 'Xiaomi', 'Samsung', 'apple', 'realme', 'Google', 'vivo', 'techbar', 'tech bar', 'india', 'hindi', 'sanchit shokeen']"/>
    <n v="28"/>
    <x v="0"/>
    <n v="379321"/>
    <n v="17096"/>
    <n v="1819"/>
    <n v="4.9865417416910744E-2"/>
    <n v="899"/>
    <s v="Long"/>
  </r>
  <r>
    <s v="vybLi25Q8Fw"/>
    <s v="Linus Sebastian Shows Jimmy an..."/>
    <s v="Linus Sebastian talks about creating tech videos f..."/>
    <s v="2025-01-14T05:25:00Z"/>
    <d v="2025-01-14T00:00:00"/>
    <n v="2025"/>
    <s v="January"/>
    <s v="2025-01"/>
    <n v="193"/>
    <s v="UC8-Th83bH_thdKZDJCrn88g"/>
    <s v="The Tonight Show Starring Jimmy Fallon"/>
    <s v="['tonight show', 'jimmy fallon', 'Linus Sebastian', 'tech videos', '20 years', 'electronic', 'show', 'CES', 'Bad Bunny', 'cutting-edge', 'technological inventions', 'Linus Tech Tips', 'tech', 'youtube', 'youtuber', 'tech tips youtuber', 'NBC', 'NBC TV', 'Television', 'Funny', 'Talk Show', 'comedic', 'humor', 'snl', 'tonight', 'jokes', 'funny video', 'interview', 'variety', 'comedy sketches', 'talent', 'celebrities', 'video', 'clip', 'highlight', 'reviews', 'Pete', 'LA CANCION', 'Callaita', 'No Me Conoce', 'QUE PRETENDES', 'Infeliz', 'Ignorantes', 'Soltera', 'I Like It', 'MIA', 'Latin Trap']"/>
    <n v="23"/>
    <x v="7"/>
    <n v="2732989"/>
    <n v="153954"/>
    <n v="9482"/>
    <n v="5.980119202821526E-2"/>
    <n v="526"/>
    <s v="Long"/>
  </r>
  <r>
    <s v="1wwiaGkMQjM"/>
    <s v="Robotic &amp; Digital Animals Are ..."/>
    <s v="Robotic &amp; Digital Animals Are Saving Real Wildlife..."/>
    <s v="2025-05-02T14:27:29Z"/>
    <d v="2025-05-02T00:00:00"/>
    <n v="2025"/>
    <s v="May"/>
    <s v="2025-05"/>
    <n v="85"/>
    <s v="UC8RW9MMYBZHxRuYbCJDb78g"/>
    <s v="Shorts Mode"/>
    <s v="['Shorts', 'Mode', 'Shorts mode', 'Shorts mode new video', 'Viral', 'Trend', 'Youtube shorts', 'Ytshorts', 'Shortsindia', 'Newshorts', 'India shorts', 'Shorts india', 'Tech Trends', 'robotic animals', 'future of zoos', 'animal rights', 'animal robotics', 'spy animals', 'ethical technology', 'zoo alternatives', 'google digital animals', 'ai animals', 'replacing real animals', 'humane zoos', 'tech vs nature', 'robotic wildlife', 'discovery spy creatures', 'digital DNA animals', 'animals gadgets', 'gadgets', 'new gadgets', 'animal tech', 'tech', 'new']"/>
    <n v="28"/>
    <x v="0"/>
    <n v="17190"/>
    <n v="804"/>
    <n v="6"/>
    <n v="4.712041884816754E-2"/>
    <n v="50"/>
    <s v="Short"/>
  </r>
  <r>
    <s v="jcc_8kyBXrA"/>
    <s v="Technology Full Live Set @ Uni..."/>
    <s v="Subscribe: http://bit.ly/SubscribeNanoRecords_x000a_Tech..."/>
    <s v="2023-01-18T21:00:11Z"/>
    <d v="2023-01-18T00:00:00"/>
    <n v="2023"/>
    <s v="January"/>
    <s v="2023-01"/>
    <n v="920"/>
    <s v="UCt-Zwf8TON73Wtz21R8DgAg"/>
    <s v="Nano Records"/>
    <s v="['Psy trance', 'Psytrance', 'Progressive Trance', 'Progressive Psy', 'tracentral', 'Psychedelic Trance', 'Trance Music', 'Goa Trance', 'Trance Goa', 'Best trance', 'psytrance 2020', 'psy trance 2020', 'Psychedelic', 'Nano Records', 'Nano', 'Technology Live Set', 'Technology Set', 'Technology Universo Paralello 2022 / 2023', 'Technology mix', 'Technology set', 'psytrance set', 'psytrance mix', 'Universo Paralello 2022 / 2023', 'Universo']"/>
    <n v="10"/>
    <x v="5"/>
    <n v="40419"/>
    <n v="1199"/>
    <n v="64"/>
    <n v="3.1247680546277742E-2"/>
    <n v="44"/>
    <s v="Short"/>
  </r>
  <r>
    <s v="yaY2tOvxG9I"/>
    <s v="From ENIAC to Quantum Computer..."/>
    <s v="No description available"/>
    <s v="2025-05-04T14:01:18Z"/>
    <d v="2025-05-04T00:00:00"/>
    <n v="2025"/>
    <s v="May"/>
    <s v="2025-05"/>
    <n v="83"/>
    <s v="UCAlbpRY7uWKQIvzlBtqP6EQ"/>
    <s v="Dyo Fac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539"/>
    <n v="9"/>
    <n v="0"/>
    <n v="5.8479532163742687E-3"/>
    <n v="40"/>
    <s v="Short"/>
  </r>
  <r>
    <s v="yxTIv4YzTfg"/>
    <s v="Robot ko kiss ðŸ‘„ kar liya ðŸ..."/>
    <s v="No description available"/>
    <s v="2025-06-16T05:55:07Z"/>
    <d v="2025-06-16T00:00:00"/>
    <n v="2025"/>
    <s v="June"/>
    <s v="2025-06"/>
    <n v="40"/>
    <s v="UCIPYhRftFtFBnTHeMcCWPJQ"/>
    <s v="Daman Shots_x000a_"/>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5328"/>
    <n v="103"/>
    <n v="6"/>
    <n v="2.4046946699611718E-3"/>
    <n v="10"/>
    <s v="Short"/>
  </r>
  <r>
    <s v="CjSIHL7jmbM"/>
    <s v="379 I like ðŸ‘ this video #ne..."/>
    <s v="No description available"/>
    <s v="2025-06-13T23:30:11Z"/>
    <d v="2025-06-13T00:00:00"/>
    <n v="2025"/>
    <s v="June"/>
    <s v="2025-06"/>
    <n v="43"/>
    <s v="UCAdv2dc8GqOpTSh8S2UkdQw"/>
    <s v="Short Reaction Video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1035"/>
    <n v="217464.60837887001"/>
    <n v="0"/>
    <n v="5.2994908828772997"/>
    <n v="10"/>
    <s v="Short"/>
  </r>
  <r>
    <s v="520Gv9y17fc"/>
    <s v="The most *promising* tech from..."/>
    <s v="Turns out that promising tech and ridiculous tech ..."/>
    <s v="2025-01-14T18:32:04Z"/>
    <d v="2025-01-14T00:00:00"/>
    <n v="2025"/>
    <s v="January"/>
    <s v="2025-01"/>
    <n v="193"/>
    <s v="UCPvRdfUooqCf0zPOYvbBzVA"/>
    <s v="mryeester"/>
    <s v="['pc', 'pc tips', 'pc building', 'mryeester']"/>
    <n v="28"/>
    <x v="0"/>
    <n v="752561"/>
    <n v="13505"/>
    <n v="529"/>
    <n v="1.8648322195808711E-2"/>
    <n v="601"/>
    <s v="Long"/>
  </r>
  <r>
    <s v="CtPeROP9eEc"/>
    <s v="à¸£à¸±à¸šà¸ªà¸¡à¸±à¸„à¸£à¸„à¸™..."/>
    <s v="#whatsappstatus  #yearofyou  #elephant  #anime _x000a_#z..."/>
    <s v="2025-06-20T00:45:01Z"/>
    <d v="2025-06-20T00:00:00"/>
    <n v="2025"/>
    <s v="June"/>
    <s v="2025-06"/>
    <n v="36"/>
    <s v="UCn7NttsdsYIak33KORE8F-Q"/>
    <s v="à¸žà¸¥à¸²à¸¢à¸šà¸±à¸§à¸šà¸²à¸™ [ELEPHANT THAILAN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5"/>
    <x v="12"/>
    <n v="21064"/>
    <n v="139"/>
    <n v="1"/>
    <n v="6.6464109380934295E-3"/>
    <n v="8"/>
    <s v="Short"/>
  </r>
  <r>
    <s v="IZICZAZOEXM"/>
    <s v="Raspberry Pi vs Arduino: The E..."/>
    <s v="ðŸ¤– The untold story of how two tiny computers we..."/>
    <s v="2025-06-02T16:26:39Z"/>
    <d v="2025-06-02T00:00:00"/>
    <n v="2025"/>
    <s v="June"/>
    <s v="2025-06"/>
    <n v="54"/>
    <s v="UCuEngqG-RQ_9gR_O44leAQg"/>
    <s v="Creative Tech &amp; DIY"/>
    <s v="['raspberry pi', 'arduino', 'raspberry pi vs arduino', 'maker projects', 'DIY electronics', 'tech history', 'programming', 'robotics', 'single board computer', 'microcontroller', 'tech education', 'maker movement', 'electronics projects', 'coding', 'tech story']"/>
    <n v="28"/>
    <x v="0"/>
    <n v="2652"/>
    <n v="55"/>
    <n v="1970.1447811447799"/>
    <n v="0.76362925382533176"/>
    <n v="58"/>
    <s v="Short"/>
  </r>
  <r>
    <s v="KPnGKAEEgTU"/>
    <s v="My setup feels better than eve..."/>
    <s v="Check prices on Amazon below_x000a_Monitor: https://geni..."/>
    <s v="2025-06-01T12:07:56Z"/>
    <d v="2025-06-01T00:00:00"/>
    <n v="2025"/>
    <s v="June"/>
    <s v="2025-06"/>
    <n v="55"/>
    <s v="UCRYOj4DmyxhBVrdvbsUwmAA"/>
    <s v="optimum"/>
    <s v="['desk setup', 'minimal setup', 'optimum', 'best gaming setup', 'clean setup', 'clean desk setup', 'desk setup tour', 'optimum tech', 'wooting', '4K monitor', 'single monitor setup']"/>
    <n v="28"/>
    <x v="0"/>
    <n v="620769"/>
    <n v="25351"/>
    <n v="1163"/>
    <n v="4.2711540041464699E-2"/>
    <n v="694"/>
    <s v="Long"/>
  </r>
  <r>
    <s v="KwTDM1nuDYg"/>
    <s v="Better protect your safety#sci..."/>
    <s v="ã€If there is any infringement, please contact us..."/>
    <s v="2025-05-22T15:15:04Z"/>
    <d v="2025-05-22T00:00:00"/>
    <n v="2025"/>
    <s v="May"/>
    <s v="2025-05"/>
    <n v="65"/>
    <s v="UCCDS_HHq00aCH5KVT0XIhFA"/>
    <s v="Mech Fanatic"/>
    <s v="['Popularscience', 'mechanical', 'technology', 'science', 'machine', 'mechanic', 'shorts', '#viralvideo', 'unique', 'interesting', 'interestingfacts', 'tech', 'sciencefacts']"/>
    <n v="28"/>
    <x v="0"/>
    <n v="7326"/>
    <n v="90"/>
    <n v="1"/>
    <n v="1.2421512421512421E-2"/>
    <n v="24"/>
    <s v="Short"/>
  </r>
  <r>
    <s v="zltBg1bUJjI"/>
    <s v="&quot;à¤­à¤µà¤¿à¤·à¥à¤¯ à¤•à¥€ à¤Ÿ..."/>
    <s v="&quot;à¤­à¤µà¤¿à¤·à¥à¤¯ à¤•à¥€ à¤Ÿà¥‡à¤•à¥à¤¨à¥‹à¤²à¥..."/>
    <s v="2025-04-03T11:39:58Z"/>
    <d v="2025-04-03T00:00:00"/>
    <n v="2025"/>
    <s v="April"/>
    <s v="2025-04"/>
    <n v="114"/>
    <s v="UCcBnLtwE-d_FTVE-n0z_9RQ"/>
    <s v="F4 Faiz"/>
    <s v="['&quot;à¤­à¤µà¤¿à¤·à¥à¤¯ à¤•à¥€ à¤Ÿà¥‡à¤•à¥à¤¨à¥‹à¤²à¥‰à¤œà¥€ Future technology', 'Technology of future Ai', 'Ghibli Artificial intelligence Ghibli Shorts Ai', 'Ai Future technology topology', 'Shorts Technology Topology Future sikandar movie full Salman khan']"/>
    <n v="27"/>
    <x v="2"/>
    <n v="1190"/>
    <n v="217464.60837887001"/>
    <n v="1"/>
    <n v="182.74420872173951"/>
    <n v="33"/>
    <s v="Short"/>
  </r>
  <r>
    <s v="If0AhMPqx1g"/>
    <s v="Does NVIDIA FINALLY Have A Rea..."/>
    <s v="Does NVIDIA FINALLY Have A Real Competitor? China'..."/>
    <s v="2025-04-28T07:07:24Z"/>
    <d v="2025-04-28T00:00:00"/>
    <n v="2025"/>
    <s v="April"/>
    <s v="2025-04"/>
    <n v="89"/>
    <s v="UCUI9vm69ZbAqRK3q3vKLWCQ"/>
    <s v="Mint"/>
    <s v="['Mint', 'Mint News', 'Live Mint', 'Business News', 'News', 'Today News']"/>
    <n v="25"/>
    <x v="1"/>
    <n v="25600"/>
    <n v="354"/>
    <n v="120"/>
    <n v="1.8515625000000001E-2"/>
    <n v="148"/>
    <s v="Long"/>
  </r>
  <r>
    <s v="iEpJwprxDdk"/>
    <s v="Bloomberg Business News Live"/>
    <s v="Programming schedule (EST):_x000a_12:00 AM - 5:00 AM: Bl..."/>
    <s v="2024-10-18T14:53:08Z"/>
    <d v="2024-10-18T00:00:00"/>
    <n v="2024"/>
    <s v="October"/>
    <s v="2024-10"/>
    <n v="281"/>
    <s v="UCIALMKvObZNtJ6AmdCLP7Lg"/>
    <s v="Bloomberg Television"/>
    <s v="['finance', 'news', 'Bloomberg', 'business', 'economy', 'us']"/>
    <n v="25"/>
    <x v="1"/>
    <n v="29732507"/>
    <n v="48267"/>
    <n v="0"/>
    <n v="1.623374712398117E-3"/>
    <n v="752"/>
    <s v="Long"/>
  </r>
  <r>
    <s v="TZnW14QcnW0"/>
    <s v="Vivo x200 ultra ðŸ”¥ Vivo x200..."/>
    <s v="Vivo x200 ultra ðŸ”¥ Vivo x200 ultra review ðŸ¤¯_x000a__x000a_..."/>
    <s v="2025-05-09T11:15:07Z"/>
    <d v="2025-05-09T00:00:00"/>
    <n v="2025"/>
    <s v="May"/>
    <s v="2025-05"/>
    <n v="78"/>
    <s v="UC-PQ65WptuguzIm2hygClcA"/>
    <s v="CineTech by Goutam"/>
    <s v="['Best camera phone', 'DSLR camera phone', 'Vivo x200 ultra', 'Vivo x200 ultra camera test', 'Vivo x200 ultra price', 'Vivo x200 ultra review', 'Vivo x200 ultra unboxing', 'Vivo x200 ultra vs x200 pro', 'Vivo x200 ultra zoom test', 'X200 ultra vs xiaomi 15 ultra', 'camera comparison', 'flagship vivo', 'mobile review', 'new smartphone', 'shorts', 'tech gadgets', 'tech news', 'vivo', 'vivo camera test', 'vivo photography', 'vivo smartphone', 'vivo specs', 'vivo tech', 'vivo x200', 'vivo x200 pro', 'vivo x200 review']"/>
    <n v="28"/>
    <x v="0"/>
    <n v="6030"/>
    <n v="121"/>
    <n v="1"/>
    <n v="2.023217247097844E-2"/>
    <n v="50"/>
    <s v="Short"/>
  </r>
  <r>
    <s v="cvjA-jXk94o"/>
    <s v="Malaysia's Biggest Tech Mall h..."/>
    <s v="Visit https://www.squarespace.com/LTT and use offe..."/>
    <s v="2025-04-14T17:00:51Z"/>
    <d v="2025-04-14T00:00:00"/>
    <n v="2025"/>
    <s v="April"/>
    <s v="2025-04"/>
    <n v="103"/>
    <s v="UCXuqSBlHAE6Xw-yeJA0Tunw"/>
    <s v="Linus Tech Tips"/>
    <s v="['malaysia', 'low yat', 'linus', 'ltt', 'linustechtips', 'hdmi cable', 'travel linus', 'trave vlog linsu', 'linux malaysia', 'travel malaysia', 'tech mall asia', 'asian tech mall']"/>
    <n v="28"/>
    <x v="0"/>
    <n v="1777792"/>
    <n v="69507"/>
    <n v="3400"/>
    <n v="4.1009859421124631E-2"/>
    <n v="501"/>
    <s v="Long"/>
  </r>
  <r>
    <s v="V5Cv-VMfwRQ"/>
    <s v="Android 16 Is FINALLY HERE â€“..."/>
    <s v="Android 16 aa gaya hai doston !_x000a__x000a_ðŸ”¥ Subscribe fo..."/>
    <s v="2025-05-21T05:03:32Z"/>
    <d v="2025-05-21T00:00:00"/>
    <n v="2025"/>
    <s v="May"/>
    <s v="2025-05"/>
    <n v="66"/>
    <s v="UCXUJJNoP1QupwsYIWFXmsZg"/>
    <s v="Tech Burner"/>
    <s v="['android 16', 'android 16 update', 'android 16 beta', 'android 16 features', 'android 16 review', 'android', 'google android 16', 'android 16 changes', 'android 16 new features', 'android 16 vs android 15', 'android 16 dp1', 'android 16 developer preview', 'whats new android 16', 'android 16 release date', 'android 16 beta download', 'android 16 ui', 'android 16 new', 'android 16 beta 4', 'pixel android 16', 'android 16 beta 3', 'android 16 theme', 'android 16 beta 4.1', 'instalar android 16', 'Tech burner']"/>
    <n v="28"/>
    <x v="0"/>
    <n v="767236"/>
    <n v="19667"/>
    <n v="669"/>
    <n v="2.6505534151160789E-2"/>
    <n v="755"/>
    <s v="Long"/>
  </r>
  <r>
    <s v="KBIXQ-jG9wQ"/>
    <s v="15 Technologies That Will Chan..."/>
    <s v="15 Technologies That Will Change The World_x000a__x000a_Lab-Gr..."/>
    <s v="2025-04-09T13:00:27Z"/>
    <d v="2025-04-09T00:00:00"/>
    <n v="2025"/>
    <s v="April"/>
    <s v="2025-04"/>
    <n v="108"/>
    <s v="UC6J5mYhVIIvmuPE96g0JhDw"/>
    <s v="99Techspot"/>
    <s v="['99techspot', 'top 10', 'futuristic', 'review', 'science and technology', 'new technology', 'future technology', '15 Technologies That Will Change The World', '2030 technology that will change the world', '2030 technology predictions', 'Space', 'creativity', 'future city', 'machine learning', 'the world in 2050 future technology', 'generative ai', 'humanoid robot', '2050 future world', 'artificial intelligence', 'Flying train', 'Dive-XL', 'Int-Ball2', 'Kawasaki Corleo Walks']"/>
    <n v="28"/>
    <x v="0"/>
    <n v="465376"/>
    <n v="3583"/>
    <n v="123"/>
    <n v="7.9634532077288035E-3"/>
    <n v="973"/>
    <s v="Long"/>
  </r>
  <r>
    <s v="HX1LK1WU-Jw"/>
    <s v="CES 2025 Las Vegas: Mind-Blowi..."/>
    <s v="CES 2025 Las Vegas. Exhibitor booth tours and high..."/>
    <s v="2025-01-09T08:08:55Z"/>
    <d v="2025-01-09T00:00:00"/>
    <n v="2025"/>
    <s v="January"/>
    <s v="2025-01"/>
    <n v="198"/>
    <s v="UCtdowDqHNtzfJvN7Vw33dHw"/>
    <s v="The Laughing Lion"/>
    <s v="['CES las vegas', 'las vegas convention', 'CES tours', 'CES2025', 'best of ces 2025', 'tour of ces 2025', 'ces 2025 booth highlights', 'ces show 2025', 'ces las vegas 2025', 'ces 2025 highlights', 'CES robotics', 'CES robots', 'CES 2025 robots', 'futuretech', 'technews', 'ces show recap', 'ces now', '2025ces', 'cestech', 'cesvegas', 'vegasces', 'cesvegas2025', 'vegasces2025']"/>
    <n v="28"/>
    <x v="0"/>
    <n v="1100130"/>
    <n v="8734"/>
    <n v="389"/>
    <n v="8.2926563224346213E-3"/>
    <n v="1792"/>
    <s v="Long"/>
  </r>
  <r>
    <s v="6D4rsqxqSIc"/>
    <s v="China's slaughterbots show WW3..."/>
    <s v="OpenAI o3 and China. Learn more about AI at https:..."/>
    <s v="2024-12-22T17:57:45Z"/>
    <d v="2024-12-22T00:00:00"/>
    <n v="2024"/>
    <s v="December"/>
    <s v="2024-12"/>
    <n v="216"/>
    <s v="UCvCYE-3TrY1GAe2l8K08N-w"/>
    <s v="Digital Engine"/>
    <s v="['OpenAI o3', 'AI', 'OpenAI', 'robots']"/>
    <n v="28"/>
    <x v="0"/>
    <n v="2814241"/>
    <n v="53773"/>
    <n v="10486"/>
    <n v="2.283350999434661E-2"/>
    <n v="886"/>
    <s v="Long"/>
  </r>
  <r>
    <s v="aPeop6os33w"/>
    <s v="5 Samsung features I BET you d..."/>
    <s v="BUY Galaxy S25 Ultra - https://howl.link/bpma91ssq..."/>
    <s v="2025-06-08T14:00:01Z"/>
    <d v="2025-06-08T00:00:00"/>
    <n v="2025"/>
    <s v="June"/>
    <s v="2025-06"/>
    <n v="48"/>
    <s v="UCXMznyE1ibZoCXEVJxrWgTw"/>
    <s v="Tech with Benefits"/>
    <s v="['smartphones', 'tech tips', 'tech with benefits', 'features', 'samsung', 'samsung galaxy', 'samsung mobile', 'how to', 'smartphone camera', 'upgrade', 'comparison', 'review', 'tech review', 'software update', 'update', 'compare', 'software', 'galaxy', 'samsung apps', 'galaxy unpacked', 'hands on', 'unpacked', 'oneui', 'secret', 'hidden features', 'good lock', 'tech youtube', 'tips and tricks', 'samsung features', 'one ui', 'galaxy ai', 'long term review', 'one ui 7', 's25 ultra', 'galaxy s25']"/>
    <n v="28"/>
    <x v="0"/>
    <n v="31957"/>
    <n v="1166"/>
    <n v="44"/>
    <n v="3.7863378915417592E-2"/>
    <n v="600"/>
    <s v="Long"/>
  </r>
  <r>
    <s v="fBFwFyZbewo"/>
    <s v="Top 10 NEW Humanoid Robots of ..."/>
    <s v="Humanoid robots are more advanced than ever in 202..."/>
    <s v="2025-02-27T16:44:55Z"/>
    <d v="2025-02-27T00:00:00"/>
    <n v="2025"/>
    <s v="February"/>
    <s v="2025-02"/>
    <n v="149"/>
    <s v="UCmeUuOcw8szgptZwo7MuuqA"/>
    <s v="Techful Gadgets"/>
    <s v="['top 10 new humanoid robots of 2025 (updated)', 'top 10 humanoid robots of 2025', 'humanoid robots 2025', 'top humanoid robots 2025', 'best humanoid robots 2025', 'robots that look like humans', 'new humanoid robots 2025', 'updated humanoid robots 2025', 'ai humanoid robots 2025', 'latest humanoid robots 2025', 'humanoid robot trends 2025', 'robot advancements 2025', 'robots with ai 2025', 'personal assistant robots', 'healthcare humanoid robots', 'future of humanoid robots']"/>
    <n v="28"/>
    <x v="0"/>
    <n v="252848"/>
    <n v="1631"/>
    <n v="176"/>
    <n v="7.1465860912484974E-3"/>
    <n v="921"/>
    <s v="Long"/>
  </r>
  <r>
    <s v="rH3dHn3ILl8"/>
    <s v="technology âŒ TECHNOLOGIA âœ…..."/>
    <s v="Check out this hilarious Teknologia Arab Meme Comp..."/>
    <s v="2025-03-15T16:02:48Z"/>
    <d v="2025-03-15T00:00:00"/>
    <n v="2025"/>
    <s v="March"/>
    <s v="2025-03"/>
    <n v="133"/>
    <s v="UCxYiaxX6eNyVQdBAL1mF7dg"/>
    <s v="Nazar's Memes"/>
    <s v="['teknologia arab meme', 'technologia arab meme', 'teknologia arab meme compilation', 'technologia arab meme compilation', 'teknologia meme', 'technologia meme', 'technology arab meme compilation', 'technologia meme arab', 'teknologia meme arab', 'technologia arab meme original', 'teknologia arab meme original', 'teknologia meme original', 'technologia meme original', 'teknologia meme original video', 'technologia meme original video', 'memes', 'meme compilation', 'technologia original video', 'technologia original']"/>
    <n v="24"/>
    <x v="3"/>
    <n v="800150"/>
    <n v="10677"/>
    <n v="578"/>
    <n v="1.4066112603886771E-2"/>
    <n v="124"/>
    <s v="Long"/>
  </r>
  <r>
    <s v="3pZkKYhS0ek"/>
    <s v="Black Box Ki Khasiyat #tech #t..."/>
    <s v="Black Box Ki Khasiyat #tech #trending_shorts #tech..."/>
    <s v="2025-06-15T13:30:05Z"/>
    <d v="2025-06-15T00:00:00"/>
    <n v="2025"/>
    <s v="June"/>
    <s v="2025-06"/>
    <n v="41"/>
    <s v="UC0hT5c-mJxs9hHQSin5wG-w"/>
    <s v=" Tech Gp Govind"/>
    <s v="['Black Box Ki Khasiyat #tech #trending_shorts #technology #breaking_news #short_viral #youtube_short', 'black box', 'gujarat airoplane durghatna video']"/>
    <n v="28"/>
    <x v="0"/>
    <n v="1701"/>
    <n v="6"/>
    <n v="0"/>
    <n v="3.5273368606701938E-3"/>
    <n v="29"/>
    <s v="Short"/>
  </r>
  <r>
    <s v="iJYMzHVu58Y"/>
    <s v="BREAKING: Most Important Tech ..."/>
    <s v="No description available"/>
    <s v="2025-05-08T12:30:51Z"/>
    <d v="2025-05-08T00:00:00"/>
    <n v="2025"/>
    <s v="May"/>
    <s v="2025-05"/>
    <n v="79"/>
    <s v="UCV9OVzE_k2tDKVgu5DYOx5w"/>
    <s v="Utkars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6392"/>
    <n v="125"/>
    <n v="3"/>
    <n v="2.002503128911139E-2"/>
    <n v="53"/>
    <s v="Short"/>
  </r>
  <r>
    <s v="2W5W0W6HD_4"/>
    <s v="OnePlus 13S Look and Specifica..."/>
    <s v="No description available"/>
    <s v="2025-06-04T12:42:23Z"/>
    <d v="2025-06-04T00:00:00"/>
    <n v="2025"/>
    <s v="June"/>
    <s v="2025-06"/>
    <n v="52"/>
    <s v="UCx8_WwDn6CCZ4RvoMcksuRg"/>
    <s v="GD TECH, Vlogs, Fun and Masti"/>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1715"/>
    <n v="12"/>
    <n v="0"/>
    <n v="6.9970845481049562E-3"/>
    <n v="59"/>
    <s v="Short"/>
  </r>
  <r>
    <s v="9-Jmv2Kpm6w"/>
    <s v="SDR: Radio Ka Naya Era #smartp..."/>
    <s v="Brajniketan TechTalks is a YouTube channel that of..."/>
    <s v="2025-05-13T11:49:22Z"/>
    <d v="2025-05-13T00:00:00"/>
    <n v="2025"/>
    <s v="May"/>
    <s v="2025-05"/>
    <n v="74"/>
    <s v="UCjsrNWFjxkPxXpeF_woTDmQ"/>
    <s v="Brajniketan TechTalks"/>
    <s v="['#elonmusk', '#youtubeshortsfeed', '#shortsfeeds', '#nvidia', '#intel', '#jio', '#shorts', '#microsoft', '#iphone', '#Reliance', '#windows', '#Trump', '#Stargate', '#Youtube']"/>
    <n v="28"/>
    <x v="0"/>
    <n v="1954"/>
    <n v="26"/>
    <n v="0"/>
    <n v="1.3306038894575231E-2"/>
    <n v="32"/>
    <s v="Short"/>
  </r>
  <r>
    <s v="bQGRW2mXnmQ"/>
    <s v="#smartphone #technologykabaap ..."/>
    <s v="No description available"/>
    <s v="2025-06-19T10:40:45Z"/>
    <d v="2025-06-19T00:00:00"/>
    <n v="2025"/>
    <s v="June"/>
    <s v="2025-06"/>
    <n v="37"/>
    <s v="UCYmubRgKh0mk4TYQnonwTGQ"/>
    <s v="MATA MOBILE BHATPAR RANI"/>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031"/>
    <n v="145"/>
    <n v="1"/>
    <n v="1.6166537482006423E-2"/>
    <n v="29"/>
    <s v="Short"/>
  </r>
  <r>
    <s v="h9Z4oGN89MU"/>
    <s v="How do Graphics Cards Work?  E..."/>
    <s v="Interested in working with Micron to make cutting-..."/>
    <s v="2024-10-19T13:27:23Z"/>
    <d v="2024-10-19T00:00:00"/>
    <n v="2024"/>
    <s v="October"/>
    <s v="2024-10"/>
    <n v="280"/>
    <s v="UCdp4_l1vPmpN-gDbUwhaRUQ"/>
    <s v="Branch Education"/>
    <s v="['graphics card', 'graphics processing unit', 'graphics pipeline', 'video games', 'GPU', 'cpu vs gpu', 'CUDA Core', '3090', '3090 vs 4090', 'Best Graphics Card', 'How do Graphics Cards Work?', '3090ti', '3080ti', '3080', '3070', '5090', '5080', '5090 titan', 'Nvidia', 'NVIDIA', 'Latest Graphics Cards', '5090 Release', '5090 GPU', '5080 Graphics Card', 'GPU Architecture', 'Tensor Cores', 'Bitcoin mining', 'GPU Mining', 'Neural Network', 'GPUs', 'Graphics Cards', 'How do GPUs Work?', 'GPU vs CPU explained', 'GPU vs CPU Architecture', 'Branch Education']"/>
    <n v="27"/>
    <x v="2"/>
    <n v="4876334"/>
    <n v="248095"/>
    <n v="8364"/>
    <n v="5.2592582870656525E-2"/>
    <n v="1710"/>
    <s v="Long"/>
  </r>
  <r>
    <s v="ISU97qNFwq0"/>
    <s v="Primitive Technology: Flywheel..."/>
    <s v="Primitive Technology: Flywheel blower smelt/Monsoo..."/>
    <s v="2025-02-06T21:34:18Z"/>
    <d v="2025-02-06T00:00:00"/>
    <n v="2025"/>
    <s v="February"/>
    <s v="2025-02"/>
    <n v="170"/>
    <s v="UCAL3JXZSzSm8AlZyD3nQdBA"/>
    <s v="Primitive Technology"/>
    <s v="['primitive technology', 'primitive', 'technology', 'primitive tech', 'technology primitive', 'tech primitive', 'prim technology', 'prim tech', 'tech prim', 'technology prim', 'building from scratch', 'build from scratch', 'building', 'rural life', 'fireplace', 'monsoon', 'flywheel', 'sticks', 'stones', 'huts', 'builder', 'primitive building', 'primitive survival life']"/>
    <n v="28"/>
    <x v="0"/>
    <n v="2725535"/>
    <n v="75897"/>
    <n v="3859"/>
    <n v="2.9262511763745468E-2"/>
    <n v="1989"/>
    <s v="Long"/>
  </r>
  <r>
    <s v="ASuYr52t5N4"/>
    <s v="Lava feature Phone 2025 With D..."/>
    <s v="Lava feature Phone 2025 With D2M Technology Launch..."/>
    <s v="2025-04-29T18:40:16Z"/>
    <d v="2025-04-29T00:00:00"/>
    <n v="2025"/>
    <s v="April"/>
    <s v="2025-04"/>
    <n v="88"/>
    <s v="UCcd9jhJHg-JWuEz861i2saQ"/>
    <s v="Sector 55"/>
    <s v="['lava feature phone 2025 with D2M Technology launching soon', 'lava feature phone 2025', 'top best lava keypad phone', 'top lava keypad phone', 'lava new feature phone', 'lava new feature phone 2025', 'lava keypad phone 2025', 'lava keypad mobile', 'best lava keypad phone', 'lava', 'lava d2m feature phone', 'lava d2m keypad mobile', 'D2M', 'd2m', 'lava new d2m phone', 'feature phone with live tv', 'tv wala keypad mobile', 'lava india', 'lava international', 'sector55']"/>
    <n v="28"/>
    <x v="0"/>
    <n v="29339"/>
    <n v="408"/>
    <n v="40"/>
    <n v="1.5269777429360237E-2"/>
    <n v="167"/>
    <s v="Long"/>
  </r>
  <r>
    <s v="FmKe7MyPNx8"/>
    <s v="First Computer to QUANTUM COMP..."/>
    <s v="Checkout LPU to learn new age skills - https://sho..."/>
    <s v="2025-01-14T15:04:54Z"/>
    <d v="2025-01-14T00:00:00"/>
    <n v="2025"/>
    <s v="January"/>
    <s v="2025-01"/>
    <n v="193"/>
    <s v="UC00ifCvU8YOOzbL3RdiSTDw"/>
    <s v="GetsetflySCIENCE by Gaurav Thakur"/>
    <s v="['google', 'willow', 'google quantum ai', 'chip', 'microchip', 'technology', 'gadgets', 'quantum computer', 'ai', 'india', 'blockchain', 'supercomputer', 'microsoft', 'quantum mechanics', 'amazon', 'google ai', 'ancient computer', '1st computer', 'charles babbage', 'evolution of computers', 'google quantum chip', 'computer science', 'new technology 2025', 'science', 'space', 'aliens', 'fastest computer in the world', 'ibm', 'fastest processor in the world', 'humanoids', 'physics', 'astrophysics', 'how a computer works', 'tech', 'cryptocurrency']"/>
    <n v="28"/>
    <x v="0"/>
    <n v="2541185"/>
    <n v="64119"/>
    <n v="2774"/>
    <n v="2.6323545904764902E-2"/>
    <n v="1847"/>
    <s v="Long"/>
  </r>
  <r>
    <s v="3GIzZwQw4nc"/>
    <s v="How the Next Big Solar Panel T..."/>
    <s v="How the Next Big Solar Panel Tech is Already Here...."/>
    <s v="2024-10-08T12:16:50Z"/>
    <d v="2024-10-08T00:00:00"/>
    <n v="2024"/>
    <s v="October"/>
    <s v="2024-10"/>
    <n v="291"/>
    <s v="UCjtUS7-SZTi6pXjUbzGHQCg"/>
    <s v="Undecided with Matt Ferrell"/>
    <s v="['best solar panels', 'cadmium telluride', 'cadmium telluride solar cell', 'energy', 'perovskite solar cell', 'perovskite solar panels', 'renewable energy', 'science', 'silicon solar cell', 'silicon solar panel', 'solar', 'solar energy', 'solar panel project', 'solar panels', 'solar power', 'undecided', 'undecided with matt ferrell', 'PureVis 2', 'water bottle', 'best water bottle', 'designer water bottle', 'water filter', 'water purification', 'LARQ']"/>
    <n v="28"/>
    <x v="0"/>
    <n v="1246937"/>
    <n v="28275"/>
    <n v="996"/>
    <n v="2.3474321477348094E-2"/>
    <n v="808"/>
    <s v="Long"/>
  </r>
  <r>
    <s v="cfOD9XJtiPo"/>
    <s v="OnePlus 13s Unboxing- Most Pow..."/>
    <s v="Chota packet bada dhamaaka !_x000a__x000a_ðŸ”¥ Subscribe for T..."/>
    <s v="2025-06-05T07:05:37Z"/>
    <d v="2025-06-05T00:00:00"/>
    <n v="2025"/>
    <s v="June"/>
    <s v="2025-06"/>
    <n v="51"/>
    <s v="UCXUJJNoP1QupwsYIWFXmsZg"/>
    <s v="Tech Burner"/>
    <s v="['oneplus 13s', 'oneplus 13', 'oneplus 13s review', 'oneplus', 'oneplus 13s unboxing', 'oneplus 13s specs', 'oneplus 13r', 'oneplus 13s price', 'oneplus 13 review', 'oneplus 13t', 'oneplus 13s features', 'oneplus 13s launch date', 'oneplus 13s camera test', 'oneplus 13s price in india', 'oneplus 13s vs', 'oneplus 13r review', 'oneplus 13s india', 'oneplus 13 camera', 'oneplus 13 vs oneplus 13s', 'oneplus 13s vs oneplus 13', 'oneplus 13 pro', 'oneplus 13s vs oneplus 13r', 'oneplus 13r vs oneplus 13s', 'techburner']"/>
    <n v="28"/>
    <x v="0"/>
    <n v="569490"/>
    <n v="15310"/>
    <n v="631"/>
    <n v="2.7991711882561589E-2"/>
    <n v="838"/>
    <s v="Long"/>
  </r>
  <r>
    <s v="5VWBLivhTRc"/>
    <s v="15 EMERGING TECHNOLOGIES THAT ..."/>
    <s v="15 Emerging Technologies That Will Change The Futu..."/>
    <s v="2024-04-23T12:00:04Z"/>
    <d v="2024-04-23T00:00:00"/>
    <n v="2024"/>
    <s v="April"/>
    <s v="2024-04"/>
    <n v="459"/>
    <s v="UC6J5mYhVIIvmuPE96g0JhDw"/>
    <s v="99Techspot"/>
    <s v="['concept', 'amazing inventions you must see', '99techspot', 'top 10', 'futuristic', 'review', 'Nanotechnology', 'MyEye Pro', '3D House Printer', 'Nanoscribe', '6G vision for 2030', 'CyberDog 2', 'Microsoft HoloLens 2', 'Satellite 5G', 'DJI Avata 2', 'Starship', 'AMBIDEX robot', 'Electric Atlas Robot', '20 Emerging Technologies That Will Change Our World', 'quantum computer', 'emerging technologies', '2050', 'humanoid robot', 'SpaceX', 'top 5', 'Mars', 'robots', 'virtual reality', '2050 future world', 'crispr', 'space tourism', 'generative ai']"/>
    <n v="28"/>
    <x v="0"/>
    <n v="578419"/>
    <n v="5542"/>
    <n v="223"/>
    <n v="9.9668233581538639E-3"/>
    <n v="990"/>
    <s v="Long"/>
  </r>
  <r>
    <s v="1Vs1_1vlABM"/>
    <s v="CES 2025 - Best and WEIRDEST N..."/>
    <s v="The best of CES 2025! And the weirdest of CES 2025..."/>
    <s v="2025-01-10T17:30:00Z"/>
    <d v="2025-01-10T00:00:00"/>
    <n v="2025"/>
    <s v="January"/>
    <s v="2025-01"/>
    <n v="197"/>
    <s v="UCYute_pau0Os_n-pi3CcFhw"/>
    <s v="Trisha Hershberger"/>
    <s v="['trisha hershberger', 'technology', 'tech', 'ces 2025 highlights', 'interesting engineering', 'ces 2025', 'ces robots', 'ces 2025 robots', 'weird tech', 'ces 2025 preview', 'ces 2025 unveiled', 'ces 2025 las vegas', 'weird tech products', 'tech trends 2025', 'tech trends', 'ai robots', 'food tech', 'beauty tech', 'gunnar glasses', 'tcl ces 2025', 'ces 2025 announcements', 'ces 2025 vlog', '2025 tech', 'ces hot tech', 'ces tech show', 'ces technology', 'best of ces 2025', 'gaming tech', 'home tech', 'ces best tech']"/>
    <n v="28"/>
    <x v="0"/>
    <n v="539853"/>
    <n v="8751"/>
    <n v="338"/>
    <n v="1.6836064632409192E-2"/>
    <n v="1214"/>
    <s v="Long"/>
  </r>
  <r>
    <s v="ip9Yy1dz5ew"/>
    <s v="Absolutely everything went wro..."/>
    <s v="Thanks to Intel for continuing to sponsor this awe..."/>
    <s v="2022-05-26T17:01:10Z"/>
    <d v="2022-05-26T00:00:00"/>
    <n v="2022"/>
    <s v="May"/>
    <s v="2022-05"/>
    <n v="1157"/>
    <s v="UCXuqSBlHAE6Xw-yeJA0Tunw"/>
    <s v="Linus Tech Tips"/>
    <s v="['intel', 'extreme', 'tech', 'pc', 'gaming', 'build', 'guide', 'brandon', 'lee', 'upgrade', 'photo', 'editing', 'workstation']"/>
    <n v="28"/>
    <x v="0"/>
    <n v="4034331"/>
    <n v="131765"/>
    <n v="3428"/>
    <n v="3.3510636583859874E-2"/>
    <n v="1268"/>
    <s v="Long"/>
  </r>
  <r>
    <s v="hjDPKRXv-LU"/>
    <s v="Life in 2100 (à¤­à¤µà¤¿à¤·à¥à..."/>
    <s v="#Future #Technology #World #2100 #futuristic #sci-..."/>
    <s v="2024-08-08T13:50:25Z"/>
    <d v="2024-08-08T00:00:00"/>
    <n v="2024"/>
    <s v="August"/>
    <s v="2024-08"/>
    <n v="352"/>
    <s v="UCENLJimUiMr6Lo0shZ1Vq_A"/>
    <s v="The Knowledge"/>
    <s v="['future technology', 'future world', 'world in 2100', 'futuristic', 'sci-fi', 'science fiction', 'future predictions', 'future life', 'future of humanity', 'future of earth', 'future tech', 'artificial intelligence', 'robotics', 'virtual reality', 'augmented reality', 'space exploration', 'sustainable energy', 'smart cities', 'bioengineering', 'nanotechnology', 'future society', 'climate change', 'overpopulation', 'social issues in 2100', 'future jobs', 'education in 2100', 'healthcare in 2100', 'transportation in 2100']"/>
    <n v="27"/>
    <x v="2"/>
    <n v="587614"/>
    <n v="8504"/>
    <n v="738"/>
    <n v="1.5728011926196449E-2"/>
    <n v="752"/>
    <s v="Long"/>
  </r>
  <r>
    <e v="#NAME?"/>
    <s v="We Survived 100 Days In SKYBLO..."/>
    <s v="â—INSTAGRAM!_x000a_https://instagram.com/lordngaming?ig..."/>
    <s v="2024-08-24T09:28:40Z"/>
    <d v="2024-08-24T00:00:00"/>
    <n v="2024"/>
    <s v="August"/>
    <s v="2024-08"/>
    <n v="336"/>
    <s v="UCnaXMR7Tu3bj8cJ1ZzgcCTQ"/>
    <s v="LordN Gaming"/>
    <s v="['Hardest skyblock', 'Skyblock timelapse', 'The nothing skyblock', 'Can you beat skyblock with nothing', 'LordJon25', 'Lordn gaming', 'lordn 100 days', 'skyblock with nothing', 'nothing skyblock', 'we survived 300 days in skyblock without tree in minecraft hardcore', 'Lordn 100 days skyblock', 'Minecraft skyblock without tree', 'we survived 100 days in skyblock minecraft', 'We survived 100 days in minecraft skyblock with nothing', 'Skyblock with nothing minecraft', 'Minecraft oneblock 100 days', 'Oneblock 100']"/>
    <n v="20"/>
    <x v="10"/>
    <n v="413270"/>
    <n v="7744"/>
    <n v="294"/>
    <n v="1.9449754397851283E-2"/>
    <n v="1164"/>
    <s v="Long"/>
  </r>
  <r>
    <s v="nkDJM3Z8bmk"/>
    <s v="Innovative Healthcare: The Syn..."/>
    <s v="What does it take to truly transform healthcare? I..."/>
    <s v="2025-05-28T16:12:58Z"/>
    <d v="2025-05-28T00:00:00"/>
    <n v="2025"/>
    <s v="May"/>
    <s v="2025-05"/>
    <n v="59"/>
    <s v="UCUI9vm69ZbAqRK3q3vKLWCQ"/>
    <s v="Mint"/>
    <s v="['Mint', 'Mint News', 'Live Mint', 'Business News', 'News', 'Today News']"/>
    <n v="25"/>
    <x v="1"/>
    <n v="120483"/>
    <n v="24"/>
    <n v="2"/>
    <n v="2.1579807939709337E-4"/>
    <n v="2687"/>
    <s v="Long"/>
  </r>
  <r>
    <s v="RR0bLaOGEKc"/>
    <s v="Bajaj Freedom 125 #bike #short..."/>
    <s v="#bajaj #freedom #motorcycle #cng #and #petrol"/>
    <s v="2025-05-01T11:28:36Z"/>
    <d v="2025-05-01T00:00:00"/>
    <n v="2025"/>
    <s v="May"/>
    <s v="2025-05"/>
    <n v="86"/>
    <s v="UC8XyjHCZxoNa0h8xvgKw36Q"/>
    <s v="W.A."/>
    <s v="['Bajaj', 'Freedom', 'CNG', 'Petrol', 'Motorcycle']"/>
    <n v="2"/>
    <x v="13"/>
    <n v="4521"/>
    <n v="48"/>
    <n v="0"/>
    <n v="1.0617120106171201E-2"/>
    <n v="28"/>
    <s v="Short"/>
  </r>
  <r>
    <s v="dKckaE9S5yo"/>
    <s v="Alcatel Phone comeback in Indi..."/>
    <s v="Alcatel V3 Ultra unboxing &amp; quick review_x000a__x000a_#Alcatel..."/>
    <s v="2025-06-07T14:31:35Z"/>
    <d v="2025-06-07T00:00:00"/>
    <n v="2025"/>
    <s v="June"/>
    <s v="2025-06"/>
    <n v="49"/>
    <s v="UC1tVU8H153ZFO9eRsxdJlhA"/>
    <s v="Technology Gyan"/>
    <s v="['Alcatel phone', 'alcatel v3 ultra unboxing', 'alcatel v3 ultra camera', 'alcatel v3 ultra bgmi tes', 'alcatel v3 ultra price', 'alcatel v3 ultra']"/>
    <n v="28"/>
    <x v="0"/>
    <n v="379513"/>
    <n v="17123"/>
    <n v="1002"/>
    <n v="4.775857480507914E-2"/>
    <n v="631"/>
    <s v="Long"/>
  </r>
  <r>
    <s v="aTdDvrf79TA"/>
    <s v="vivo T4 Ultra Unboxing &amp; First..."/>
    <s v="Doston aaj ke video me hum unbox kar rahe hain all..."/>
    <s v="2025-06-11T06:30:00Z"/>
    <d v="2025-06-11T00:00:00"/>
    <n v="2025"/>
    <s v="June"/>
    <s v="2025-06"/>
    <n v="45"/>
    <s v="UCEPL07qzVsOcHd3sMUws65g"/>
    <s v="Trakin Tech"/>
    <s v="['vivo t4 ultra', 'vivo t4 ultra review', 'vivo t4 ultra price in india', 'vivo t4 ultra unboxing', 'vivo t4 ultra 5g', 'vivo t4 ultra specification', 'vivo t4 ultra specs', 't4 ultra vivo', 'vivo t4 ultra buy or not', 'vivo t4 ultra comparison', 'vivo t4 ultra price', 'vivo t4 ultra camera test', 'vivo t4 ultra 5g unboxing', 'vivo t4 ultra vs', 'vivo t4 ultra first look', 'vivo t4 ultra vs vivo v50', 'vivo v50 vs vivo t4 ultra', 'vivo t4 ultra trakintech', 'best vivo under 35000', 't4 ultra', 'vivo v50 pro']"/>
    <n v="28"/>
    <x v="0"/>
    <n v="873493"/>
    <n v="31376"/>
    <n v="1621"/>
    <n v="3.7775918066887772E-2"/>
    <n v="742"/>
    <s v="Long"/>
  </r>
  <r>
    <s v="UlIU5LRMY6w"/>
    <s v="Instagram Important Settings ð..."/>
    <s v="Hidden instagram settings_x000a_Hidden instagram feature..."/>
    <s v="2025-06-04T10:30:31Z"/>
    <d v="2025-06-04T00:00:00"/>
    <n v="2025"/>
    <s v="June"/>
    <s v="2025-06"/>
    <n v="52"/>
    <s v="UCD0ixD6V_esLsn1B66tkNnw"/>
    <s v="Everything_techie"/>
    <s v="['Instagram tricks', 'Instagram tips', 'Instagram hacks', 'Instagram settings', 'Instagram features', 'Android tricks', 'Android hacks', 'Iphone tricks', 'Iphone hacks', 'Ios hacks']"/>
    <n v="24"/>
    <x v="3"/>
    <n v="1207"/>
    <n v="14"/>
    <n v="0"/>
    <n v="1.15990057995029E-2"/>
    <n v="42"/>
    <s v="Short"/>
  </r>
  <r>
    <s v="FhyAQZsws6s"/>
    <s v="#mobilephone #smartphone #ripa..."/>
    <s v="No description available"/>
    <s v="2025-06-02T14:28:33Z"/>
    <d v="2025-06-02T00:00:00"/>
    <n v="2025"/>
    <s v="June"/>
    <s v="2025-06"/>
    <n v="54"/>
    <s v="UCo0mAi0FlYnlwhGf7BvIuVg"/>
    <s v="sarik mobile parts shop"/>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1563"/>
    <n v="154"/>
    <n v="0"/>
    <n v="7.1418633770811112E-3"/>
    <n v="21"/>
    <s v="Short"/>
  </r>
  <r>
    <s v="PTjz11lURxE"/>
    <s v="Impossible Technologies You Ca..."/>
    <s v="Welcome to Trending Machine â€” where inventions h..."/>
    <s v="2025-05-02T14:00:39Z"/>
    <d v="2025-05-02T00:00:00"/>
    <n v="2025"/>
    <s v="May"/>
    <s v="2025-05"/>
    <n v="85"/>
    <s v="UCCfpI5ggGDPkD0F0Qfsbdpw"/>
    <s v="Trending Machine"/>
    <s v="['trending machine', 'amazing inventions', 'amazing inventions that are on another level', 'crazy vehicles', 'inventions', 'technology', 'another level', 'amazing inventions you should see', 'machines', 'satisfying video', 'the most satisfying videos', 'amazing tools', 'road inventions', 'next level tools', 'next level', 'tips and hacks', 'gadgets', 'compilation', 'inventions that changed the world', 'new level', 'inventors', 'satisfying', 'awesome tools', 'new inventions', 'most amazing inventions you need to see']"/>
    <n v="22"/>
    <x v="6"/>
    <n v="523536"/>
    <n v="4065"/>
    <n v="74"/>
    <n v="7.9058555667614067E-3"/>
    <n v="20"/>
    <s v="Short"/>
  </r>
  <r>
    <s v="hRHQgU5obiQ"/>
    <s v="I TRIED 7 COOL GADGETS FROM SH..."/>
    <s v="I TRIED 7 COOL GADGETS FROM SHARK TANK_x000a_#ujjwal #te..."/>
    <s v="2025-03-18T12:30:43Z"/>
    <d v="2025-03-18T00:00:00"/>
    <n v="2025"/>
    <s v="March"/>
    <s v="2025-03"/>
    <n v="130"/>
    <s v="UCs6EmLAT4lTWwCSJRgbbchQ"/>
    <s v="TechShot"/>
    <s v="['best tech', 'gadgets', 'unboxing', 'amazing', 'useful', 'experiment', 'review', 'new', 'innovative', 'shark tank', 'shark tank india', 'future tech', 'cool', 'smart', 'smart living', 'smart gadgets', 'tech review', 'startup india', 'wearable tech', 'gaming', 'AI', 'made in india', 'digital india', 'ujjwal', 'technogamerz']"/>
    <n v="28"/>
    <x v="0"/>
    <n v="4358841"/>
    <n v="99282"/>
    <n v="8985"/>
    <n v="2.4838483440896331E-2"/>
    <n v="2294"/>
    <s v="Long"/>
  </r>
  <r>
    <s v="pCqKf1r79m8"/>
    <s v="polythene urine #facts #viralv..."/>
    <s v="No description available"/>
    <s v="2025-05-28T11:21:41Z"/>
    <d v="2025-05-28T00:00:00"/>
    <n v="2025"/>
    <s v="May"/>
    <s v="2025-05"/>
    <n v="59"/>
    <s v="UCXJ3BsorN7sn1JnrudJJj8Q"/>
    <s v="knowledgible fact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5331"/>
    <n v="18"/>
    <n v="0"/>
    <n v="3.3764772087788407E-3"/>
    <n v="56"/>
    <s v="Short"/>
  </r>
  <r>
    <s v="H0vfYzwh3kM"/>
    <s v="Lost Your Phone? Do This ASAP!..."/>
    <s v="Lost Your Phone? Do This ASAP! #gadgets360 #androi..."/>
    <s v="2025-05-04T13:23:16Z"/>
    <d v="2025-05-04T00:00:00"/>
    <n v="2025"/>
    <s v="May"/>
    <s v="2025-05"/>
    <n v="83"/>
    <s v="UCx5e1u7BX0aKwEj3sdYXdXg"/>
    <s v="Gadgets 360"/>
    <s v="['how to know if your phone is hacked', 'phone spy', 'phone spying', 'android phone', 'phone tracking', 'phone monitoring', '#lostphone', 'how to tell if your iphone is hacked', '#phonesecurity', 'iphone', 'iphone 15', 'iphone 12', 'iphone 13', 'iphone fix', 'how to use find my iphone', 'iphone tips', 'how to study', 'iphone 15 pro', 'iphone hacks', 'what to do if i lose my iphone', 'how to check if your iphone has been hacked', 'iphone repair', 'how to spend money correctly', '#findmyiphone']"/>
    <n v="26"/>
    <x v="8"/>
    <n v="5091"/>
    <n v="39"/>
    <n v="0"/>
    <n v="7.6605774896876845E-3"/>
    <n v="39"/>
    <s v="Short"/>
  </r>
  <r>
    <s v="4aZDNO7c8Z8"/>
    <s v="Why Investors Are Piling into ..."/>
    <s v="Africaâ€™s tech startups raised a record $5 billio..."/>
    <s v="2022-04-07T13:27:33Z"/>
    <d v="2022-04-07T00:00:00"/>
    <n v="2022"/>
    <s v="April"/>
    <s v="2022-04"/>
    <n v="1206"/>
    <s v="UCUMZ7gohGI9HcU9VNsr2FJQ"/>
    <s v="Bloomberg Originals"/>
    <s v="['News', 'bloomberg', 'quicktake', 'business', 'bloomberg quicktake', 'quicktake originals', 'bloomberg\nquicktake by bloomberg', 'documentary', 'mini documentary', 'mini doc', 'doc', 'us news', 'world news', 'finance', 'science', 'africa+', 'tech startups', 'investment', 'US', 'China', 'flutterwave', 'sendy', 'ihub', 'mopesa']"/>
    <n v="25"/>
    <x v="1"/>
    <n v="344551"/>
    <n v="7548"/>
    <n v="465"/>
    <n v="2.325635392148042E-2"/>
    <n v="967"/>
    <s v="Long"/>
  </r>
  <r>
    <s v="B6jl1E0qMf4"/>
    <s v="Japan's Expo 2025: Incredible ..."/>
    <s v="ðŸ‘‰For business inquiries: info.prorobots@gmail.c..."/>
    <s v="2025-04-19T13:00:31Z"/>
    <d v="2025-04-19T00:00:00"/>
    <n v="2025"/>
    <s v="April"/>
    <s v="2025-04"/>
    <n v="98"/>
    <s v="UCu8luTDe_Xxd2ahAXsCWX5g"/>
    <s v="PRO ROBOTS"/>
    <s v="['technology', 'expo 2025', 'robotics', 'autonomous vehicles', 'artificial intelligence', 'digital technology', 'robots', 'high tech', 'technology development', 'robot future', 'robots2025', 'robot control', 'robots with ai', 'modern technology', 'new robot models', 'robotics development', 'tech', 'ayo technology', 'cool gadgets', 'future', 'future technology', 'humanoid robots', 'boston dynamics', 'unitree', 'future of life', 'future transportation concept', 'aI for predicting crimes', 'figure robots at bmw factories', 'expo 2025 osaka']"/>
    <n v="28"/>
    <x v="0"/>
    <n v="253351"/>
    <n v="3346"/>
    <n v="127"/>
    <n v="1.3708254555932284E-2"/>
    <n v="1232"/>
    <s v="Long"/>
  </r>
  <r>
    <s v="NKY9L0mjW7Y"/>
    <s v="Foldable Laptop Magic?! Huawei..."/>
    <s v="Here it is â€” the worldâ€™s first foldable laptop..."/>
    <s v="2025-05-20T00:11:28Z"/>
    <d v="2025-05-20T00:00:00"/>
    <n v="2025"/>
    <s v="May"/>
    <s v="2025-05"/>
    <n v="67"/>
    <s v="UCgJCa5JyZUFkw2evyuvLbJA"/>
    <s v="Sami Luo Tech"/>
    <s v="['Huawei MateBook Fold first look', 'foldable display quality', 'flexible OLED crease', 'hinge durability', 'luxury laptop', 'business laptop', 'creator screen', 'Huawei foldable', '18-inch OLED PC', 'multitasking', 'mobile workstation', 'premium price.', 'foldable notebook test', 'Huawei Ultimate Design', '18-inch foldable screen', 'HarmonyOS laptop', 'multitasking gestures', 'premium tech.']"/>
    <n v="28"/>
    <x v="0"/>
    <n v="399707"/>
    <n v="6911"/>
    <n v="898"/>
    <n v="1.9536810713847892E-2"/>
    <n v="487"/>
    <s v="Long"/>
  </r>
  <r>
    <s v="pN17MOfhZJk"/>
    <s v="DeepSeek Just CRUSHED Big Tech..."/>
    <s v="DeepSeek has released Janus Pro, a groundbreaking ..."/>
    <s v="2025-01-29T00:06:39Z"/>
    <d v="2025-01-29T00:00:00"/>
    <n v="2025"/>
    <s v="January"/>
    <s v="2025-01"/>
    <n v="178"/>
    <s v="UC5l7RouTQ60oUjLjt1Nh-UQ"/>
    <s v="AI Revolution"/>
    <s v="['AI News', 'AI Updates', 'AI Revolution', 'AI', 'deepseek', 'janus pro', 'ai model', 'dall-e 3', 'gpt-4', 'openai', 'multimodal ai', 'image generation', 'ai benchmarks', 'generative ai', 'tech innovation', 'ai competition', 'ai disruption', 'nvidia', 'ai efficiency', 'ai breakthroughs', 'ai technology', 'unified transformer', 'open-source ai', 'ai revolution', 'deep learning', 'artificial intelligence', 'ai advancements', 'ai research', 'ai market', 'ai cost efficiency', 'deepseek janus pro', 'generative models', 'future of ai']"/>
    <n v="28"/>
    <x v="0"/>
    <n v="938450"/>
    <n v="16415"/>
    <n v="1961"/>
    <n v="1.9581224359315894E-2"/>
    <n v="836"/>
    <s v="Long"/>
  </r>
  <r>
    <s v="vaMlqmi7X88"/>
    <s v="China Has Launched New Generat..."/>
    <s v="China's New Transport Tech: Is the US Ready for Th..."/>
    <s v="2024-12-29T13:06:21Z"/>
    <d v="2024-12-29T00:00:00"/>
    <n v="2024"/>
    <s v="December"/>
    <s v="2024-12"/>
    <n v="209"/>
    <s v="UC1dOYS4SC0FMFYHQxAPkfhg"/>
    <s v="FactEX"/>
    <s v="['discovery', 'unexplained', 'mysterious', 'top 10', 'top 15', 'space', 'universe', 'science', 'techology', 'mystery', 'facts', 'interesting', 'discovery channel', 'discovery plus', 'scientists discovery', 'aliens', 'ufo', 'terrifying discoveries', 'top', 'they discovered', 'invention', 'future', 'galaxy', 'james webb', 'elon musk', 'business', 'entertainment', 'ultimate discovery', 'china has launched new generation transport shocking the us', 'sky maglev train', 'land maglev train', 'shane two-wheeler', 't-flight', 'floating suv -yang wang u-eight', 'nio et-nine']"/>
    <n v="24"/>
    <x v="3"/>
    <n v="1935909"/>
    <n v="8010"/>
    <n v="256"/>
    <n v="4.269828798771017E-3"/>
    <n v="893"/>
    <s v="Long"/>
  </r>
  <r>
    <s v="w7H8bzvLN2o"/>
    <s v="Huawei Maextro S800 â€“ Latest..."/>
    <s v="No description available"/>
    <s v="2025-05-30T16:01:08Z"/>
    <d v="2025-05-30T00:00:00"/>
    <n v="2025"/>
    <s v="May"/>
    <s v="2025-05"/>
    <n v="57"/>
    <s v="UC91D3Ux_SGfUHoL4VybVgvA"/>
    <s v="DiscoverChinaAuto"/>
    <s v="['BYD YangWang U8', 'BYD', 'china ev', 'Tank 300', 'GWM', 'HUAWEI AITO M7', 'AITO M7', 'HUAWEI', 'Tank 400', 'Li L9', 'Li', 'L9', 'IM Motor', 'IM Motor LS6', 'LS6', 'Human Horizons', 'HiPhi Z', 'HiPhi', 'AITO M9', 'Li Auto', 'Mega', 'XPENG', 'XPENG X9', 'Tank 700 Hi4-T', 'Tank 700', 'YangWang', 'Xiaomi', 'Geely', 'Xiaomi SU7', 'electric car', 'electric vehicle', 'china car']"/>
    <n v="2"/>
    <x v="13"/>
    <n v="491435"/>
    <n v="5564"/>
    <n v="727"/>
    <n v="1.2801286029688564E-2"/>
    <n v="1140"/>
    <s v="Long"/>
  </r>
  <r>
    <s v="waDuvnJXC2o"/>
    <s v="iPhone 17 is INSANE - 8 MAJOR ..."/>
    <s v="Apple's iPhone 17 is going to be AWESOME this year..."/>
    <s v="2025-06-02T14:01:24Z"/>
    <d v="2025-06-02T00:00:00"/>
    <n v="2025"/>
    <s v="June"/>
    <s v="2025-06"/>
    <n v="54"/>
    <s v="UCptwuAv0XQHo1OQUSaO6NHw"/>
    <s v="Max Tech"/>
    <s v="['iPhone leaks', 'iphone', 'iPhone 17 leaks', 'iPhone 17 lineup leaks', 'iPhone 17 leaked', 'iPhone 17 leak updates', 'iPhone 17 major leaks', 'iPhone 17 new leaks', 'iPhone 17 new leak updates', 'iPhone 17 major updates', 'iPhone 17 series leaks', 'iPhone 17 top 10 leaks', 'iPhone 17 top upgrades', 'iPhone 17 top 10 upgrades', 'iPhone 17 major features', 'iPhone 17 new major features', 'iPhone 17 new updates', 'iPhone 17 pro', 'iPhone 17 pro leaks', 'iPhone 17 ultra', 'iPhone 17 air', 'iPhone 17 air leaks']"/>
    <n v="28"/>
    <x v="0"/>
    <n v="142155"/>
    <n v="2841"/>
    <n v="371"/>
    <n v="2.2595054693820126E-2"/>
    <n v="565"/>
    <s v="Long"/>
  </r>
  <r>
    <s v="qELnhFx-APc"/>
    <s v="#smartphone #tech #technology ..."/>
    <s v="No description available"/>
    <s v="2025-05-14T02:16:36Z"/>
    <d v="2025-05-14T00:00:00"/>
    <n v="2025"/>
    <s v="May"/>
    <s v="2025-05"/>
    <n v="73"/>
    <s v="UCx4shTmKt1kflWK7NeTjNww"/>
    <s v="Tech Shoukin"/>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1391"/>
    <n v="8"/>
    <n v="0"/>
    <n v="5.7512580877066861E-3"/>
    <n v="15"/>
    <s v="Short"/>
  </r>
  <r>
    <s v="C1NR1pVPbvA"/>
    <s v="Japanese Farmers Harvest Expen..."/>
    <s v="#21 #farming #agriculture #harvesting #harvest  #a..."/>
    <s v="2025-02-10T09:00:11Z"/>
    <d v="2025-02-10T00:00:00"/>
    <n v="2025"/>
    <s v="February"/>
    <s v="2025-02"/>
    <n v="166"/>
    <s v="UCFlbLCKOhjvhmJnsyYMl-jA"/>
    <s v="The Gearbox"/>
    <s v="['agriculture technology', 'heavy machinery', 'heavy equipment', 'biggest heavy equipment machines', 'biggest heavy machinery machines', 'harvest', 'modern agriculture technology', 'thegearbox', 'the gearbox', 'grape farm', 'japanese grapes', 'japanese farmers harvest expensive grapes', 'grape transportation', 'grape harvest', 'grape harvesting machine']"/>
    <n v="28"/>
    <x v="0"/>
    <n v="951324"/>
    <n v="12795"/>
    <n v="715"/>
    <n v="1.4201260558968342E-2"/>
    <n v="998"/>
    <s v="Long"/>
  </r>
  <r>
    <s v="faJYEduLpLo"/>
    <s v="Primitive Technology - Meet Fi..."/>
    <s v="Primitive Technology - Meet Fish In The Lake Cacth..."/>
    <s v="2023-02-10T11:00:35Z"/>
    <d v="2023-02-10T00:00:00"/>
    <n v="2023"/>
    <s v="February"/>
    <s v="2023-02"/>
    <n v="897"/>
    <s v="UCV3sPnh7wwVyZ1qnoudgVZA"/>
    <s v="Kmeng Prey"/>
    <s v="['Primitive Technology - Meet Fish In The Lake Cacth And Cooking', 'Primitive', 'Technology', 'Cooking', 'Primitive Technology', 'Eating delicious', 'Kmeng Prey', 'Meet Fish In The Lake Cacth And Cooking', 'cooking', 'primitive technology', 'primitive', 'technology', 'kmeng prey', 'traditional cooking', 'mukbang', 'food']"/>
    <n v="24"/>
    <x v="3"/>
    <n v="3606687"/>
    <n v="16556"/>
    <n v="1970.1447811447799"/>
    <n v="5.1366100748816796E-3"/>
    <n v="945"/>
    <s v="Long"/>
  </r>
  <r>
    <s v="mbzh5qfP0Js"/>
    <s v="China's Top 5 Manufacturing an..."/>
    <s v="Industrial manufacturing stands as the backbone of..."/>
    <s v="2024-02-18T17:00:36Z"/>
    <d v="2024-02-18T00:00:00"/>
    <n v="2024"/>
    <s v="February"/>
    <s v="2024-02"/>
    <n v="524"/>
    <s v="UC4Tklxku1yPcRIH0VVCKoeA"/>
    <s v="Quantum Tech H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2937151"/>
    <n v="26618"/>
    <n v="719"/>
    <n v="2.1130618325472124E-3"/>
    <n v="2680"/>
    <s v="Long"/>
  </r>
  <r>
    <s v="qF8-uaQJuBQ"/>
    <s v="12 AMAZING Tech Gadgets on Ama..."/>
    <s v="As technology continues to evolve rapidly, 2025 pr..."/>
    <s v="2025-06-09T12:55:43Z"/>
    <d v="2025-06-09T00:00:00"/>
    <n v="2025"/>
    <s v="June"/>
    <s v="2025-06"/>
    <n v="47"/>
    <s v="UCAsUHtfz0Fqe9ZtBgmL1XYQ"/>
    <s v="NEW DISCOVERY  TV"/>
    <s v="['best amazon finds', 'amazon gadgets', 'cool gadgets on amazon', 'gadgets on amazon', 'new gadgets on amazon', 'gadgets', '12 coolest gadgets on amazon', 'cool gadgets', 'amazon', '12 coolest gadgets on amazon and online', 'smart gadgets', 'amazon finds', 'cool tech gadgets on amazon', 'amazon gadgets 2025', '12 amazing kitchen gadgets on amazon that will change your life', 'coolest gadgets', 'best gadgets on amazon', 'home gadgets on amazon', 'viral gadgets on amazon', 'latest gadgets', '13 coolest gadgets on amazon']"/>
    <n v="28"/>
    <x v="0"/>
    <n v="598"/>
    <n v="6"/>
    <n v="0"/>
    <n v="1.0033444816053512E-2"/>
    <n v="726"/>
    <s v="Long"/>
  </r>
  <r>
    <s v="QM9j_qQZDnY"/>
    <s v="Primitive Technology: Re-smelt..."/>
    <s v="Primitive Technology: Re-smelting previously made ..."/>
    <s v="2025-04-03T21:32:27Z"/>
    <d v="2025-04-03T00:00:00"/>
    <n v="2025"/>
    <s v="April"/>
    <s v="2025-04"/>
    <n v="114"/>
    <s v="UCAL3JXZSzSm8AlZyD3nQdBA"/>
    <s v="Primitive Technology"/>
    <s v="['primitive technology', 'primitive', 'technology', 'primitive tech', 'technology primitive', 'tech primitive', 'prim technology', 'prim tech', 'tech prim', 'technology prim', 'building from scratch', 'build from scratch', 'fire', 'smelting', 'iron man', 'tools', 'rust', 'rust irl', 'fire making', 'survival tools', 'creating iron']"/>
    <n v="28"/>
    <x v="0"/>
    <n v="1354345"/>
    <n v="53312"/>
    <n v="3029"/>
    <n v="4.1600183114346788E-2"/>
    <n v="1765"/>
    <s v="Long"/>
  </r>
  <r>
    <s v="101eNM998nU"/>
    <s v="How to Transfer Files From Pho..."/>
    <s v="How do you transfer data from a phone to a compute..."/>
    <s v="2019-05-30T12:32:54Z"/>
    <d v="2019-05-30T00:00:00"/>
    <n v="2019"/>
    <s v="May"/>
    <s v="2019-05"/>
    <n v="2249"/>
    <s v="UCCspJ6mFfCwOV4qFjZWi2wg"/>
    <s v="Xiaomi"/>
    <s v="['Mi9', 'xiaomi', 'xiaomi miui', 'xiami mi9', 'miui mi9', 'miui10', 'xiaomi redmi', 'redmi']"/>
    <n v="28"/>
    <x v="0"/>
    <n v="558398"/>
    <n v="13010"/>
    <n v="243"/>
    <n v="2.3733967528536994E-2"/>
    <n v="29"/>
    <s v="Short"/>
  </r>
  <r>
    <s v="Wj3EN4CBkyo"/>
    <s v="100â‚¹ VS 50000â‚¹ POWERBANK"/>
    <s v="100â‚¹ VS 50000â‚¹ POWERBANK_x000a_#pen #technogamerz _x000a__x000a_..."/>
    <s v="2024-05-18T04:30:10Z"/>
    <d v="2024-05-18T00:00:00"/>
    <n v="2024"/>
    <s v="May"/>
    <s v="2024-05"/>
    <n v="434"/>
    <s v="UCs6EmLAT4lTWwCSJRgbbchQ"/>
    <s v="TechShot"/>
    <s v="['power bank', 'best tech', 'gadgets', 'unboxing', 'amazing', 'useful', 'gifts', 'toys', 'surprise', 'funny', 'experiment', 'ujjwal', 'techno gamerz']"/>
    <n v="28"/>
    <x v="0"/>
    <n v="6426488"/>
    <n v="205015"/>
    <n v="6750"/>
    <n v="3.2951901567387976E-2"/>
    <n v="1219"/>
    <s v="Long"/>
  </r>
  <r>
    <s v="MpK6NpObr60"/>
    <s v="Best Budget Liquid Cooler 2025..."/>
    <s v="No description available"/>
    <s v="2025-05-23T04:59:17Z"/>
    <d v="2025-05-23T00:00:00"/>
    <n v="2025"/>
    <s v="May"/>
    <s v="2025-05"/>
    <n v="64"/>
    <s v="UCrvE2SFjutwpy9W3i8Po6LQ"/>
    <s v="Tech Smash Hindi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8504"/>
    <n v="270"/>
    <n v="5"/>
    <n v="3.233772342427093E-2"/>
    <n v="56"/>
    <s v="Short"/>
  </r>
  <r>
    <s v="qBtCS4HpU_4"/>
    <s v="Stealth Technology: How Milita..."/>
    <s v="Stealth Technology: How Military Vehicles Become I..."/>
    <s v="2025-03-07T14:00:53Z"/>
    <d v="2025-03-07T00:00:00"/>
    <n v="2025"/>
    <s v="March"/>
    <s v="2025-03"/>
    <n v="141"/>
    <s v="UCKFjNynYRgDfnSIXzELPqTA"/>
    <s v="Free Documentary - Engineering"/>
    <s v="['free documentary', 'free documentary engineering', 'engineering', 'engineering documentary', 'tech', 'tech documentary', 'constructions', 'constructions documentary', 'technology documentary']"/>
    <n v="28"/>
    <x v="0"/>
    <n v="49258"/>
    <n v="718"/>
    <n v="32"/>
    <n v="1.5225953144666855E-2"/>
    <n v="2884"/>
    <s v="Long"/>
  </r>
  <r>
    <s v="wo-LhXuh6bw"/>
    <s v="#smartphone #tech #technology ..."/>
    <s v="No description available"/>
    <s v="2025-06-02T17:19:01Z"/>
    <d v="2025-06-02T00:00:00"/>
    <n v="2025"/>
    <s v="June"/>
    <s v="2025-06"/>
    <n v="54"/>
    <s v="UCN9oidsuQgdNzkVjH7SOAYA"/>
    <s v="the well"/>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3409"/>
    <n v="43"/>
    <n v="0"/>
    <n v="1.261366969785861E-2"/>
    <n v="55"/>
    <s v="Short"/>
  </r>
  <r>
    <s v="ek8TVkDHOPs"/>
    <s v="vivo T4 Ultra Review in Telugu..."/>
    <s v="vivo T4 Ultra Review in Telugu || Best Camera Phon..."/>
    <s v="2025-06-19T14:45:58Z"/>
    <d v="2025-06-19T00:00:00"/>
    <n v="2025"/>
    <s v="June"/>
    <s v="2025-06"/>
    <n v="37"/>
    <s v="UCb-xXZ7ltTvrh9C6DgB9H-Q"/>
    <s v="Prasadtechintelugu"/>
    <s v="['prasadtechintelugu', 'prasad', 'techtelugu', 'technews', 'Prasad tech in telugu', 'vivo t4 ultra review', 'vivo t4 ultra unboxing', 'vivo t4 ultra camera test', 'vivo t4 ultra telugu', 'vivo t4 ultra performance', 'vivo t4 ultra vs rvivo t3 ultra', 'vivo t4 ultra pubg test', 'dimensity 9300 plus phone', 'best phone under 40000', 'telugu tech reviews', 'best camera phone telugu']"/>
    <n v="28"/>
    <x v="0"/>
    <n v="143251"/>
    <n v="10834"/>
    <n v="426"/>
    <n v="7.8603290727464387E-2"/>
    <n v="709"/>
    <s v="Long"/>
  </r>
  <r>
    <s v="f0WY5RU2Uwk"/>
    <s v="à¤†à¤ªà¤•à¤¾ SmartPhone à¤†à¤ª..."/>
    <s v="No description available"/>
    <s v="2025-05-20T15:54:53Z"/>
    <d v="2025-05-20T00:00:00"/>
    <n v="2025"/>
    <s v="May"/>
    <s v="2025-05"/>
    <n v="67"/>
    <s v="UC3Pk2HL3rN8j1uGXYLL_VfQ"/>
    <s v="Pwt Tech "/>
    <s v="['mobile se failti bimari', 'mobile aapki jaan bhi le sakta hai', 'aapka phone aapki jaan bhi le sakta hai', 'mobile manushya ke liye Khatarnak hai']"/>
    <n v="28"/>
    <x v="0"/>
    <n v="312"/>
    <n v="217464.60837887001"/>
    <n v="0"/>
    <n v="697.00194993227569"/>
    <n v="56"/>
    <s v="Short"/>
  </r>
  <r>
    <s v="pFgPiR8Mi78"/>
    <s v="BEST Budget Tech - Gadgets to ..."/>
    <s v="Here's another episode of some of the best Budget ..."/>
    <s v="2025-05-18T14:35:17Z"/>
    <d v="2025-05-18T00:00:00"/>
    <n v="2025"/>
    <s v="May"/>
    <s v="2025-05"/>
    <n v="69"/>
    <s v="UC0MYNOsIrz6jmXfIMERyRHQ"/>
    <s v="Karl Conrad"/>
    <s v="['best budget tech', 'best budget tech 2025', 'best cheap tech', 'best cheap tech gadgets', 'budget technology', 'budget tech gifts', 'budget technology gifts for him', 'best gifts for him 2025', 'best tech gifts for him 2025', 'best tech under 25', 'best tech under 100', 'best tech under 50', 'dope tech', 'tech', 'technology', 'affordable tech', 'affordable tech gifts', 'cmf nothing phone 2 pro', 'karl conrad', 'affordable tech gadgets', 'budget tech gadgets']"/>
    <n v="28"/>
    <x v="0"/>
    <n v="45458"/>
    <n v="1287"/>
    <n v="48"/>
    <n v="2.9367768049628228E-2"/>
    <n v="689"/>
    <s v="Long"/>
  </r>
  <r>
    <s v="EEmWUq5eLJY"/>
    <s v="World's First Triple Folding S..."/>
    <s v="triple maaja lete hai_x000a__x000a_ðŸ”¥ Subscribe for Tabahi V..."/>
    <s v="2024-10-16T18:07:06Z"/>
    <d v="2024-10-16T00:00:00"/>
    <n v="2024"/>
    <s v="October"/>
    <s v="2024-10"/>
    <n v="283"/>
    <s v="UCXUJJNoP1QupwsYIWFXmsZg"/>
    <s v="Tech Burner"/>
    <s v="['huawei triple folding phone', 'triple folding phone', 'folding smartphone', 'triple folding smartphone', 'folding phone', 'tcl triple foldable phone', 'xiaomi folding phone', 'huawei triple foldable phone', 'huawei mate xt - first look (triple folding phone)', 'smartphone', 'best foldable smartphone', 'huawei folding phone', 'huawei first triple folding phone - finally official!!', 'xiaomi triple folding phone', 'huaweis triple folding phone', 'triple folding display phone', 'foldable smartphone', 'tech burner']"/>
    <n v="28"/>
    <x v="0"/>
    <n v="3113836"/>
    <n v="63684"/>
    <n v="2014"/>
    <n v="2.109873480812734E-2"/>
    <n v="1071"/>
    <s v="Long"/>
  </r>
  <r>
    <s v="QHEkv-vkb2o"/>
    <s v="Mummy ka Damad Banaungi ||à¤®à..."/>
    <s v="ðŸ™à¤œà¥‹à¤¹à¤¾à¤° ðŸ™ _x000a__x000a__x000a_Mummy ka Damad Banaung..."/>
    <s v="2025-04-28T01:37:06Z"/>
    <d v="2025-04-28T00:00:00"/>
    <n v="2025"/>
    <s v="April"/>
    <s v="2025-04"/>
    <n v="89"/>
    <s v="UC1vOukTmEH646JRvYyxpQnw"/>
    <s v="Shilpa Xalxo Official"/>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10"/>
    <x v="5"/>
    <n v="5313043"/>
    <n v="43968"/>
    <n v="1206"/>
    <n v="8.5024721237904523E-3"/>
    <n v="258"/>
    <s v="Long"/>
  </r>
  <r>
    <s v="vORdelj7h_0"/>
    <s v="Alien Portals: Strange Artifac..."/>
    <s v="Discloses staggering new evidence of ancient techn..."/>
    <s v="2024-11-08T05:00:01Z"/>
    <d v="2024-11-08T00:00:00"/>
    <n v="2024"/>
    <s v="November"/>
    <s v="2024-11"/>
    <n v="260"/>
    <s v="UCuVPpxrm2VAgpH3Ktln4HXg"/>
    <s v="YouTube Movie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30"/>
    <x v="15"/>
    <n v="8080299.3584589604"/>
    <n v="566"/>
    <n v="31"/>
    <n v="7.3883401284510975E-5"/>
    <n v="445"/>
    <s v="Long"/>
  </r>
  <r>
    <s v="SbMbHtPATlk"/>
    <s v="CÃ³mo cerrar sesiones de Googl..."/>
    <s v="No description available"/>
    <s v="2022-05-02T14:33:49Z"/>
    <d v="2022-05-02T00:00:00"/>
    <n v="2022"/>
    <s v="May"/>
    <s v="2022-05"/>
    <n v="1181"/>
    <s v="UC9XWJ3iy4FO6_hQbgGFPcfg"/>
    <s v="Mau Lozano Tech"/>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6"/>
    <x v="8"/>
    <n v="518748"/>
    <n v="13628"/>
    <n v="138"/>
    <n v="2.6536969781088313E-2"/>
    <n v="26"/>
    <s v="Short"/>
  </r>
  <r>
    <s v="TvKvlB5qPOg"/>
    <s v="China's Canton Fair 2025...Ame..."/>
    <s v="China's Canton Fair 2025...America is Done! (tarif..."/>
    <s v="2025-04-21T10:48:18Z"/>
    <d v="2025-04-21T00:00:00"/>
    <n v="2025"/>
    <s v="April"/>
    <s v="2025-04"/>
    <n v="96"/>
    <s v="UCzDE2LGSmJnw53WrZ7mM_Aw"/>
    <s v="Living in China"/>
    <s v="['canton fair', 'canton fair 2025', 'guangzhou china', 'Canton fair', 'Canton fair 2025', 'China', 'China ev cars', 'China factory', 'Inside china', 'Guangzhou', 'Travel', 'Foreigners in China', 'Travel in China', 'China travel', 'China technology', 'canton fair tips', 'canton fair first time', 'trump', 'trump tariffs', 'tariffs', 'tariffs trump', 'tariffs not working', 'china is winning', 'china has won', 'china trade battle', 'trade war', 'china trade war', 'ev cars', 'robots', 'china robots', 'chinese robots']"/>
    <n v="19"/>
    <x v="4"/>
    <n v="550003"/>
    <n v="17392"/>
    <n v="3143"/>
    <n v="3.7336159984581903E-2"/>
    <n v="653"/>
    <s v="Long"/>
  </r>
  <r>
    <s v="k5s1cMNTmGs"/>
    <s v="How a slinky falls in slow mot..."/>
    <s v="This is not just true of slinkies - if you release..."/>
    <s v="2021-07-19T20:48:32Z"/>
    <d v="2021-07-19T00:00:00"/>
    <n v="2021"/>
    <s v="July"/>
    <s v="2021-07"/>
    <n v="1468"/>
    <s v="UCHnyfMqiRRG1u-2MsSQLbXA"/>
    <s v="Veritasium"/>
    <s v="['veritasium', 'science', 'physics']"/>
    <n v="27"/>
    <x v="2"/>
    <n v="36380480"/>
    <n v="1565736"/>
    <n v="10939"/>
    <n v="4.3338488112306381E-2"/>
    <n v="42"/>
    <s v="Short"/>
  </r>
  <r>
    <s v="gaKMywnji-A"/>
    <s v="Apple's April 20th Event in 60..."/>
    <s v="Watch the full Apple Spring Loaded event: https://..."/>
    <s v="2021-04-21T00:49:58Z"/>
    <d v="2021-04-21T00:00:00"/>
    <n v="2021"/>
    <s v="April"/>
    <s v="2021-04"/>
    <n v="1557"/>
    <s v="UCeeFfhMcJa1kjtfZAGskOCA"/>
    <s v="TechLinked"/>
    <s v="['Linus', 'LinusTechTips', 'tech news', 'Riley Murdock', 'tech', 'news', 'Apple', 'spring loaded', 'April 20', 'Apple event', 'M1', 'iMac', 'iPad Pro', 'M1 iMac', 'M1 iPad Pro', 'Apple TV 4K', 'purple iPhone', 'Airtags', 'Apple Card Family', 'Apple podcasts subscription']"/>
    <n v="28"/>
    <x v="0"/>
    <n v="506114"/>
    <n v="28060"/>
    <n v="906"/>
    <n v="5.7232165085336503E-2"/>
    <n v="59"/>
    <s v="Short"/>
  </r>
  <r>
    <s v="i_aRhNcHryA"/>
    <s v="The Witcher 4 - Tech Demo Cine..."/>
    <s v="Check out this trailer for Witcher 4 running on Un..."/>
    <s v="2025-06-03T13:42:02Z"/>
    <d v="2025-06-03T00:00:00"/>
    <n v="2025"/>
    <s v="June"/>
    <s v="2025-06"/>
    <n v="53"/>
    <s v="UCKy1dAqELo0zrOtPkf0eTMw"/>
    <s v="IGN"/>
    <s v="['the witcher 4', 'the witcher 4 unreal engine', 'the witcher 4 ue 5.6', 'unreal engine 5.6', 'unreal engine 5.6 tech demo', 'upcoming video games', 'new video games 2025', 'upcoming video games 2025', 'summer of gaming', 'summerofgaming', 'ign summer of gaming 2025', 'ign summer of gaming', 'sog 2025', 'sog', 'witcher 4 trailer']"/>
    <n v="20"/>
    <x v="10"/>
    <n v="2442688"/>
    <n v="64839"/>
    <n v="4283"/>
    <n v="2.8297514868865774E-2"/>
    <n v="128"/>
    <s v="Long"/>
  </r>
  <r>
    <s v="UGWqB6Ui58w"/>
    <s v="vivo X200 Ultra Unboxing &amp; Fir..."/>
    <s v="Doston aaj ke video me hum unbox kar rahe hain all..."/>
    <s v="2025-05-07T11:36:27Z"/>
    <d v="2025-05-07T00:00:00"/>
    <n v="2025"/>
    <s v="May"/>
    <s v="2025-05"/>
    <n v="80"/>
    <s v="UCEPL07qzVsOcHd3sMUws65g"/>
    <s v="Trakin Tech"/>
    <s v="['vivo x200 pro', 'vivo x200 pro review', 'vivo x200 pro camera test', 'vivo x200 pro camera', 'vivo x200 pro unboxing', 'vivo x200 pro price', 'vivo x200 pro camera review', 'vivo x200', 'vivo x200 pro vs', 'vivo x200 pro first look', 'vivo x200 pro vs x100 ultra', 'vivo x200 pro video test', 'vivo x200 pro 5g', 'vivo x200 pro specs', 'vivo x200 pro malaysia', 'vivo', 'vivo x200 pro gaming test', 'vivo x200 pro vs oppo find x8 pro', 'vivo x200 pro zoom test', 'vivo x200 pro features', 'vivo x200 pro trakintech']"/>
    <n v="28"/>
    <x v="0"/>
    <n v="1271817"/>
    <n v="36745"/>
    <n v="1659"/>
    <n v="3.0196168159412871E-2"/>
    <n v="533"/>
    <s v="Long"/>
  </r>
  <r>
    <s v="TPllyxrf2YU"/>
    <s v="Steering wheel #trending #mech..."/>
    <s v="Stering  wheel #trending #mechanic #technology #ma..."/>
    <s v="2025-06-02T10:05:00Z"/>
    <d v="2025-06-02T00:00:00"/>
    <n v="2025"/>
    <s v="June"/>
    <s v="2025-06"/>
    <n v="54"/>
    <s v="UCsLPffCVWCGcx3NQimCH6eA"/>
    <s v="@jbmechanic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
    <x v="13"/>
    <n v="4560"/>
    <n v="65"/>
    <n v="0"/>
    <n v="1.425438596491228E-2"/>
    <n v="33"/>
    <s v="Short"/>
  </r>
  <r>
    <s v="xRtHEHfkCck"/>
    <s v="Use full screen mode to improv..."/>
    <s v="With full screen mode, YouTube has made it easier ..."/>
    <s v="2022-12-21T18:54:42Z"/>
    <d v="2022-12-21T00:00:00"/>
    <n v="2022"/>
    <s v="December"/>
    <s v="2022-12"/>
    <n v="948"/>
    <s v="UCMDQxm7cUx3yXkfeHa5zJIQ"/>
    <s v="YouTube Viewers"/>
    <s v="['tips', 'tricks', 'help', 'tutorial', 'youtube', 'youtubehelp', 'support', 'how to']"/>
    <n v="26"/>
    <x v="8"/>
    <n v="989306"/>
    <n v="5953"/>
    <n v="245"/>
    <n v="6.2649978874079401E-3"/>
    <n v="47"/>
    <s v="Short"/>
  </r>
  <r>
    <s v="wSIvUyrp6_E"/>
    <s v="iQOO Z10 &amp; Z10x Unboxing &amp; Fir..."/>
    <s v="Doston aaj ke video me hum unbox kar rahe hain all..."/>
    <s v="2025-04-11T06:45:17Z"/>
    <d v="2025-04-11T00:00:00"/>
    <n v="2025"/>
    <s v="April"/>
    <s v="2025-04"/>
    <n v="106"/>
    <s v="UCEPL07qzVsOcHd3sMUws65g"/>
    <s v="Trakin Tech"/>
    <s v="['TrakinTech', 'iqoo z10 unboxing', 'iqoo z10 5g unboxing', 'iqoo z10 price in india', 'iqoo z10 launch date in india', 'iqoo z10 hindi', 'iqoo z10 5g price in india', 'iqoo z10x unboxing', 'iqoo z10x 5g unboxing', 'unboxing', 'iqoo z 10 unboxing', 'z10 iqoo unboxing', 'iqoo z10 5g mobile unboxing and review', 'vivo t4x unboxing', 'iQOO Z10 hindi unboxing', 'iqoo z10 trakintech', 'iqoo z10x trakintech', 'iqoo z10 series', 'iqoo', 'iqoo z10x vs', 'iqoo z10 vs', 'best gaming phone under 20000', 'best battery phone', 'iqoo vs']"/>
    <n v="28"/>
    <x v="0"/>
    <n v="909665"/>
    <n v="28875"/>
    <n v="1235"/>
    <n v="3.3100097288562273E-2"/>
    <n v="649"/>
    <s v="Long"/>
  </r>
  <r>
    <s v="OsOR8G_mdwU"/>
    <s v="iOS 26 Liquid Glass UI â€“ App..."/>
    <s v="Apple just unveiled the Liquid Glass UI in iOS 26,..."/>
    <s v="2025-06-09T22:54:15Z"/>
    <d v="2025-06-09T00:00:00"/>
    <n v="2025"/>
    <s v="June"/>
    <s v="2025-06"/>
    <n v="47"/>
    <s v="UCBKhdILeDie8iLkap216g7g"/>
    <s v="In Depth Tech Reviews"/>
    <s v="['iOS 26', 'iOS 26 update', 'Liquid Glass UI', 'iOS 26 features', 'iOS 26 redesign', 'iOS 26 UI', 'iOS 26 new design', 'iPhone UI 2025', 'Apple Liquid Glass', 'iOS 26 control center', 'iOS 26 wallpaper', 'iOS 26 animations', 'Apple iOS update', 'iPhone 16 UI', 'iOS 26 beta', 'iOS 26 review', 'iOS 26 changes', 'iOS 26 look', 'iOS 26 walkthrough']"/>
    <n v="28"/>
    <x v="0"/>
    <n v="76774"/>
    <n v="1310"/>
    <n v="464"/>
    <n v="2.3106780941464559E-2"/>
    <n v="688"/>
    <s v="Long"/>
  </r>
  <r>
    <s v="wBx7I2OU0mE"/>
    <s v="Is Scaler School of Technology..."/>
    <s v="Explore more about SST : https://scalerschooloftec..."/>
    <s v="2025-04-24T14:03:04Z"/>
    <d v="2025-04-24T00:00:00"/>
    <n v="2025"/>
    <s v="April"/>
    <s v="2025-04"/>
    <n v="93"/>
    <s v="UCJpKrZ8rOKZp0uISVBfKBvQ"/>
    <s v="Pathshala by Nova "/>
    <s v="['Scaler School of Technology', 'SST college review', 'scaler btech alternative', 'scaler school admission', 'scaler college fees', 'scaler school degree', 'scaler school placements', 'is scaler worth it', 'scaler dual degree', 'scaler school curriculum', 'scaler school campus', 'scaler innovation lab', 'scaler internship support', 'scaler scholarship', 'NSET entrance exam', 'scaler vs traditional engineering', 'scaler hostel life', 'scaler student life', 'pathshala by nova', 'jee 2025', 'jee 2025 aspirants']"/>
    <n v="24"/>
    <x v="3"/>
    <n v="33748"/>
    <n v="1111"/>
    <n v="215"/>
    <n v="3.9291217257318954E-2"/>
    <n v="1091"/>
    <s v="Long"/>
  </r>
  <r>
    <s v="3dJ-ijjXtjI"/>
    <s v="Apple iOS 26 is here - Android..."/>
    <s v="Apple iOS 26 aagaya hai chaliye aaj is video mein ..."/>
    <s v="2025-06-10T12:56:53Z"/>
    <d v="2025-06-10T00:00:00"/>
    <n v="2025"/>
    <s v="June"/>
    <s v="2025-06"/>
    <n v="46"/>
    <s v="UC1tVU8H153ZFO9eRsxdJlhA"/>
    <s v="Technology Gyan"/>
    <s v="['iOS 26', 'Apple iOS 26', 'iOS 26 First look', 'WWDC', 'iOS26', 'iOS 26 features']"/>
    <n v="28"/>
    <x v="0"/>
    <n v="951498"/>
    <n v="25055"/>
    <n v="1797"/>
    <n v="2.8220763469812865E-2"/>
    <n v="824"/>
    <s v="Long"/>
  </r>
  <r>
    <s v="vhzsq82MgIc"/>
    <s v="Motorola razr 60 ULTRA is here..."/>
    <s v="Motorola razr 60 ultra unboxing &amp; quick review_x000a__x000a_#M..."/>
    <s v="2025-05-13T06:31:55Z"/>
    <d v="2025-05-13T00:00:00"/>
    <n v="2025"/>
    <s v="May"/>
    <s v="2025-05"/>
    <n v="74"/>
    <s v="UC1tVU8H153ZFO9eRsxdJlhA"/>
    <s v="Technology Gyan"/>
    <s v="['Motorola razr 60 ULTRA', 'Razr 60 ultra', 'motorola razr 60 ultra unboxing', 'motorola razr 60 ultra unboxing &amp; quick review']"/>
    <n v="28"/>
    <x v="0"/>
    <n v="271031"/>
    <n v="13354"/>
    <n v="704"/>
    <n v="5.1868605436278505E-2"/>
    <n v="862"/>
    <s v="Long"/>
  </r>
  <r>
    <s v="gsvxHJWnP_s"/>
    <s v="à¤•à¥à¤¯à¤¾ à¤¹à¥ˆ Hyperloop ..."/>
    <s v="New Channel Video Link :-  https://youtu.be/B_hs3a..."/>
    <s v="2020-11-16T16:44:06Z"/>
    <d v="2020-11-16T00:00:00"/>
    <n v="2020"/>
    <s v="November"/>
    <s v="2020-11"/>
    <n v="1713"/>
    <s v="UCatL-c6pmnjzEOHSyjn-sHA"/>
    <s v="Khan GS Research Centre"/>
    <s v="['khan sir patna', 'khan gs research centre', 'khan sir official', 'khan sir', 'khan gs', 'khan sir live', 'Hyperloop', 'Technology', 'Hyperloop technology', 'Hyperloop technology in hindi', 'Hyperloop technology explained']"/>
    <n v="27"/>
    <x v="2"/>
    <n v="10046433"/>
    <n v="294250"/>
    <n v="8716"/>
    <n v="3.0156573980038487E-2"/>
    <n v="1012"/>
    <s v="Long"/>
  </r>
  <r>
    <s v="9HVDExvB-6Y"/>
    <s v="garden reach shipbuilders shar..."/>
    <s v="garden reach shipbuilders share latest news ðŸ”¥ z..."/>
    <s v="2025-06-06T07:32:23Z"/>
    <d v="2025-06-06T00:00:00"/>
    <n v="2025"/>
    <s v="June"/>
    <s v="2025-06"/>
    <n v="50"/>
    <s v="UCY6go1q1BnZZABHESo7NPGA"/>
    <s v="RS2 MARKET"/>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4"/>
    <x v="3"/>
    <n v="3891"/>
    <n v="81"/>
    <n v="26"/>
    <n v="2.7499357491647392E-2"/>
    <n v="161"/>
    <s v="Long"/>
  </r>
  <r>
    <s v="haoPXk5ZyDw"/>
    <s v="#technology #car #tech #china"/>
    <s v="No description available"/>
    <s v="2025-06-10T05:45:33Z"/>
    <d v="2025-06-10T00:00:00"/>
    <n v="2025"/>
    <s v="June"/>
    <s v="2025-06"/>
    <n v="46"/>
    <s v="UCichf_oSrURF5aGlS52B8VQ"/>
    <s v="Dylan Cooper"/>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22585"/>
    <n v="356"/>
    <n v="6"/>
    <n v="1.6028337392074387E-2"/>
    <n v="64"/>
    <s v="Long"/>
  </r>
  <r>
    <s v="lTFS23UT1nI"/>
    <s v="SEC 1 Information Technology I..."/>
    <s v="SEC 1 Information Technology Important Question l ..."/>
    <s v="2025-05-28T15:36:24Z"/>
    <d v="2025-05-28T00:00:00"/>
    <n v="2025"/>
    <s v="May"/>
    <s v="2025-05"/>
    <n v="59"/>
    <s v="UCNJHSm_JXgumEsTOCW3gqVQ"/>
    <s v="BC Centre"/>
    <s v="['SEC 1 Information Technology Important Question', 'Semester 1 sec paper information questions answer', 'sec information technology', 'semester 1 information technology', 'information Technology semester 1 sec', 's c information technology most important thing', 'sec most important question', 'vbu sem 1 sec information technology', 'information Technology long question answer']"/>
    <n v="27"/>
    <x v="2"/>
    <n v="2025"/>
    <n v="30"/>
    <n v="21"/>
    <n v="2.5185185185185185E-2"/>
    <n v="205"/>
    <s v="Long"/>
  </r>
  <r>
    <s v="dGdBM8Cjpko"/>
    <s v="15 Technologies That Will Chan..."/>
    <s v="15 Technologies That Will Change The World_x000a__x000a_00:00 ..."/>
    <s v="2025-04-26T10:31:11Z"/>
    <d v="2025-04-26T00:00:00"/>
    <n v="2025"/>
    <s v="April"/>
    <s v="2025-04"/>
    <n v="91"/>
    <s v="UCPrfNyL7yN-15Q6Eu7UYkOA"/>
    <s v="TechTrends"/>
    <s v="['Technologies That Will Change The World', 'future technologies', '2030 technology that will change the world', 'change our world', 'emerging technologies', 'new technologies that will change the world', 'technologies', '15 technologies that will change the world', 'tech trends', '15 emerging technologies that will change the world', 'new techologies', 'change the world', 'best technologies', '15 Technologies That Will Change The World', 'inventions', 'incredible inventions', 'incredible Technologies', 'Futuristic', '15']"/>
    <n v="26"/>
    <x v="8"/>
    <n v="1001"/>
    <n v="20"/>
    <n v="1"/>
    <n v="2.097902097902098E-2"/>
    <n v="1036"/>
    <s v="Long"/>
  </r>
  <r>
    <s v="O6UTxHn5RmA"/>
    <s v="ALL IMPORTANT QUESTIONS IT TRE..."/>
    <s v="ALL IMPORTANT QUESTIONS IT TRENDS AND TECHNOLOGIES..."/>
    <s v="2025-05-25T13:43:15Z"/>
    <d v="2025-05-25T00:00:00"/>
    <n v="2025"/>
    <s v="May"/>
    <s v="2025-05"/>
    <n v="62"/>
    <s v="UCRY0JgrPoErOIc8AMecPvlg"/>
    <s v="YUVA COMPUTER ACADEMY"/>
    <s v="['it trends and technologies all important questions', 'it trends and technologies important questions', 'it trends and technologies', 'pgdca 2nd sem it trends and technologies important questions', 'pgdca 2nd sem important questions', 'it trends exam important questions 2025', 'pgdca classes', 'DCA classes', 'unit 1to unit 5 all important questions', 'it trends important questions 2025', 'it trends ke important questions', 'it trends and technologies ke important questions']"/>
    <n v="27"/>
    <x v="2"/>
    <n v="10361"/>
    <n v="365"/>
    <n v="20"/>
    <n v="3.7158575427082327E-2"/>
    <n v="1798"/>
    <s v="Long"/>
  </r>
  <r>
    <s v="Lqnf6c9B58I"/>
    <s v="How to force restart your iPho..."/>
    <s v="Force restart iPhone_x000a_If iPhone isnâ€™t responding,..."/>
    <s v="2022-01-31T08:57:01Z"/>
    <d v="2022-01-31T00:00:00"/>
    <n v="2022"/>
    <s v="January"/>
    <s v="2022-01"/>
    <n v="1272"/>
    <s v="UCgl4mMudw205_I9_jQvG5eA"/>
    <s v="Nabeel Nawab"/>
    <s v="['How to force restart iPhone 13', 'How to force restart iPhone 12', 'How to force restart iPhone 11', 'How to force restart iPhone xs', 'How to force restart iPhone xr', 'How to force restart iPhone se2', 'How to force restart iPhone se', 'How to force restart iPhone 8', 'How to force restart iPhone 6s', 'How to force restart iPhone 7', 'Nabeel nawab', 'Shorts']"/>
    <n v="28"/>
    <x v="0"/>
    <n v="3152660"/>
    <n v="210863"/>
    <n v="484"/>
    <n v="6.7037676121116774E-2"/>
    <n v="60"/>
    <s v="Short"/>
  </r>
  <r>
    <s v="MPvEP03HkMM"/>
    <s v="How to Add a Page Border in Mi..."/>
    <s v="In this video we will learn that How to Add a Page..."/>
    <s v="2021-11-28T11:06:49Z"/>
    <d v="2021-11-28T00:00:00"/>
    <n v="2021"/>
    <s v="November"/>
    <s v="2021-11"/>
    <n v="1336"/>
    <s v="UCIJr9qiD_TtLgEcLxiRQTUA"/>
    <s v="Learn Basics"/>
    <s v="['vishvaa', 'How to Add a Page Border in Microsoft Word?', 'short', 'microsoft word', 'how to add border in word', 'how to add page border in word', 'how to make border in word', 'add border in word', 'how to create border in word', 'add border to word document', 'how to add frame in word', 'how to add border in ms word', 'how to add border to word document', 'add page border in word', 'how to make border in ms word', 'how to make page border in word', 'ms word', 'border', 'border in word']"/>
    <n v="27"/>
    <x v="2"/>
    <n v="407126"/>
    <n v="13506"/>
    <n v="53"/>
    <n v="3.3304185927698057E-2"/>
    <n v="27"/>
    <s v="Short"/>
  </r>
  <r>
    <s v="QkY2uHMNVFE"/>
    <s v="Strange Mysterious: Alien Reli..."/>
    <s v="The discovery of what may be an ancient smartphone..."/>
    <s v="2024-11-11T22:02:54Z"/>
    <d v="2024-11-11T00:00:00"/>
    <n v="2024"/>
    <s v="November"/>
    <s v="2024-11"/>
    <n v="257"/>
    <s v="UCuVPpxrm2VAgpH3Ktln4HXg"/>
    <s v="YouTube Movie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30"/>
    <x v="15"/>
    <n v="8080299.3584589604"/>
    <n v="10"/>
    <n v="1"/>
    <n v="1.3613357020596664E-6"/>
    <n v="10"/>
    <s v="Short"/>
  </r>
  <r>
    <s v="6KUd0csOsXY"/>
    <s v="This New Upcoming Phone - Will..."/>
    <s v="New upcoming phone april month ka...._x000a__x000a_#UpcomingPh..."/>
    <s v="2025-03-25T14:39:27Z"/>
    <d v="2025-03-25T00:00:00"/>
    <n v="2025"/>
    <s v="March"/>
    <s v="2025-03"/>
    <n v="123"/>
    <s v="UC1tVU8H153ZFO9eRsxdJlhA"/>
    <s v="Technology Gyan"/>
    <s v="['New Phone', 'New Upcoming Phone', 'April', 'Phone', 'Smartphone', 'Technology Gyan', 'Manoj saru', 'Upcoming phone', 'best phone', 'Mobile']"/>
    <n v="28"/>
    <x v="0"/>
    <n v="1121422"/>
    <n v="50297"/>
    <n v="3630"/>
    <n v="4.8088052490498669E-2"/>
    <n v="591"/>
    <s v="Long"/>
  </r>
  <r>
    <s v="xBpN_Mm-YLc"/>
    <s v="Samsung Galaxy M56 Unboxing &amp; ..."/>
    <s v="Doston aaj ke video me hum unbox kar rahe hain Sam..."/>
    <s v="2025-04-18T11:45:21Z"/>
    <d v="2025-04-18T00:00:00"/>
    <n v="2025"/>
    <s v="April"/>
    <s v="2025-04"/>
    <n v="99"/>
    <s v="UCEPL07qzVsOcHd3sMUws65g"/>
    <s v="Trakin Tech"/>
    <s v="['samsung galaxy m56', 'samsung galaxy m56 price', 'samsung galaxy m56 5g', 'samsung galaxy m56 unboxing', 'samsung galaxy m56 review', 'samsung galaxy m56 news', 'samsung galaxy m56 first look', 'samsung galaxy m56 features', 'samsung galaxy m56 rumours', 'samsung m56', &quot;samsung galaxy m56 hand's on&quot;, 'samsung galaxy m56 5g unboxing', 'samsung galaxy a56 5g', 'samsung galaxy a56', 'galaxy m56', 'samsung galaxy', 'samsung galaxy m56 specs', 'galaxy m56 trakintech', 'best samsung phone under 25k', 'galaxy m56 hindi']"/>
    <n v="28"/>
    <x v="0"/>
    <n v="1035950"/>
    <n v="30510"/>
    <n v="1719"/>
    <n v="3.1110574834692793E-2"/>
    <n v="578"/>
    <s v="Long"/>
  </r>
  <r>
    <s v="GMcoYBwg5n8"/>
    <s v="Brazo robÃ³tico ACEBOTT #short..."/>
    <s v="No description available"/>
    <s v="2025-04-15T01:30:11Z"/>
    <d v="2025-04-15T00:00:00"/>
    <n v="2025"/>
    <s v="April"/>
    <s v="2025-04"/>
    <n v="102"/>
    <s v="UCoGrMJ4YMsh4XKMPIpLTfbw"/>
    <s v="Bernardo Tutoriale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960"/>
    <n v="19"/>
    <n v="0"/>
    <n v="1.9791666666666666E-2"/>
    <n v="116"/>
    <s v="Long"/>
  </r>
  <r>
    <s v="sfe8Clx2h5Q"/>
    <s v="TrakinTech Presents India's Bi..."/>
    <s v="Doston ye hain 2024 ka sabse bada video, jisme tec..."/>
    <s v="2024-12-23T06:30:06Z"/>
    <d v="2024-12-23T00:00:00"/>
    <n v="2024"/>
    <s v="December"/>
    <s v="2024-12"/>
    <n v="215"/>
    <s v="UCEPL07qzVsOcHd3sMUws65g"/>
    <s v="Trakin Tech"/>
    <s v="['TrakinTech', 'Trakin Tech', &quot;india's biggest tech roundtable&quot;, 'roundtable', 'tech roundtable', 'tech', 'tech creators roundtable', 'trakintech roundtable', 'tech talk', 'tamil tech', 'roundtable 2023', 'creators roundtable', 'youtubers roundtable', 'tech burner', 'tech &amp; learning', 'tech bar', 'top tech youtubers', 'best tech youtubers of india', 'trakin tech', 'tech giants', 'arun prabhudesai trakin tech', 'technical guruji', 'beebom', 'trakin roundtable', 'Anarc watch', 'Best smartphone of 2024', 'Top brand on 2024']"/>
    <n v="28"/>
    <x v="0"/>
    <n v="2767552"/>
    <n v="100306"/>
    <n v="10287"/>
    <n v="3.996058610642185E-2"/>
    <n v="5"/>
    <s v="Short"/>
  </r>
  <r>
    <s v="xAGJ8dmlDVA"/>
    <s v="Modernising Monarchy: One Hund..."/>
    <s v="Modernising Monarchy focuses on the development of..."/>
    <s v="2023-11-29T22:46:30Z"/>
    <d v="2023-11-29T00:00:00"/>
    <n v="2023"/>
    <s v="November"/>
    <s v="2023-11"/>
    <n v="605"/>
    <s v="UCKIGtTTjmldfj52hiz96abg"/>
    <s v="YouTube Movies"/>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30"/>
    <x v="15"/>
    <n v="8080299.3584589604"/>
    <n v="0"/>
    <n v="0"/>
    <n v="0"/>
    <n v="3313"/>
    <s v="Long"/>
  </r>
  <r>
    <s v="a3q3GXybiUA"/>
    <s v="SEC 1 information Technology i..."/>
    <s v="SEC 1 information Technology important questions l..."/>
    <s v="2025-05-28T16:18:11Z"/>
    <d v="2025-05-28T00:00:00"/>
    <n v="2025"/>
    <s v="May"/>
    <s v="2025-05"/>
    <n v="59"/>
    <s v="UC4ISroJnBJiXdaEND3SY3iA"/>
    <s v="RK Centre"/>
    <s v="['sec 1 information Technology important questions', 'sec 1 information Technology important question answer', 'vbu semester 1 information Technology important questions', 'information Technology important question answer', 'sec information Technology important objective questions', 'information Technology previous year question paper', 'information Technology important question long video', 'computer ka Arth paribhasha karya visheshtaen aur anupryog']"/>
    <n v="27"/>
    <x v="2"/>
    <n v="2612"/>
    <n v="67"/>
    <n v="16"/>
    <n v="3.1776416539050535E-2"/>
    <n v="1263"/>
    <s v="Long"/>
  </r>
  <r>
    <s v="9eIHEX_h2Uc"/>
    <s v="Japan Introdused The Most AMAZ..."/>
    <s v="#osakaexpo #robots  #japan _x000a_Step into Expo 2025 in..."/>
    <s v="2025-04-19T13:00:12Z"/>
    <d v="2025-04-19T00:00:00"/>
    <n v="2025"/>
    <s v="April"/>
    <s v="2025-04"/>
    <n v="98"/>
    <s v="UC7rJGcPPTjJZJG31t4oz3uw"/>
    <s v="Steve's RoboLab"/>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8"/>
    <x v="0"/>
    <n v="314814"/>
    <n v="3030"/>
    <n v="91"/>
    <n v="9.9137903651044749E-3"/>
    <n v="631"/>
    <s v="Long"/>
  </r>
  <r>
    <s v="SUAfDj7iU6A"/>
    <s v="à¤®à¥‹à¤Ÿà¤° à¤¸à¥‡ à¤›à¥‹à¤Ÿà..."/>
    <s v="à¤®à¥‹à¤Ÿà¤° à¤¸à¥‡ à¤›à¥‹à¤Ÿà¤¾ à¤œà¤¨à¤°à¥‡à¤Ÿà¤..."/>
    <s v="2021-07-04T12:24:00Z"/>
    <d v="2021-07-04T00:00:00"/>
    <n v="2021"/>
    <s v="July"/>
    <s v="2021-07"/>
    <n v="1483"/>
    <s v="UChCRomyek8kP86j0quT5jFg"/>
    <s v="HACKER JP"/>
    <s v="['JP Experiment', '220v generator motor', 'mini generator 220v using dc motor', 'generator kaise banate hain', 'generator kaise banaye', '220v generator kaise banaen', 'generator kaise banate hain motor se', 'how to make 220v generator at home', 'mini generator 220v kaise banaye', 'Samer Experiment', 'dc motor generator 220v', 'how to make generator with magnet', 'à¤®à¥‹à¤Ÿà¤°', 'à¤¡à¥€à¤¸à¥€ à¤®à¥‹à¤Ÿà¤° à¤•à¥ˆà¤¸à¥‡ à¤¬à¤¨à¤¾à¤à¤‚', 'hacker jp']"/>
    <n v="28"/>
    <x v="0"/>
    <n v="8419378"/>
    <n v="217464.60837887001"/>
    <n v="446"/>
    <n v="2.5882031710521846E-2"/>
    <n v="58"/>
    <s v="Short"/>
  </r>
  <r>
    <s v="kLf6c8BerhE"/>
    <s v="I Played GTA 6 Before Launch !..."/>
    <s v="gta kheli li jae_x000a__x000a_ðŸ”¥ Subscribe for Tabahi Videos..."/>
    <s v="2025-04-01T18:28:31Z"/>
    <d v="2025-04-01T00:00:00"/>
    <n v="2025"/>
    <s v="April"/>
    <s v="2025-04"/>
    <n v="116"/>
    <s v="UCXUJJNoP1QupwsYIWFXmsZg"/>
    <s v="Tech Burner"/>
    <s v="['gta 6', 'gta 6 trailer', 'gta 6 news', 'gta 6 leaks', 'gta 6 leak', 'gta vi', 'gta 6 gameplay', 'gta 6 release date', 'gta 6 reveal', 'gta 6 map', 'gta', 'gta 6 online', 'gta 6 official trailer', 'gta 6 teaser', 'gta 6 release', 'grand theft auto 6', 'gta 6 info', 'gta 5', 'gta 6 rumors', 'gta vi trailer', 'gta 6 details', 'gta 6 beta', 'gta 6 announcement', 'rockstar games gta 6', 'gta 6 teaser trailer', 'gta 6 leaked gameplay', 'gta 6 trailer official', 'gta 6 leaked', 'gta v', 'trailer gta 6', 'gta 6 new intel']"/>
    <n v="28"/>
    <x v="0"/>
    <n v="2602266"/>
    <n v="105714"/>
    <n v="5071"/>
    <n v="4.2572511803174617E-2"/>
    <n v="764"/>
    <s v="Long"/>
  </r>
  <r>
    <s v="jWiV4bWsDl4"/>
    <s v="Puse a prueba estos rayos x pa..."/>
    <s v="Canal principal: https://www.youtube.com/c/Pongamo..."/>
    <s v="2022-05-03T22:23:10Z"/>
    <d v="2022-05-03T00:00:00"/>
    <n v="2022"/>
    <s v="May"/>
    <s v="2022-05"/>
    <n v="1180"/>
    <s v="UCPx9eXszFK8rkivV7tXZpHA"/>
    <s v=" PONGAMOSLO A PRUEBA CORTOS"/>
    <s v="['walabot', 'ver tubos en las paredes', 'ver metales en paredes', 'rayos x', 'construccion aparato', 'construccion', 'gadget', 'pongamoslo a prueba', 'shorts', 'cortos', 'jimmy']"/>
    <n v="24"/>
    <x v="3"/>
    <n v="15631786"/>
    <n v="1692338"/>
    <n v="4662"/>
    <n v="0.10856085158791197"/>
    <n v="60"/>
    <s v="Short"/>
  </r>
  <r>
    <s v="pGtMbnxaXs8"/>
    <s v="Old Tech That Still Works  #fa..."/>
    <s v="ðŸ•¹ï¸ Old Tech That Still Works â€“ Built to Las..."/>
    <s v="2025-06-20T05:15:19Z"/>
    <d v="2025-06-20T00:00:00"/>
    <n v="2025"/>
    <s v="June"/>
    <s v="2025-06"/>
    <n v="36"/>
    <s v="UCetvIcfQ5MfL1B_3oebxbAA"/>
    <s v="Nice Channel"/>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0"/>
    <x v="10"/>
    <n v="616"/>
    <n v="7"/>
    <n v="1"/>
    <n v="1.2987012987012988E-2"/>
    <n v="48"/>
    <s v="Short"/>
  </r>
  <r>
    <s v="2DaOJ1a0AYg"/>
    <s v="iPhone lene vale ho to ruk jao..."/>
    <s v="No description available"/>
    <s v="2025-06-19T13:39:44Z"/>
    <d v="2025-06-19T00:00:00"/>
    <n v="2025"/>
    <s v="June"/>
    <s v="2025-06"/>
    <n v="37"/>
    <s v="UCsVgd6S420V16aJmVcNNSYQ"/>
    <s v="Killer tech "/>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7"/>
    <x v="2"/>
    <n v="15534"/>
    <n v="70"/>
    <n v="12"/>
    <n v="5.2787434015707478E-3"/>
    <n v="10"/>
    <s v="Short"/>
  </r>
  <r>
    <s v="aO5HE6Q0jaM"/>
    <s v="Programming memes ðŸ˜‚ sub for..."/>
    <s v="No description available"/>
    <s v="2025-06-20T02:00:02Z"/>
    <d v="2025-06-20T00:00:00"/>
    <n v="2025"/>
    <s v="June"/>
    <s v="2025-06"/>
    <n v="36"/>
    <s v="UCO6cVKP66LTeHkoA6lD8CYA"/>
    <s v="Programming Nerd"/>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4223"/>
    <n v="182"/>
    <n v="5"/>
    <n v="4.428131659957376E-2"/>
    <n v="6"/>
    <s v="Short"/>
  </r>
  <r>
    <s v="Ukb8U5Ku4gA"/>
    <s v="Amazing Power Full Tractor Wor..."/>
    <s v="No description available"/>
    <s v="2025-06-19T15:16:47Z"/>
    <d v="2025-06-19T00:00:00"/>
    <n v="2025"/>
    <s v="June"/>
    <s v="2025-06"/>
    <n v="37"/>
    <s v="UCi9qNcs4B_Ow1BEfCBKKaoQ"/>
    <s v="Funny Truck"/>
    <s v="['thailand', 'surin', 'style', 'travel', 'day', 'asia', 'elephant', 'bangkok', 'elephantnature', 'asian', 'animal', 'wildlife', 'chiang', 'african', 'asia', 'park', 'safari', 'big', 'travel', 'minneriya', 'thailand grass', 'art', 'green', 'ivory', 'à¸Šà¹‰à¸²à¸‡', 'à¸—à¸­à¸‡à¹ƒà¸š', 'à¸žà¸¥à¸²à¸¢à¸—à¸­à¸‡à¹ƒà¸š', 'à¸«à¸™à¸¸à¹ˆà¸¡à¹€à¸ªà¸', 'à¹€à¸ªà¸', 'à¸«à¸™à¸¸à¹ˆà¹€à¸ªà¸', 'à¸žà¸¥à¸²à¸¢à¸«à¸™à¸¸à¹ˆà¸¡à¹€à¸ªà¸', 'à¸­à¸‡à¸„à¹Œà¸šà¸²à¸', 'à¸žà¸¥à¸²à¸¢à¸šà¸±à¸§à¸šà¸²à¸™', 'à¸šà¸±à¸§à¸šà¸²à¸™', 'à¸à¸­à¸¢à¸—à¸­à¸‡', 'à¸”à¸²à¸§à¸¡à¸‡à¸„à¸¥', 'banana']"/>
    <n v="22"/>
    <x v="6"/>
    <n v="198486"/>
    <n v="573"/>
    <n v="0"/>
    <n v="2.8868534808500347E-3"/>
    <n v="6"/>
    <s v="Short"/>
  </r>
  <r>
    <m/>
    <m/>
    <m/>
    <m/>
    <m/>
    <m/>
    <m/>
    <m/>
    <m/>
    <m/>
    <m/>
    <m/>
    <m/>
    <x v="16"/>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Channel Engagement vs Total View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9:C53" firstHeaderRow="0" firstDataRow="1" firstDataCol="1"/>
  <pivotFields count="23">
    <pivotField showAll="0"/>
    <pivotField showAll="0"/>
    <pivotField showAll="0"/>
    <pivotField showAll="0">
      <items count="583">
        <item x="102"/>
        <item x="417"/>
        <item x="426"/>
        <item x="27"/>
        <item x="125"/>
        <item x="164"/>
        <item x="331"/>
        <item x="535"/>
        <item x="418"/>
        <item x="404"/>
        <item x="559"/>
        <item x="549"/>
        <item x="575"/>
        <item x="548"/>
        <item x="244"/>
        <item x="440"/>
        <item x="15"/>
        <item x="126"/>
        <item x="566"/>
        <item x="289"/>
        <item x="565"/>
        <item x="47"/>
        <item x="522"/>
        <item x="546"/>
        <item x="577"/>
        <item x="103"/>
        <item x="195"/>
        <item x="509"/>
        <item x="158"/>
        <item x="211"/>
        <item x="239"/>
        <item x="466"/>
        <item x="327"/>
        <item x="304"/>
        <item x="212"/>
        <item x="216"/>
        <item x="31"/>
        <item x="5"/>
        <item x="9"/>
        <item x="221"/>
        <item x="2"/>
        <item x="237"/>
        <item x="314"/>
        <item x="553"/>
        <item x="476"/>
        <item x="127"/>
        <item x="531"/>
        <item x="58"/>
        <item x="245"/>
        <item x="199"/>
        <item x="80"/>
        <item x="185"/>
        <item x="22"/>
        <item x="225"/>
        <item x="79"/>
        <item x="35"/>
        <item x="76"/>
        <item x="153"/>
        <item x="182"/>
        <item x="319"/>
        <item x="64"/>
        <item x="73"/>
        <item x="18"/>
        <item x="33"/>
        <item x="253"/>
        <item x="342"/>
        <item x="271"/>
        <item x="276"/>
        <item x="284"/>
        <item x="41"/>
        <item x="37"/>
        <item x="405"/>
        <item x="65"/>
        <item x="108"/>
        <item x="317"/>
        <item x="470"/>
        <item x="572"/>
        <item x="202"/>
        <item x="215"/>
        <item x="286"/>
        <item x="51"/>
        <item x="128"/>
        <item x="7"/>
        <item x="54"/>
        <item x="100"/>
        <item x="200"/>
        <item x="45"/>
        <item x="36"/>
        <item x="250"/>
        <item x="94"/>
        <item x="301"/>
        <item x="165"/>
        <item x="532"/>
        <item x="157"/>
        <item x="193"/>
        <item x="144"/>
        <item x="68"/>
        <item x="283"/>
        <item x="197"/>
        <item x="373"/>
        <item x="24"/>
        <item x="329"/>
        <item x="307"/>
        <item x="266"/>
        <item x="14"/>
        <item x="61"/>
        <item x="234"/>
        <item x="293"/>
        <item x="257"/>
        <item x="268"/>
        <item x="302"/>
        <item x="321"/>
        <item x="213"/>
        <item x="179"/>
        <item x="507"/>
        <item x="469"/>
        <item x="236"/>
        <item x="453"/>
        <item x="95"/>
        <item x="16"/>
        <item x="101"/>
        <item x="186"/>
        <item x="151"/>
        <item x="536"/>
        <item x="450"/>
        <item x="247"/>
        <item x="123"/>
        <item x="249"/>
        <item x="42"/>
        <item x="452"/>
        <item x="112"/>
        <item x="311"/>
        <item x="48"/>
        <item x="444"/>
        <item x="273"/>
        <item x="85"/>
        <item x="59"/>
        <item x="324"/>
        <item x="81"/>
        <item x="115"/>
        <item x="97"/>
        <item x="407"/>
        <item x="3"/>
        <item x="43"/>
        <item x="347"/>
        <item x="230"/>
        <item x="49"/>
        <item x="189"/>
        <item x="6"/>
        <item x="332"/>
        <item x="111"/>
        <item x="171"/>
        <item x="181"/>
        <item x="159"/>
        <item x="510"/>
        <item x="325"/>
        <item x="210"/>
        <item x="11"/>
        <item x="241"/>
        <item x="346"/>
        <item x="511"/>
        <item x="198"/>
        <item x="256"/>
        <item x="93"/>
        <item x="161"/>
        <item x="110"/>
        <item x="217"/>
        <item x="139"/>
        <item x="32"/>
        <item x="53"/>
        <item x="279"/>
        <item x="445"/>
        <item x="67"/>
        <item x="23"/>
        <item x="28"/>
        <item x="132"/>
        <item x="323"/>
        <item x="227"/>
        <item x="169"/>
        <item x="218"/>
        <item x="312"/>
        <item x="178"/>
        <item x="145"/>
        <item x="50"/>
        <item x="277"/>
        <item x="10"/>
        <item x="156"/>
        <item x="167"/>
        <item x="91"/>
        <item x="96"/>
        <item x="232"/>
        <item x="70"/>
        <item x="328"/>
        <item x="505"/>
        <item x="287"/>
        <item x="119"/>
        <item x="84"/>
        <item x="330"/>
        <item x="435"/>
        <item x="543"/>
        <item x="40"/>
        <item x="77"/>
        <item x="487"/>
        <item x="340"/>
        <item x="501"/>
        <item x="196"/>
        <item x="265"/>
        <item x="231"/>
        <item x="83"/>
        <item x="224"/>
        <item x="121"/>
        <item x="545"/>
        <item x="117"/>
        <item x="448"/>
        <item x="567"/>
        <item x="335"/>
        <item x="419"/>
        <item x="223"/>
        <item x="155"/>
        <item x="176"/>
        <item x="104"/>
        <item x="371"/>
        <item x="30"/>
        <item x="25"/>
        <item x="130"/>
        <item x="374"/>
        <item x="63"/>
        <item x="187"/>
        <item x="248"/>
        <item x="66"/>
        <item x="258"/>
        <item x="13"/>
        <item x="4"/>
        <item x="493"/>
        <item x="571"/>
        <item x="62"/>
        <item x="296"/>
        <item x="526"/>
        <item x="192"/>
        <item x="29"/>
        <item x="69"/>
        <item x="269"/>
        <item x="492"/>
        <item x="60"/>
        <item x="508"/>
        <item x="222"/>
        <item x="229"/>
        <item x="446"/>
        <item x="118"/>
        <item x="34"/>
        <item x="474"/>
        <item x="504"/>
        <item x="480"/>
        <item x="163"/>
        <item x="242"/>
        <item x="17"/>
        <item x="173"/>
        <item x="300"/>
        <item x="107"/>
        <item x="240"/>
        <item x="203"/>
        <item x="364"/>
        <item x="306"/>
        <item x="525"/>
        <item x="449"/>
        <item x="427"/>
        <item x="72"/>
        <item x="238"/>
        <item x="233"/>
        <item x="228"/>
        <item x="502"/>
        <item x="138"/>
        <item x="87"/>
        <item x="530"/>
        <item x="92"/>
        <item x="467"/>
        <item x="38"/>
        <item x="20"/>
        <item x="395"/>
        <item x="21"/>
        <item x="495"/>
        <item x="52"/>
        <item x="71"/>
        <item x="254"/>
        <item x="46"/>
        <item x="447"/>
        <item x="538"/>
        <item x="137"/>
        <item x="180"/>
        <item x="78"/>
        <item x="150"/>
        <item x="496"/>
        <item x="394"/>
        <item x="131"/>
        <item x="519"/>
        <item x="183"/>
        <item x="278"/>
        <item x="442"/>
        <item x="55"/>
        <item x="141"/>
        <item x="194"/>
        <item x="568"/>
        <item x="336"/>
        <item x="299"/>
        <item x="209"/>
        <item x="106"/>
        <item x="113"/>
        <item x="350"/>
        <item x="75"/>
        <item x="86"/>
        <item x="294"/>
        <item x="386"/>
        <item x="175"/>
        <item x="576"/>
        <item x="133"/>
        <item x="149"/>
        <item x="90"/>
        <item x="485"/>
        <item x="534"/>
        <item x="343"/>
        <item x="134"/>
        <item x="184"/>
        <item x="135"/>
        <item x="491"/>
        <item x="462"/>
        <item x="260"/>
        <item x="554"/>
        <item x="122"/>
        <item x="19"/>
        <item x="177"/>
        <item x="489"/>
        <item x="570"/>
        <item x="154"/>
        <item x="428"/>
        <item x="569"/>
        <item x="574"/>
        <item x="523"/>
        <item x="338"/>
        <item x="255"/>
        <item x="152"/>
        <item x="547"/>
        <item x="352"/>
        <item x="105"/>
        <item x="82"/>
        <item x="148"/>
        <item x="556"/>
        <item x="563"/>
        <item x="292"/>
        <item x="259"/>
        <item x="423"/>
        <item x="57"/>
        <item x="544"/>
        <item x="486"/>
        <item x="409"/>
        <item x="503"/>
        <item x="443"/>
        <item x="513"/>
        <item x="471"/>
        <item x="116"/>
        <item x="359"/>
        <item x="360"/>
        <item x="518"/>
        <item x="475"/>
        <item x="281"/>
        <item x="0"/>
        <item x="460"/>
        <item x="410"/>
        <item x="521"/>
        <item x="477"/>
        <item x="349"/>
        <item x="191"/>
        <item x="124"/>
        <item x="551"/>
        <item x="498"/>
        <item x="488"/>
        <item x="316"/>
        <item x="285"/>
        <item x="465"/>
        <item x="473"/>
        <item x="463"/>
        <item x="188"/>
        <item x="168"/>
        <item x="558"/>
        <item x="500"/>
        <item x="351"/>
        <item x="529"/>
        <item x="337"/>
        <item x="89"/>
        <item x="383"/>
        <item x="437"/>
        <item x="431"/>
        <item x="542"/>
        <item x="109"/>
        <item x="524"/>
        <item x="457"/>
        <item x="541"/>
        <item x="74"/>
        <item x="415"/>
        <item x="490"/>
        <item x="12"/>
        <item x="56"/>
        <item x="484"/>
        <item x="291"/>
        <item x="537"/>
        <item x="263"/>
        <item x="451"/>
        <item x="377"/>
        <item x="461"/>
        <item x="564"/>
        <item x="208"/>
        <item x="88"/>
        <item x="372"/>
        <item x="264"/>
        <item x="398"/>
        <item x="421"/>
        <item x="99"/>
        <item x="146"/>
        <item x="142"/>
        <item x="318"/>
        <item x="520"/>
        <item x="39"/>
        <item x="562"/>
        <item x="512"/>
        <item x="573"/>
        <item x="411"/>
        <item x="140"/>
        <item x="288"/>
        <item x="527"/>
        <item x="432"/>
        <item x="458"/>
        <item x="206"/>
        <item x="261"/>
        <item x="483"/>
        <item x="226"/>
        <item x="552"/>
        <item x="455"/>
        <item x="528"/>
        <item x="517"/>
        <item x="482"/>
        <item x="539"/>
        <item x="358"/>
        <item x="550"/>
        <item x="375"/>
        <item x="516"/>
        <item x="499"/>
        <item x="114"/>
        <item x="143"/>
        <item x="506"/>
        <item x="315"/>
        <item x="438"/>
        <item x="290"/>
        <item x="560"/>
        <item x="380"/>
        <item x="44"/>
        <item x="344"/>
        <item x="334"/>
        <item x="367"/>
        <item x="514"/>
        <item x="172"/>
        <item x="368"/>
        <item x="420"/>
        <item x="129"/>
        <item x="362"/>
        <item x="494"/>
        <item x="533"/>
        <item x="425"/>
        <item x="389"/>
        <item x="355"/>
        <item x="459"/>
        <item x="555"/>
        <item x="166"/>
        <item x="297"/>
        <item x="561"/>
        <item x="356"/>
        <item x="557"/>
        <item x="402"/>
        <item x="515"/>
        <item x="170"/>
        <item x="345"/>
        <item x="348"/>
        <item x="162"/>
        <item x="305"/>
        <item x="251"/>
        <item x="309"/>
        <item x="430"/>
        <item x="479"/>
        <item x="439"/>
        <item x="246"/>
        <item x="441"/>
        <item x="280"/>
        <item x="308"/>
        <item x="274"/>
        <item x="333"/>
        <item x="353"/>
        <item x="379"/>
        <item x="204"/>
        <item x="219"/>
        <item x="393"/>
        <item x="282"/>
        <item x="454"/>
        <item x="392"/>
        <item x="201"/>
        <item x="497"/>
        <item x="326"/>
        <item x="26"/>
        <item x="391"/>
        <item x="384"/>
        <item x="252"/>
        <item x="295"/>
        <item x="478"/>
        <item x="456"/>
        <item x="363"/>
        <item x="385"/>
        <item x="190"/>
        <item x="322"/>
        <item x="235"/>
        <item x="147"/>
        <item x="341"/>
        <item x="214"/>
        <item x="397"/>
        <item x="243"/>
        <item x="422"/>
        <item x="416"/>
        <item x="320"/>
        <item x="275"/>
        <item x="390"/>
        <item x="1"/>
        <item x="267"/>
        <item x="357"/>
        <item x="412"/>
        <item x="160"/>
        <item x="366"/>
        <item x="399"/>
        <item x="313"/>
        <item x="220"/>
        <item x="8"/>
        <item x="408"/>
        <item x="381"/>
        <item x="434"/>
        <item x="468"/>
        <item x="433"/>
        <item x="579"/>
        <item x="298"/>
        <item x="540"/>
        <item x="581"/>
        <item x="310"/>
        <item x="413"/>
        <item x="270"/>
        <item x="369"/>
        <item x="403"/>
        <item x="481"/>
        <item x="580"/>
        <item x="472"/>
        <item x="272"/>
        <item x="464"/>
        <item x="365"/>
        <item x="424"/>
        <item x="388"/>
        <item x="414"/>
        <item x="578"/>
        <item x="378"/>
        <item x="406"/>
        <item x="401"/>
        <item x="376"/>
        <item x="429"/>
        <item x="400"/>
        <item x="436"/>
        <item x="382"/>
        <item x="387"/>
        <item x="396"/>
        <item x="262"/>
        <item x="120"/>
        <item x="174"/>
        <item x="361"/>
        <item x="354"/>
        <item x="339"/>
        <item x="205"/>
        <item x="370"/>
        <item x="98"/>
        <item x="136"/>
        <item x="207"/>
        <item x="303"/>
        <item t="default"/>
      </items>
    </pivotField>
    <pivotField numFmtId="14" showAll="0">
      <items count="15">
        <item x="0"/>
        <item x="1"/>
        <item x="2"/>
        <item x="3"/>
        <item x="4"/>
        <item x="5"/>
        <item x="6"/>
        <item x="7"/>
        <item x="8"/>
        <item x="9"/>
        <item x="10"/>
        <item x="11"/>
        <item x="12"/>
        <item x="13"/>
        <item t="default"/>
      </items>
    </pivotField>
    <pivotField showAll="0" defaultSubtotal="0"/>
    <pivotField showAll="0" defaultSubtotal="0"/>
    <pivotField showAll="0" defaultSubtotal="0">
      <items count="55">
        <item x="30"/>
        <item x="48"/>
        <item x="50"/>
        <item x="17"/>
        <item x="33"/>
        <item x="36"/>
        <item x="45"/>
        <item x="49"/>
        <item x="46"/>
        <item x="53"/>
        <item x="52"/>
        <item x="41"/>
        <item x="10"/>
        <item x="34"/>
        <item x="43"/>
        <item x="54"/>
        <item x="24"/>
        <item x="51"/>
        <item x="31"/>
        <item x="39"/>
        <item x="40"/>
        <item x="18"/>
        <item x="5"/>
        <item x="2"/>
        <item x="44"/>
        <item x="35"/>
        <item x="27"/>
        <item x="38"/>
        <item x="16"/>
        <item x="20"/>
        <item x="13"/>
        <item x="19"/>
        <item x="42"/>
        <item x="21"/>
        <item x="47"/>
        <item x="28"/>
        <item x="26"/>
        <item x="6"/>
        <item x="29"/>
        <item x="9"/>
        <item x="37"/>
        <item x="11"/>
        <item x="25"/>
        <item x="3"/>
        <item x="8"/>
        <item x="7"/>
        <item x="22"/>
        <item x="32"/>
        <item x="4"/>
        <item x="12"/>
        <item x="15"/>
        <item x="23"/>
        <item x="14"/>
        <item x="0"/>
        <item x="1"/>
      </items>
    </pivotField>
    <pivotField showAll="0"/>
    <pivotField showAll="0"/>
    <pivotField axis="axisRow" showAll="0" measureFilter="1" sortType="descending">
      <items count="409">
        <item x="150"/>
        <item x="396"/>
        <item x="79"/>
        <item x="388"/>
        <item x="382"/>
        <item x="12"/>
        <item x="42"/>
        <item x="114"/>
        <item x="177"/>
        <item x="21"/>
        <item x="376"/>
        <item x="182"/>
        <item x="55"/>
        <item x="10"/>
        <item x="316"/>
        <item x="287"/>
        <item x="13"/>
        <item x="6"/>
        <item x="359"/>
        <item x="166"/>
        <item x="49"/>
        <item x="308"/>
        <item x="74"/>
        <item x="156"/>
        <item x="112"/>
        <item x="384"/>
        <item x="15"/>
        <item x="349"/>
        <item x="144"/>
        <item x="161"/>
        <item x="300"/>
        <item x="78"/>
        <item x="355"/>
        <item x="171"/>
        <item x="145"/>
        <item x="247"/>
        <item x="46"/>
        <item x="356"/>
        <item x="108"/>
        <item x="362"/>
        <item x="265"/>
        <item x="243"/>
        <item x="176"/>
        <item x="34"/>
        <item x="242"/>
        <item x="129"/>
        <item x="297"/>
        <item x="149"/>
        <item x="111"/>
        <item x="379"/>
        <item x="116"/>
        <item x="329"/>
        <item x="290"/>
        <item x="314"/>
        <item x="16"/>
        <item x="172"/>
        <item x="343"/>
        <item x="202"/>
        <item x="357"/>
        <item x="50"/>
        <item x="85"/>
        <item x="372"/>
        <item x="58"/>
        <item x="68"/>
        <item x="195"/>
        <item x="207"/>
        <item x="232"/>
        <item x="119"/>
        <item x="93"/>
        <item x="239"/>
        <item x="29"/>
        <item x="170"/>
        <item x="395"/>
        <item x="327"/>
        <item x="261"/>
        <item x="14"/>
        <item x="208"/>
        <item x="273"/>
        <item x="89"/>
        <item x="194"/>
        <item x="385"/>
        <item x="312"/>
        <item x="88"/>
        <item x="346"/>
        <item x="81"/>
        <item x="190"/>
        <item x="328"/>
        <item x="283"/>
        <item x="126"/>
        <item x="345"/>
        <item x="27"/>
        <item x="148"/>
        <item x="377"/>
        <item x="304"/>
        <item x="41"/>
        <item x="84"/>
        <item x="71"/>
        <item x="127"/>
        <item x="159"/>
        <item x="341"/>
        <item x="43"/>
        <item x="94"/>
        <item x="138"/>
        <item x="289"/>
        <item x="401"/>
        <item x="64"/>
        <item x="122"/>
        <item x="204"/>
        <item x="106"/>
        <item x="294"/>
        <item x="72"/>
        <item x="310"/>
        <item x="303"/>
        <item x="301"/>
        <item x="187"/>
        <item x="330"/>
        <item x="271"/>
        <item x="249"/>
        <item x="236"/>
        <item x="381"/>
        <item x="99"/>
        <item x="35"/>
        <item x="353"/>
        <item x="123"/>
        <item x="292"/>
        <item x="313"/>
        <item x="361"/>
        <item x="141"/>
        <item x="367"/>
        <item x="4"/>
        <item x="9"/>
        <item x="95"/>
        <item x="250"/>
        <item x="392"/>
        <item x="276"/>
        <item x="8"/>
        <item x="254"/>
        <item x="400"/>
        <item x="240"/>
        <item x="213"/>
        <item x="218"/>
        <item x="73"/>
        <item x="191"/>
        <item x="40"/>
        <item x="137"/>
        <item x="288"/>
        <item x="205"/>
        <item x="210"/>
        <item x="279"/>
        <item x="374"/>
        <item x="380"/>
        <item x="63"/>
        <item x="406"/>
        <item x="299"/>
        <item x="226"/>
        <item x="366"/>
        <item x="219"/>
        <item x="277"/>
        <item x="121"/>
        <item x="146"/>
        <item x="98"/>
        <item x="227"/>
        <item x="291"/>
        <item x="390"/>
        <item x="24"/>
        <item x="32"/>
        <item x="151"/>
        <item x="217"/>
        <item x="70"/>
        <item x="54"/>
        <item x="264"/>
        <item x="253"/>
        <item x="67"/>
        <item x="324"/>
        <item x="225"/>
        <item x="307"/>
        <item x="404"/>
        <item x="375"/>
        <item x="192"/>
        <item x="347"/>
        <item x="331"/>
        <item x="281"/>
        <item x="293"/>
        <item x="397"/>
        <item x="142"/>
        <item x="270"/>
        <item x="66"/>
        <item x="169"/>
        <item x="185"/>
        <item x="334"/>
        <item x="20"/>
        <item x="0"/>
        <item x="17"/>
        <item x="259"/>
        <item x="87"/>
        <item x="275"/>
        <item x="125"/>
        <item x="338"/>
        <item x="322"/>
        <item x="65"/>
        <item x="152"/>
        <item x="336"/>
        <item x="36"/>
        <item x="47"/>
        <item x="306"/>
        <item x="371"/>
        <item x="153"/>
        <item x="383"/>
        <item x="168"/>
        <item x="45"/>
        <item x="282"/>
        <item x="183"/>
        <item x="211"/>
        <item x="92"/>
        <item x="198"/>
        <item x="62"/>
        <item x="139"/>
        <item x="37"/>
        <item x="134"/>
        <item x="358"/>
        <item x="181"/>
        <item x="278"/>
        <item x="164"/>
        <item x="5"/>
        <item x="26"/>
        <item x="223"/>
        <item x="91"/>
        <item x="398"/>
        <item x="48"/>
        <item x="61"/>
        <item x="309"/>
        <item x="363"/>
        <item x="373"/>
        <item x="405"/>
        <item x="120"/>
        <item x="391"/>
        <item x="105"/>
        <item x="189"/>
        <item x="118"/>
        <item x="317"/>
        <item x="238"/>
        <item x="101"/>
        <item x="257"/>
        <item x="19"/>
        <item x="131"/>
        <item x="315"/>
        <item x="143"/>
        <item x="305"/>
        <item x="69"/>
        <item x="167"/>
        <item x="216"/>
        <item x="188"/>
        <item x="104"/>
        <item x="233"/>
        <item x="214"/>
        <item x="280"/>
        <item x="321"/>
        <item x="389"/>
        <item x="7"/>
        <item x="386"/>
        <item x="90"/>
        <item x="285"/>
        <item x="196"/>
        <item x="175"/>
        <item x="158"/>
        <item x="56"/>
        <item x="266"/>
        <item x="263"/>
        <item x="255"/>
        <item x="402"/>
        <item x="51"/>
        <item x="302"/>
        <item x="320"/>
        <item x="206"/>
        <item x="2"/>
        <item x="179"/>
        <item x="178"/>
        <item x="354"/>
        <item x="350"/>
        <item x="318"/>
        <item x="237"/>
        <item x="364"/>
        <item x="136"/>
        <item x="128"/>
        <item x="57"/>
        <item x="197"/>
        <item x="407"/>
        <item x="130"/>
        <item x="378"/>
        <item x="221"/>
        <item x="284"/>
        <item x="18"/>
        <item x="222"/>
        <item x="110"/>
        <item x="124"/>
        <item x="180"/>
        <item x="369"/>
        <item x="162"/>
        <item x="337"/>
        <item x="186"/>
        <item x="360"/>
        <item x="83"/>
        <item x="228"/>
        <item x="154"/>
        <item x="11"/>
        <item x="184"/>
        <item x="230"/>
        <item x="97"/>
        <item x="96"/>
        <item x="113"/>
        <item x="60"/>
        <item x="332"/>
        <item x="393"/>
        <item x="31"/>
        <item x="296"/>
        <item x="140"/>
        <item x="370"/>
        <item x="80"/>
        <item x="212"/>
        <item x="344"/>
        <item x="3"/>
        <item x="52"/>
        <item x="155"/>
        <item x="199"/>
        <item x="201"/>
        <item x="333"/>
        <item x="234"/>
        <item x="76"/>
        <item x="235"/>
        <item x="23"/>
        <item x="274"/>
        <item x="335"/>
        <item x="22"/>
        <item x="248"/>
        <item x="44"/>
        <item x="241"/>
        <item x="147"/>
        <item x="157"/>
        <item x="1"/>
        <item x="28"/>
        <item x="340"/>
        <item x="165"/>
        <item x="39"/>
        <item x="200"/>
        <item x="326"/>
        <item x="262"/>
        <item x="59"/>
        <item x="53"/>
        <item x="246"/>
        <item x="325"/>
        <item x="107"/>
        <item x="193"/>
        <item x="30"/>
        <item x="352"/>
        <item x="351"/>
        <item x="117"/>
        <item x="258"/>
        <item x="286"/>
        <item x="102"/>
        <item x="339"/>
        <item x="252"/>
        <item x="365"/>
        <item x="132"/>
        <item x="399"/>
        <item x="231"/>
        <item x="394"/>
        <item x="224"/>
        <item x="256"/>
        <item x="269"/>
        <item x="33"/>
        <item x="86"/>
        <item x="272"/>
        <item x="244"/>
        <item x="103"/>
        <item x="251"/>
        <item x="25"/>
        <item x="319"/>
        <item x="268"/>
        <item x="174"/>
        <item x="100"/>
        <item x="298"/>
        <item x="215"/>
        <item x="229"/>
        <item x="260"/>
        <item x="267"/>
        <item x="311"/>
        <item x="82"/>
        <item x="220"/>
        <item x="75"/>
        <item x="209"/>
        <item x="109"/>
        <item x="368"/>
        <item x="135"/>
        <item x="323"/>
        <item x="160"/>
        <item x="203"/>
        <item x="77"/>
        <item x="163"/>
        <item x="245"/>
        <item x="342"/>
        <item x="173"/>
        <item x="295"/>
        <item x="115"/>
        <item x="387"/>
        <item x="133"/>
        <item x="38"/>
        <item x="348"/>
        <item x="403"/>
        <item t="default"/>
      </items>
    </pivotField>
    <pivotField showAll="0"/>
    <pivotField showAll="0"/>
    <pivotField showAll="0">
      <items count="17">
        <item x="13"/>
        <item x="7"/>
        <item x="2"/>
        <item x="3"/>
        <item x="11"/>
        <item x="10"/>
        <item x="8"/>
        <item x="5"/>
        <item x="1"/>
        <item x="9"/>
        <item x="6"/>
        <item x="12"/>
        <item x="0"/>
        <item x="14"/>
        <item x="4"/>
        <item x="15"/>
        <item t="default"/>
      </items>
    </pivotField>
    <pivotField dataField="1" showAll="0"/>
    <pivotField showAll="0"/>
    <pivotField showAll="0"/>
    <pivotField dataField="1" numFmtId="9" showAll="0"/>
    <pivotField showAll="0"/>
    <pivotField showAll="0">
      <items count="3">
        <item x="1"/>
        <item x="0"/>
        <item t="default"/>
      </items>
    </pivotField>
    <pivotField showAll="0" defaultSubtotal="0">
      <items count="1">
        <item x="0"/>
      </items>
    </pivotField>
    <pivotField showAll="0" defaultSubtotal="0">
      <items count="6">
        <item x="0"/>
        <item x="1"/>
        <item x="2"/>
        <item x="3"/>
        <item x="4"/>
        <item x="5"/>
      </items>
    </pivotField>
    <pivotField showAll="0" defaultSubtotal="0">
      <items count="19">
        <item x="0"/>
        <item x="1"/>
        <item x="2"/>
        <item x="3"/>
        <item x="4"/>
        <item x="5"/>
        <item x="6"/>
        <item x="7"/>
        <item x="8"/>
        <item x="9"/>
        <item x="10"/>
        <item x="11"/>
        <item x="12"/>
        <item x="13"/>
        <item x="14"/>
        <item x="15"/>
        <item x="16"/>
        <item x="17"/>
        <item x="18"/>
      </items>
    </pivotField>
  </pivotFields>
  <rowFields count="1">
    <field x="10"/>
  </rowFields>
  <rowItems count="4">
    <i>
      <x v="150"/>
    </i>
    <i>
      <x v="188"/>
    </i>
    <i>
      <x v="298"/>
    </i>
    <i t="grand">
      <x/>
    </i>
  </rowItems>
  <colFields count="1">
    <field x="-2"/>
  </colFields>
  <colItems count="2">
    <i>
      <x/>
    </i>
    <i i="1">
      <x v="1"/>
    </i>
  </colItems>
  <dataFields count="2">
    <dataField name="Average of engagement_rate" fld="17" subtotal="average" baseField="7" baseItem="0"/>
    <dataField name="Sum of view_count" fld="14" baseField="0" baseItem="0"/>
  </dataFields>
  <chartFormats count="4">
    <chartFormat chart="4" format="6"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Likes vs Comments per Video"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3:C19" firstHeaderRow="0" firstDataRow="1" firstDataCol="1"/>
  <pivotFields count="23">
    <pivotField axis="axisRow" showAll="0" measureFilter="1" sortType="descending">
      <items count="582">
        <item x="298"/>
        <item x="457"/>
        <item x="18"/>
        <item x="145"/>
        <item x="431"/>
        <item x="75"/>
        <item x="121"/>
        <item x="218"/>
        <item x="485"/>
        <item x="227"/>
        <item x="272"/>
        <item x="127"/>
        <item x="138"/>
        <item x="327"/>
        <item x="337"/>
        <item x="397"/>
        <item x="141"/>
        <item x="478"/>
        <item x="471"/>
        <item x="297"/>
        <item x="409"/>
        <item x="324"/>
        <item x="1"/>
        <item x="67"/>
        <item x="335"/>
        <item x="439"/>
        <item x="411"/>
        <item x="305"/>
        <item x="276"/>
        <item x="181"/>
        <item x="282"/>
        <item x="440"/>
        <item x="477"/>
        <item x="422"/>
        <item x="385"/>
        <item x="430"/>
        <item x="160"/>
        <item x="56"/>
        <item x="172"/>
        <item x="279"/>
        <item x="552"/>
        <item x="100"/>
        <item x="463"/>
        <item x="90"/>
        <item x="151"/>
        <item x="65"/>
        <item x="346"/>
        <item x="568"/>
        <item x="118"/>
        <item x="571"/>
        <item x="448"/>
        <item x="98"/>
        <item x="288"/>
        <item x="226"/>
        <item x="287"/>
        <item x="311"/>
        <item x="553"/>
        <item x="249"/>
        <item x="423"/>
        <item x="538"/>
        <item x="163"/>
        <item x="398"/>
        <item x="445"/>
        <item x="442"/>
        <item x="424"/>
        <item x="231"/>
        <item x="332"/>
        <item x="535"/>
        <item x="322"/>
        <item x="361"/>
        <item x="159"/>
        <item x="358"/>
        <item x="216"/>
        <item x="555"/>
        <item x="527"/>
        <item x="26"/>
        <item x="526"/>
        <item x="277"/>
        <item x="54"/>
        <item x="460"/>
        <item x="474"/>
        <item x="273"/>
        <item x="289"/>
        <item x="290"/>
        <item x="544"/>
        <item x="178"/>
        <item x="228"/>
        <item x="557"/>
        <item x="278"/>
        <item x="374"/>
        <item x="443"/>
        <item x="525"/>
        <item x="490"/>
        <item x="29"/>
        <item x="373"/>
        <item x="66"/>
        <item x="23"/>
        <item x="359"/>
        <item x="351"/>
        <item x="6"/>
        <item x="149"/>
        <item x="197"/>
        <item x="269"/>
        <item x="515"/>
        <item x="156"/>
        <item x="580"/>
        <item x="550"/>
        <item x="283"/>
        <item x="438"/>
        <item x="303"/>
        <item x="316"/>
        <item x="429"/>
        <item x="488"/>
        <item x="367"/>
        <item x="340"/>
        <item x="366"/>
        <item x="32"/>
        <item x="546"/>
        <item x="270"/>
        <item x="399"/>
        <item x="551"/>
        <item x="142"/>
        <item x="257"/>
        <item x="5"/>
        <item x="85"/>
        <item x="17"/>
        <item x="453"/>
        <item x="388"/>
        <item x="153"/>
        <item x="10"/>
        <item x="205"/>
        <item x="256"/>
        <item x="57"/>
        <item x="165"/>
        <item x="400"/>
        <item x="574"/>
        <item x="266"/>
        <item x="341"/>
        <item x="425"/>
        <item x="215"/>
        <item x="96"/>
        <item x="570"/>
        <item x="372"/>
        <item x="545"/>
        <item x="33"/>
        <item x="401"/>
        <item x="34"/>
        <item x="451"/>
        <item x="185"/>
        <item x="462"/>
        <item x="314"/>
        <item x="375"/>
        <item x="161"/>
        <item x="63"/>
        <item x="349"/>
        <item x="512"/>
        <item x="104"/>
        <item x="203"/>
        <item x="195"/>
        <item x="128"/>
        <item x="235"/>
        <item x="86"/>
        <item x="15"/>
        <item x="496"/>
        <item x="389"/>
        <item x="36"/>
        <item x="370"/>
        <item x="206"/>
        <item x="293"/>
        <item x="252"/>
        <item x="363"/>
        <item x="62"/>
        <item x="306"/>
        <item x="533"/>
        <item x="45"/>
        <item x="566"/>
        <item x="120"/>
        <item x="543"/>
        <item x="137"/>
        <item x="213"/>
        <item x="532"/>
        <item x="473"/>
        <item x="528"/>
        <item x="21"/>
        <item x="261"/>
        <item x="537"/>
        <item x="447"/>
        <item x="53"/>
        <item x="517"/>
        <item x="52"/>
        <item x="50"/>
        <item x="70"/>
        <item x="524"/>
        <item x="365"/>
        <item x="43"/>
        <item x="11"/>
        <item x="577"/>
        <item x="541"/>
        <item x="167"/>
        <item x="519"/>
        <item x="390"/>
        <item x="30"/>
        <item x="123"/>
        <item x="232"/>
        <item x="275"/>
        <item x="419"/>
        <item x="179"/>
        <item x="454"/>
        <item x="190"/>
        <item x="381"/>
        <item x="554"/>
        <item x="99"/>
        <item x="446"/>
        <item x="91"/>
        <item x="76"/>
        <item x="464"/>
        <item x="103"/>
        <item x="182"/>
        <item x="115"/>
        <item x="201"/>
        <item x="250"/>
        <item x="325"/>
        <item x="208"/>
        <item x="563"/>
        <item x="152"/>
        <item x="244"/>
        <item x="55"/>
        <item x="264"/>
        <item x="157"/>
        <item x="383"/>
        <item x="364"/>
        <item x="523"/>
        <item x="511"/>
        <item x="271"/>
        <item x="93"/>
        <item x="71"/>
        <item x="38"/>
        <item x="280"/>
        <item x="169"/>
        <item x="83"/>
        <item x="565"/>
        <item x="536"/>
        <item x="20"/>
        <item x="353"/>
        <item x="122"/>
        <item x="531"/>
        <item x="19"/>
        <item x="241"/>
        <item x="412"/>
        <item x="7"/>
        <item x="415"/>
        <item x="248"/>
        <item x="360"/>
        <item x="561"/>
        <item x="394"/>
        <item x="564"/>
        <item x="35"/>
        <item x="224"/>
        <item x="382"/>
        <item x="144"/>
        <item x="3"/>
        <item x="379"/>
        <item x="143"/>
        <item x="344"/>
        <item x="95"/>
        <item x="472"/>
        <item x="484"/>
        <item x="155"/>
        <item x="458"/>
        <item x="187"/>
        <item x="238"/>
        <item x="427"/>
        <item x="348"/>
        <item x="483"/>
        <item x="251"/>
        <item x="575"/>
        <item x="262"/>
        <item x="184"/>
        <item x="491"/>
        <item x="16"/>
        <item x="345"/>
        <item x="547"/>
        <item x="234"/>
        <item x="284"/>
        <item x="8"/>
        <item x="402"/>
        <item x="576"/>
        <item x="51"/>
        <item x="233"/>
        <item x="384"/>
        <item x="260"/>
        <item x="393"/>
        <item x="461"/>
        <item x="84"/>
        <item x="42"/>
        <item x="207"/>
        <item x="459"/>
        <item x="87"/>
        <item x="476"/>
        <item x="318"/>
        <item x="196"/>
        <item x="48"/>
        <item x="191"/>
        <item x="357"/>
        <item x="482"/>
        <item x="131"/>
        <item x="236"/>
        <item x="404"/>
        <item x="134"/>
        <item x="502"/>
        <item x="171"/>
        <item x="124"/>
        <item x="79"/>
        <item x="509"/>
        <item x="28"/>
        <item x="109"/>
        <item x="498"/>
        <item x="486"/>
        <item x="487"/>
        <item x="267"/>
        <item x="180"/>
        <item x="387"/>
        <item x="58"/>
        <item x="418"/>
        <item x="413"/>
        <item x="295"/>
        <item x="132"/>
        <item x="549"/>
        <item x="299"/>
        <item x="492"/>
        <item x="129"/>
        <item x="308"/>
        <item x="102"/>
        <item x="173"/>
        <item x="60"/>
        <item x="518"/>
        <item x="449"/>
        <item x="136"/>
        <item x="204"/>
        <item x="510"/>
        <item x="223"/>
        <item x="560"/>
        <item x="501"/>
        <item x="158"/>
        <item x="520"/>
        <item x="105"/>
        <item x="225"/>
        <item x="558"/>
        <item x="0"/>
        <item x="330"/>
        <item x="380"/>
        <item x="569"/>
        <item x="46"/>
        <item x="354"/>
        <item x="548"/>
        <item x="192"/>
        <item x="313"/>
        <item x="175"/>
        <item x="154"/>
        <item x="113"/>
        <item x="107"/>
        <item x="101"/>
        <item x="406"/>
        <item x="73"/>
        <item x="194"/>
        <item x="338"/>
        <item x="369"/>
        <item x="209"/>
        <item x="504"/>
        <item x="229"/>
        <item x="392"/>
        <item x="139"/>
        <item x="274"/>
        <item x="436"/>
        <item x="516"/>
        <item x="202"/>
        <item x="470"/>
        <item x="44"/>
        <item x="319"/>
        <item x="444"/>
        <item x="495"/>
        <item x="230"/>
        <item x="530"/>
        <item x="296"/>
        <item x="237"/>
        <item x="211"/>
        <item x="540"/>
        <item x="221"/>
        <item x="200"/>
        <item x="25"/>
        <item x="24"/>
        <item x="331"/>
        <item x="539"/>
        <item x="198"/>
        <item x="37"/>
        <item x="542"/>
        <item x="176"/>
        <item x="396"/>
        <item x="347"/>
        <item x="302"/>
        <item x="114"/>
        <item x="258"/>
        <item x="513"/>
        <item x="162"/>
        <item x="466"/>
        <item x="562"/>
        <item x="125"/>
        <item x="417"/>
        <item x="12"/>
        <item x="108"/>
        <item x="112"/>
        <item x="188"/>
        <item x="146"/>
        <item x="403"/>
        <item x="350"/>
        <item x="323"/>
        <item x="386"/>
        <item x="40"/>
        <item x="217"/>
        <item x="110"/>
        <item x="239"/>
        <item x="489"/>
        <item x="481"/>
        <item x="455"/>
        <item x="362"/>
        <item x="13"/>
        <item x="342"/>
        <item x="135"/>
        <item x="479"/>
        <item x="68"/>
        <item x="416"/>
        <item x="506"/>
        <item x="245"/>
        <item x="263"/>
        <item x="189"/>
        <item x="212"/>
        <item x="329"/>
        <item x="321"/>
        <item x="437"/>
        <item x="529"/>
        <item x="317"/>
        <item x="255"/>
        <item x="168"/>
        <item x="183"/>
        <item x="465"/>
        <item x="408"/>
        <item x="116"/>
        <item x="242"/>
        <item x="61"/>
        <item x="265"/>
        <item x="140"/>
        <item x="253"/>
        <item x="320"/>
        <item x="77"/>
        <item x="522"/>
        <item x="49"/>
        <item x="307"/>
        <item x="452"/>
        <item x="378"/>
        <item x="514"/>
        <item x="503"/>
        <item x="214"/>
        <item x="494"/>
        <item x="377"/>
        <item x="579"/>
        <item x="355"/>
        <item x="339"/>
        <item x="126"/>
        <item x="39"/>
        <item x="97"/>
        <item x="469"/>
        <item x="428"/>
        <item x="210"/>
        <item x="572"/>
        <item x="371"/>
        <item x="111"/>
        <item x="27"/>
        <item x="407"/>
        <item x="421"/>
        <item x="500"/>
        <item x="300"/>
        <item x="89"/>
        <item x="559"/>
        <item x="47"/>
        <item x="573"/>
        <item x="22"/>
        <item x="309"/>
        <item x="219"/>
        <item x="450"/>
        <item x="259"/>
        <item x="334"/>
        <item x="88"/>
        <item x="199"/>
        <item x="78"/>
        <item x="92"/>
        <item x="410"/>
        <item x="4"/>
        <item x="433"/>
        <item x="94"/>
        <item x="395"/>
        <item x="106"/>
        <item x="81"/>
        <item x="294"/>
        <item x="434"/>
        <item x="286"/>
        <item x="567"/>
        <item x="493"/>
        <item x="285"/>
        <item x="304"/>
        <item x="69"/>
        <item x="31"/>
        <item x="420"/>
        <item x="507"/>
        <item x="166"/>
        <item x="41"/>
        <item x="426"/>
        <item x="456"/>
        <item x="432"/>
        <item x="333"/>
        <item x="186"/>
        <item x="254"/>
        <item x="9"/>
        <item x="119"/>
        <item x="480"/>
        <item x="376"/>
        <item x="328"/>
        <item x="164"/>
        <item x="150"/>
        <item x="268"/>
        <item x="82"/>
        <item x="521"/>
        <item x="170"/>
        <item x="193"/>
        <item x="352"/>
        <item x="497"/>
        <item x="291"/>
        <item x="505"/>
        <item x="326"/>
        <item x="556"/>
        <item x="177"/>
        <item x="499"/>
        <item x="117"/>
        <item x="435"/>
        <item x="64"/>
        <item x="14"/>
        <item x="578"/>
        <item x="222"/>
        <item x="475"/>
        <item x="508"/>
        <item x="240"/>
        <item x="405"/>
        <item x="281"/>
        <item x="2"/>
        <item x="148"/>
        <item x="368"/>
        <item x="414"/>
        <item x="356"/>
        <item x="315"/>
        <item x="336"/>
        <item x="534"/>
        <item x="312"/>
        <item x="441"/>
        <item x="391"/>
        <item x="292"/>
        <item x="133"/>
        <item x="247"/>
        <item x="220"/>
        <item x="147"/>
        <item x="174"/>
        <item x="467"/>
        <item x="301"/>
        <item x="59"/>
        <item x="468"/>
        <item x="246"/>
        <item x="130"/>
        <item x="310"/>
        <item x="80"/>
        <item x="72"/>
        <item x="74"/>
        <item x="343"/>
        <item x="243"/>
        <item t="default"/>
      </items>
    </pivotField>
    <pivotField showAll="0"/>
    <pivotField showAll="0"/>
    <pivotField showAll="0">
      <items count="583">
        <item x="102"/>
        <item x="417"/>
        <item x="426"/>
        <item x="27"/>
        <item x="125"/>
        <item x="164"/>
        <item x="331"/>
        <item x="535"/>
        <item x="418"/>
        <item x="404"/>
        <item x="559"/>
        <item x="549"/>
        <item x="575"/>
        <item x="548"/>
        <item x="244"/>
        <item x="440"/>
        <item x="15"/>
        <item x="126"/>
        <item x="566"/>
        <item x="289"/>
        <item x="565"/>
        <item x="47"/>
        <item x="522"/>
        <item x="546"/>
        <item x="577"/>
        <item x="103"/>
        <item x="195"/>
        <item x="509"/>
        <item x="158"/>
        <item x="211"/>
        <item x="239"/>
        <item x="466"/>
        <item x="327"/>
        <item x="304"/>
        <item x="212"/>
        <item x="216"/>
        <item x="31"/>
        <item x="5"/>
        <item x="9"/>
        <item x="221"/>
        <item x="2"/>
        <item x="237"/>
        <item x="314"/>
        <item x="553"/>
        <item x="476"/>
        <item x="127"/>
        <item x="531"/>
        <item x="58"/>
        <item x="245"/>
        <item x="199"/>
        <item x="80"/>
        <item x="185"/>
        <item x="22"/>
        <item x="225"/>
        <item x="79"/>
        <item x="35"/>
        <item x="76"/>
        <item x="153"/>
        <item x="182"/>
        <item x="319"/>
        <item x="64"/>
        <item x="73"/>
        <item x="18"/>
        <item x="33"/>
        <item x="253"/>
        <item x="342"/>
        <item x="271"/>
        <item x="276"/>
        <item x="284"/>
        <item x="41"/>
        <item x="37"/>
        <item x="405"/>
        <item x="65"/>
        <item x="108"/>
        <item x="317"/>
        <item x="470"/>
        <item x="572"/>
        <item x="202"/>
        <item x="215"/>
        <item x="286"/>
        <item x="51"/>
        <item x="128"/>
        <item x="7"/>
        <item x="54"/>
        <item x="100"/>
        <item x="200"/>
        <item x="45"/>
        <item x="36"/>
        <item x="250"/>
        <item x="94"/>
        <item x="301"/>
        <item x="165"/>
        <item x="532"/>
        <item x="157"/>
        <item x="193"/>
        <item x="144"/>
        <item x="68"/>
        <item x="283"/>
        <item x="197"/>
        <item x="373"/>
        <item x="24"/>
        <item x="329"/>
        <item x="307"/>
        <item x="266"/>
        <item x="14"/>
        <item x="61"/>
        <item x="234"/>
        <item x="293"/>
        <item x="257"/>
        <item x="268"/>
        <item x="302"/>
        <item x="321"/>
        <item x="213"/>
        <item x="179"/>
        <item x="507"/>
        <item x="469"/>
        <item x="236"/>
        <item x="453"/>
        <item x="95"/>
        <item x="16"/>
        <item x="101"/>
        <item x="186"/>
        <item x="151"/>
        <item x="536"/>
        <item x="450"/>
        <item x="247"/>
        <item x="123"/>
        <item x="249"/>
        <item x="42"/>
        <item x="452"/>
        <item x="112"/>
        <item x="311"/>
        <item x="48"/>
        <item x="444"/>
        <item x="273"/>
        <item x="85"/>
        <item x="59"/>
        <item x="324"/>
        <item x="81"/>
        <item x="115"/>
        <item x="97"/>
        <item x="407"/>
        <item x="3"/>
        <item x="43"/>
        <item x="347"/>
        <item x="230"/>
        <item x="49"/>
        <item x="189"/>
        <item x="6"/>
        <item x="332"/>
        <item x="111"/>
        <item x="171"/>
        <item x="181"/>
        <item x="159"/>
        <item x="510"/>
        <item x="325"/>
        <item x="210"/>
        <item x="11"/>
        <item x="241"/>
        <item x="346"/>
        <item x="511"/>
        <item x="198"/>
        <item x="256"/>
        <item x="93"/>
        <item x="161"/>
        <item x="110"/>
        <item x="217"/>
        <item x="139"/>
        <item x="32"/>
        <item x="53"/>
        <item x="279"/>
        <item x="445"/>
        <item x="67"/>
        <item x="23"/>
        <item x="28"/>
        <item x="132"/>
        <item x="323"/>
        <item x="227"/>
        <item x="169"/>
        <item x="218"/>
        <item x="312"/>
        <item x="178"/>
        <item x="145"/>
        <item x="50"/>
        <item x="277"/>
        <item x="10"/>
        <item x="156"/>
        <item x="167"/>
        <item x="91"/>
        <item x="96"/>
        <item x="232"/>
        <item x="70"/>
        <item x="328"/>
        <item x="505"/>
        <item x="287"/>
        <item x="119"/>
        <item x="84"/>
        <item x="330"/>
        <item x="435"/>
        <item x="543"/>
        <item x="40"/>
        <item x="77"/>
        <item x="487"/>
        <item x="340"/>
        <item x="501"/>
        <item x="196"/>
        <item x="265"/>
        <item x="231"/>
        <item x="83"/>
        <item x="224"/>
        <item x="121"/>
        <item x="545"/>
        <item x="117"/>
        <item x="448"/>
        <item x="567"/>
        <item x="335"/>
        <item x="419"/>
        <item x="223"/>
        <item x="155"/>
        <item x="176"/>
        <item x="104"/>
        <item x="371"/>
        <item x="30"/>
        <item x="25"/>
        <item x="130"/>
        <item x="374"/>
        <item x="63"/>
        <item x="187"/>
        <item x="248"/>
        <item x="66"/>
        <item x="258"/>
        <item x="13"/>
        <item x="4"/>
        <item x="493"/>
        <item x="571"/>
        <item x="62"/>
        <item x="296"/>
        <item x="526"/>
        <item x="192"/>
        <item x="29"/>
        <item x="69"/>
        <item x="269"/>
        <item x="492"/>
        <item x="60"/>
        <item x="508"/>
        <item x="222"/>
        <item x="229"/>
        <item x="446"/>
        <item x="118"/>
        <item x="34"/>
        <item x="474"/>
        <item x="504"/>
        <item x="480"/>
        <item x="163"/>
        <item x="242"/>
        <item x="17"/>
        <item x="173"/>
        <item x="300"/>
        <item x="107"/>
        <item x="240"/>
        <item x="203"/>
        <item x="364"/>
        <item x="306"/>
        <item x="525"/>
        <item x="449"/>
        <item x="427"/>
        <item x="72"/>
        <item x="238"/>
        <item x="233"/>
        <item x="228"/>
        <item x="502"/>
        <item x="138"/>
        <item x="87"/>
        <item x="530"/>
        <item x="92"/>
        <item x="467"/>
        <item x="38"/>
        <item x="20"/>
        <item x="395"/>
        <item x="21"/>
        <item x="495"/>
        <item x="52"/>
        <item x="71"/>
        <item x="254"/>
        <item x="46"/>
        <item x="447"/>
        <item x="538"/>
        <item x="137"/>
        <item x="180"/>
        <item x="78"/>
        <item x="150"/>
        <item x="496"/>
        <item x="394"/>
        <item x="131"/>
        <item x="519"/>
        <item x="183"/>
        <item x="278"/>
        <item x="442"/>
        <item x="55"/>
        <item x="141"/>
        <item x="194"/>
        <item x="568"/>
        <item x="336"/>
        <item x="299"/>
        <item x="209"/>
        <item x="106"/>
        <item x="113"/>
        <item x="350"/>
        <item x="75"/>
        <item x="86"/>
        <item x="294"/>
        <item x="386"/>
        <item x="175"/>
        <item x="576"/>
        <item x="133"/>
        <item x="149"/>
        <item x="90"/>
        <item x="485"/>
        <item x="534"/>
        <item x="343"/>
        <item x="134"/>
        <item x="184"/>
        <item x="135"/>
        <item x="491"/>
        <item x="462"/>
        <item x="260"/>
        <item x="554"/>
        <item x="122"/>
        <item x="19"/>
        <item x="177"/>
        <item x="489"/>
        <item x="570"/>
        <item x="154"/>
        <item x="428"/>
        <item x="569"/>
        <item x="574"/>
        <item x="523"/>
        <item x="338"/>
        <item x="255"/>
        <item x="152"/>
        <item x="547"/>
        <item x="352"/>
        <item x="105"/>
        <item x="82"/>
        <item x="148"/>
        <item x="556"/>
        <item x="563"/>
        <item x="292"/>
        <item x="259"/>
        <item x="423"/>
        <item x="57"/>
        <item x="544"/>
        <item x="486"/>
        <item x="409"/>
        <item x="503"/>
        <item x="443"/>
        <item x="513"/>
        <item x="471"/>
        <item x="116"/>
        <item x="359"/>
        <item x="360"/>
        <item x="518"/>
        <item x="475"/>
        <item x="281"/>
        <item x="0"/>
        <item x="460"/>
        <item x="410"/>
        <item x="521"/>
        <item x="477"/>
        <item x="349"/>
        <item x="191"/>
        <item x="124"/>
        <item x="551"/>
        <item x="498"/>
        <item x="488"/>
        <item x="316"/>
        <item x="285"/>
        <item x="465"/>
        <item x="473"/>
        <item x="463"/>
        <item x="188"/>
        <item x="168"/>
        <item x="558"/>
        <item x="500"/>
        <item x="351"/>
        <item x="529"/>
        <item x="337"/>
        <item x="89"/>
        <item x="383"/>
        <item x="437"/>
        <item x="431"/>
        <item x="542"/>
        <item x="109"/>
        <item x="524"/>
        <item x="457"/>
        <item x="541"/>
        <item x="74"/>
        <item x="415"/>
        <item x="490"/>
        <item x="12"/>
        <item x="56"/>
        <item x="484"/>
        <item x="291"/>
        <item x="537"/>
        <item x="263"/>
        <item x="451"/>
        <item x="377"/>
        <item x="461"/>
        <item x="564"/>
        <item x="208"/>
        <item x="88"/>
        <item x="372"/>
        <item x="264"/>
        <item x="398"/>
        <item x="421"/>
        <item x="99"/>
        <item x="146"/>
        <item x="142"/>
        <item x="318"/>
        <item x="520"/>
        <item x="39"/>
        <item x="562"/>
        <item x="512"/>
        <item x="573"/>
        <item x="411"/>
        <item x="140"/>
        <item x="288"/>
        <item x="527"/>
        <item x="432"/>
        <item x="458"/>
        <item x="206"/>
        <item x="261"/>
        <item x="483"/>
        <item x="226"/>
        <item x="552"/>
        <item x="455"/>
        <item x="528"/>
        <item x="517"/>
        <item x="482"/>
        <item x="539"/>
        <item x="358"/>
        <item x="550"/>
        <item x="375"/>
        <item x="516"/>
        <item x="499"/>
        <item x="114"/>
        <item x="143"/>
        <item x="506"/>
        <item x="315"/>
        <item x="438"/>
        <item x="290"/>
        <item x="560"/>
        <item x="380"/>
        <item x="44"/>
        <item x="344"/>
        <item x="334"/>
        <item x="367"/>
        <item x="514"/>
        <item x="172"/>
        <item x="368"/>
        <item x="420"/>
        <item x="129"/>
        <item x="362"/>
        <item x="494"/>
        <item x="533"/>
        <item x="425"/>
        <item x="389"/>
        <item x="355"/>
        <item x="459"/>
        <item x="555"/>
        <item x="166"/>
        <item x="297"/>
        <item x="561"/>
        <item x="356"/>
        <item x="557"/>
        <item x="402"/>
        <item x="515"/>
        <item x="170"/>
        <item x="345"/>
        <item x="348"/>
        <item x="162"/>
        <item x="305"/>
        <item x="251"/>
        <item x="309"/>
        <item x="430"/>
        <item x="479"/>
        <item x="439"/>
        <item x="246"/>
        <item x="441"/>
        <item x="280"/>
        <item x="308"/>
        <item x="274"/>
        <item x="333"/>
        <item x="353"/>
        <item x="379"/>
        <item x="204"/>
        <item x="219"/>
        <item x="393"/>
        <item x="282"/>
        <item x="454"/>
        <item x="392"/>
        <item x="201"/>
        <item x="497"/>
        <item x="326"/>
        <item x="26"/>
        <item x="391"/>
        <item x="384"/>
        <item x="252"/>
        <item x="295"/>
        <item x="478"/>
        <item x="456"/>
        <item x="363"/>
        <item x="385"/>
        <item x="190"/>
        <item x="322"/>
        <item x="235"/>
        <item x="147"/>
        <item x="341"/>
        <item x="214"/>
        <item x="397"/>
        <item x="243"/>
        <item x="422"/>
        <item x="416"/>
        <item x="320"/>
        <item x="275"/>
        <item x="390"/>
        <item x="1"/>
        <item x="267"/>
        <item x="357"/>
        <item x="412"/>
        <item x="160"/>
        <item x="366"/>
        <item x="399"/>
        <item x="313"/>
        <item x="220"/>
        <item x="8"/>
        <item x="408"/>
        <item x="381"/>
        <item x="434"/>
        <item x="468"/>
        <item x="433"/>
        <item x="579"/>
        <item x="298"/>
        <item x="540"/>
        <item x="581"/>
        <item x="310"/>
        <item x="413"/>
        <item x="270"/>
        <item x="369"/>
        <item x="403"/>
        <item x="481"/>
        <item x="580"/>
        <item x="472"/>
        <item x="272"/>
        <item x="464"/>
        <item x="365"/>
        <item x="424"/>
        <item x="388"/>
        <item x="414"/>
        <item x="578"/>
        <item x="378"/>
        <item x="406"/>
        <item x="401"/>
        <item x="376"/>
        <item x="429"/>
        <item x="400"/>
        <item x="436"/>
        <item x="382"/>
        <item x="387"/>
        <item x="396"/>
        <item x="262"/>
        <item x="120"/>
        <item x="174"/>
        <item x="361"/>
        <item x="354"/>
        <item x="339"/>
        <item x="205"/>
        <item x="370"/>
        <item x="98"/>
        <item x="136"/>
        <item x="207"/>
        <item x="303"/>
        <item t="default"/>
      </items>
    </pivotField>
    <pivotField numFmtId="14"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55">
        <item x="30"/>
        <item x="48"/>
        <item x="50"/>
        <item x="17"/>
        <item x="33"/>
        <item x="36"/>
        <item x="45"/>
        <item x="49"/>
        <item x="46"/>
        <item x="53"/>
        <item x="52"/>
        <item x="41"/>
        <item x="10"/>
        <item x="34"/>
        <item x="43"/>
        <item x="54"/>
        <item x="24"/>
        <item x="51"/>
        <item x="31"/>
        <item x="39"/>
        <item x="40"/>
        <item x="18"/>
        <item x="5"/>
        <item x="2"/>
        <item x="44"/>
        <item x="35"/>
        <item x="27"/>
        <item x="38"/>
        <item x="16"/>
        <item x="20"/>
        <item x="13"/>
        <item x="19"/>
        <item x="42"/>
        <item x="21"/>
        <item x="47"/>
        <item x="28"/>
        <item x="26"/>
        <item x="6"/>
        <item x="29"/>
        <item x="9"/>
        <item x="37"/>
        <item x="11"/>
        <item x="25"/>
        <item x="3"/>
        <item x="8"/>
        <item x="7"/>
        <item x="22"/>
        <item x="32"/>
        <item x="4"/>
        <item x="12"/>
        <item x="15"/>
        <item x="23"/>
        <item x="14"/>
        <item x="0"/>
        <item x="1"/>
      </items>
    </pivotField>
    <pivotField showAll="0"/>
    <pivotField showAll="0"/>
    <pivotField showAll="0"/>
    <pivotField showAll="0"/>
    <pivotField showAll="0"/>
    <pivotField showAll="0">
      <items count="17">
        <item x="13"/>
        <item x="7"/>
        <item x="2"/>
        <item x="3"/>
        <item x="11"/>
        <item x="10"/>
        <item x="8"/>
        <item x="5"/>
        <item x="1"/>
        <item x="9"/>
        <item x="6"/>
        <item x="12"/>
        <item x="0"/>
        <item x="14"/>
        <item x="4"/>
        <item x="15"/>
        <item t="default"/>
      </items>
    </pivotField>
    <pivotField showAll="0"/>
    <pivotField dataField="1" showAll="0"/>
    <pivotField dataField="1" showAll="0"/>
    <pivotField numFmtId="9" showAll="0"/>
    <pivotField showAll="0"/>
    <pivotField showAll="0">
      <items count="3">
        <item x="1"/>
        <item x="0"/>
        <item t="default"/>
      </items>
    </pivotField>
    <pivotField showAll="0" defaultSubtotal="0">
      <items count="1">
        <item x="0"/>
      </items>
    </pivotField>
    <pivotField showAll="0" defaultSubtotal="0">
      <items count="6">
        <item x="0"/>
        <item x="1"/>
        <item x="2"/>
        <item x="3"/>
        <item x="4"/>
        <item x="5"/>
      </items>
    </pivotField>
    <pivotField showAll="0" defaultSubtotal="0">
      <items count="19">
        <item x="0"/>
        <item x="1"/>
        <item x="2"/>
        <item x="3"/>
        <item x="4"/>
        <item x="5"/>
        <item x="6"/>
        <item x="7"/>
        <item x="8"/>
        <item x="9"/>
        <item x="10"/>
        <item x="11"/>
        <item x="12"/>
        <item x="13"/>
        <item x="14"/>
        <item x="15"/>
        <item x="16"/>
        <item x="17"/>
        <item x="18"/>
      </items>
    </pivotField>
  </pivotFields>
  <rowFields count="1">
    <field x="0"/>
  </rowFields>
  <rowItems count="6">
    <i>
      <x v="13"/>
    </i>
    <i>
      <x v="220"/>
    </i>
    <i>
      <x v="312"/>
    </i>
    <i>
      <x v="552"/>
    </i>
    <i>
      <x v="571"/>
    </i>
    <i t="grand">
      <x/>
    </i>
  </rowItems>
  <colFields count="1">
    <field x="-2"/>
  </colFields>
  <colItems count="2">
    <i>
      <x/>
    </i>
    <i i="1">
      <x v="1"/>
    </i>
  </colItems>
  <dataFields count="2">
    <dataField name="Sum of like_count" fld="15" baseField="0" baseItem="0"/>
    <dataField name="Sum of comment_count" fld="16" baseField="0" baseItem="0"/>
  </dataField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p 5 Most Viewed Video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5:B31" firstHeaderRow="1" firstDataRow="1" firstDataCol="1"/>
  <pivotFields count="23">
    <pivotField showAll="0"/>
    <pivotField axis="axisRow" showAll="0" measureFilter="1" sortType="descending">
      <items count="1079">
        <item x="12"/>
        <item m="1" x="1035"/>
        <item x="334"/>
        <item x="346"/>
        <item m="1" x="789"/>
        <item m="1" x="763"/>
        <item x="347"/>
        <item m="1" x="618"/>
        <item x="288"/>
        <item x="202"/>
        <item m="1" x="819"/>
        <item m="1" x="902"/>
        <item m="1" x="1009"/>
        <item m="1" x="640"/>
        <item x="11"/>
        <item m="1" x="812"/>
        <item x="521"/>
        <item m="1" x="837"/>
        <item x="35"/>
        <item m="1" x="853"/>
        <item m="1" x="593"/>
        <item x="184"/>
        <item x="274"/>
        <item m="1" x="583"/>
        <item m="1" x="1008"/>
        <item x="289"/>
        <item m="1" x="877"/>
        <item x="397"/>
        <item m="1" x="830"/>
        <item x="502"/>
        <item m="1" x="620"/>
        <item x="340"/>
        <item x="206"/>
        <item m="1" x="1050"/>
        <item m="1" x="710"/>
        <item x="214"/>
        <item x="155"/>
        <item m="1" x="716"/>
        <item m="1" x="998"/>
        <item m="1" x="922"/>
        <item x="54"/>
        <item x="257"/>
        <item m="1" x="791"/>
        <item x="268"/>
        <item m="1" x="720"/>
        <item x="316"/>
        <item m="1" x="655"/>
        <item x="491"/>
        <item m="1" x="709"/>
        <item x="170"/>
        <item m="1" x="1005"/>
        <item x="388"/>
        <item m="1" x="722"/>
        <item x="529"/>
        <item x="470"/>
        <item m="1" x="797"/>
        <item x="495"/>
        <item m="1" x="672"/>
        <item x="518"/>
        <item m="1" x="942"/>
        <item m="1" x="1032"/>
        <item x="178"/>
        <item x="364"/>
        <item m="1" x="604"/>
        <item x="327"/>
        <item m="1" x="854"/>
        <item x="168"/>
        <item m="1" x="976"/>
        <item x="183"/>
        <item m="1" x="993"/>
        <item x="72"/>
        <item x="204"/>
        <item m="1" x="651"/>
        <item m="1" x="939"/>
        <item x="531"/>
        <item x="353"/>
        <item m="1" x="700"/>
        <item m="1" x="661"/>
        <item x="16"/>
        <item x="295"/>
        <item m="1" x="980"/>
        <item m="1" x="891"/>
        <item x="246"/>
        <item m="1" x="803"/>
        <item x="223"/>
        <item m="1" x="827"/>
        <item x="99"/>
        <item m="1" x="1003"/>
        <item x="94"/>
        <item m="1" x="726"/>
        <item x="181"/>
        <item m="1" x="879"/>
        <item x="314"/>
        <item m="1" x="788"/>
        <item x="125"/>
        <item m="1" x="820"/>
        <item x="262"/>
        <item m="1" x="713"/>
        <item x="109"/>
        <item m="1" x="843"/>
        <item x="548"/>
        <item x="25"/>
        <item m="1" x="875"/>
        <item m="1" x="1048"/>
        <item x="82"/>
        <item m="1" x="678"/>
        <item x="151"/>
        <item x="337"/>
        <item m="1" x="855"/>
        <item m="1" x="743"/>
        <item x="418"/>
        <item m="1" x="622"/>
        <item x="363"/>
        <item m="1" x="780"/>
        <item x="476"/>
        <item m="1" x="662"/>
        <item x="361"/>
        <item m="1" x="821"/>
        <item x="225"/>
        <item x="0"/>
        <item m="1" x="701"/>
        <item x="240"/>
        <item m="1" x="869"/>
        <item x="65"/>
        <item x="230"/>
        <item m="1" x="586"/>
        <item m="1" x="594"/>
        <item x="126"/>
        <item x="545"/>
        <item m="1" x="858"/>
        <item m="1" x="611"/>
        <item x="135"/>
        <item x="395"/>
        <item m="1" x="778"/>
        <item m="1" x="840"/>
        <item x="157"/>
        <item m="1" x="841"/>
        <item x="154"/>
        <item x="119"/>
        <item m="1" x="579"/>
        <item x="20"/>
        <item m="1" x="921"/>
        <item x="210"/>
        <item m="1" x="708"/>
        <item x="296"/>
        <item m="1" x="671"/>
        <item x="14"/>
        <item x="98"/>
        <item m="1" x="836"/>
        <item m="1" x="628"/>
        <item x="91"/>
        <item m="1" x="873"/>
        <item x="528"/>
        <item m="1" x="943"/>
        <item x="425"/>
        <item m="1" x="832"/>
        <item x="320"/>
        <item m="1" x="901"/>
        <item x="46"/>
        <item m="1" x="961"/>
        <item x="382"/>
        <item x="462"/>
        <item m="1" x="569"/>
        <item x="299"/>
        <item m="1" x="936"/>
        <item x="15"/>
        <item m="1" x="786"/>
        <item x="80"/>
        <item x="172"/>
        <item m="1" x="631"/>
        <item m="1" x="917"/>
        <item x="441"/>
        <item m="1" x="908"/>
        <item x="13"/>
        <item x="411"/>
        <item m="1" x="1019"/>
        <item x="271"/>
        <item m="1" x="624"/>
        <item m="1" x="737"/>
        <item m="1" x="871"/>
        <item x="196"/>
        <item m="1" x="950"/>
        <item x="188"/>
        <item m="1" x="964"/>
        <item x="417"/>
        <item m="1" x="1059"/>
        <item x="75"/>
        <item m="1" x="688"/>
        <item x="29"/>
        <item m="1" x="1063"/>
        <item x="26"/>
        <item m="1" x="741"/>
        <item x="412"/>
        <item m="1" x="659"/>
        <item x="377"/>
        <item m="1" x="621"/>
        <item x="428"/>
        <item m="1" x="728"/>
        <item x="146"/>
        <item x="359"/>
        <item m="1" x="1033"/>
        <item x="355"/>
        <item m="1" x="697"/>
        <item m="1" x="1042"/>
        <item x="273"/>
        <item m="1" x="924"/>
        <item x="349"/>
        <item m="1" x="777"/>
        <item x="136"/>
        <item m="1" x="761"/>
        <item x="342"/>
        <item x="285"/>
        <item m="1" x="723"/>
        <item x="248"/>
        <item m="1" x="609"/>
        <item m="1" x="1014"/>
        <item x="73"/>
        <item m="1" x="637"/>
        <item x="137"/>
        <item m="1" x="647"/>
        <item x="281"/>
        <item m="1" x="909"/>
        <item x="341"/>
        <item m="1" x="1004"/>
        <item x="279"/>
        <item x="52"/>
        <item m="1" x="702"/>
        <item x="70"/>
        <item m="1" x="978"/>
        <item m="1" x="669"/>
        <item x="309"/>
        <item m="1" x="903"/>
        <item x="458"/>
        <item m="1" x="894"/>
        <item x="131"/>
        <item x="287"/>
        <item m="1" x="687"/>
        <item x="329"/>
        <item m="1" x="963"/>
        <item m="1" x="886"/>
        <item x="148"/>
        <item m="1" x="575"/>
        <item x="88"/>
        <item m="1" x="918"/>
        <item m="1" x="676"/>
        <item m="1" x="633"/>
        <item x="358"/>
        <item m="1" x="1030"/>
        <item x="130"/>
        <item m="1" x="732"/>
        <item x="218"/>
        <item x="328"/>
        <item m="1" x="842"/>
        <item x="401"/>
        <item m="1" x="595"/>
        <item x="440"/>
        <item m="1" x="1027"/>
        <item x="276"/>
        <item m="1" x="748"/>
        <item x="283"/>
        <item m="1" x="931"/>
        <item x="84"/>
        <item x="129"/>
        <item x="198"/>
        <item m="1" x="816"/>
        <item m="1" x="694"/>
        <item x="209"/>
        <item x="96"/>
        <item m="1" x="991"/>
        <item m="1" x="995"/>
        <item x="544"/>
        <item m="1" x="796"/>
        <item x="530"/>
        <item m="1" x="970"/>
        <item x="517"/>
        <item m="1" x="578"/>
        <item x="213"/>
        <item m="1" x="1022"/>
        <item x="301"/>
        <item m="1" x="984"/>
        <item m="1" x="733"/>
        <item x="540"/>
        <item m="1" x="605"/>
        <item x="480"/>
        <item m="1" x="677"/>
        <item x="227"/>
        <item x="237"/>
        <item m="1" x="867"/>
        <item x="243"/>
        <item m="1" x="1045"/>
        <item x="164"/>
        <item m="1" x="1065"/>
        <item x="546"/>
        <item x="326"/>
        <item m="1" x="714"/>
        <item x="226"/>
        <item m="1" x="856"/>
        <item x="438"/>
        <item m="1" x="734"/>
        <item m="1" x="644"/>
        <item x="190"/>
        <item x="297"/>
        <item m="1" x="910"/>
        <item m="1" x="845"/>
        <item x="457"/>
        <item x="332"/>
        <item m="1" x="782"/>
        <item m="1" x="1043"/>
        <item x="460"/>
        <item m="1" x="635"/>
        <item x="36"/>
        <item m="1" x="1051"/>
        <item x="293"/>
        <item m="1" x="977"/>
        <item x="41"/>
        <item m="1" x="1053"/>
        <item x="335"/>
        <item m="1" x="999"/>
        <item x="263"/>
        <item m="1" x="607"/>
        <item x="464"/>
        <item m="1" x="907"/>
        <item x="373"/>
        <item x="339"/>
        <item m="1" x="948"/>
        <item m="1" x="850"/>
        <item x="200"/>
        <item m="1" x="589"/>
        <item x="553"/>
        <item x="366"/>
        <item m="1" x="1064"/>
        <item x="556"/>
        <item m="1" x="814"/>
        <item m="1" x="933"/>
        <item x="430"/>
        <item m="1" x="911"/>
        <item x="513"/>
        <item m="1" x="926"/>
        <item x="449"/>
        <item x="482"/>
        <item m="1" x="705"/>
        <item x="454"/>
        <item m="1" x="1046"/>
        <item x="306"/>
        <item m="1" x="965"/>
        <item m="1" x="1076"/>
        <item x="510"/>
        <item m="1" x="834"/>
        <item x="256"/>
        <item m="1" x="815"/>
        <item x="229"/>
        <item m="1" x="851"/>
        <item x="422"/>
        <item x="59"/>
        <item m="1" x="923"/>
        <item m="1" x="929"/>
        <item x="500"/>
        <item m="1" x="612"/>
        <item x="369"/>
        <item m="1" x="760"/>
        <item x="66"/>
        <item x="207"/>
        <item m="1" x="986"/>
        <item m="1" x="1017"/>
        <item x="250"/>
        <item m="1" x="824"/>
        <item x="121"/>
        <item x="142"/>
        <item x="3"/>
        <item m="1" x="699"/>
        <item x="43"/>
        <item m="1" x="914"/>
        <item x="112"/>
        <item m="1" x="792"/>
        <item x="186"/>
        <item m="1" x="719"/>
        <item x="426"/>
        <item m="1" x="898"/>
        <item x="486"/>
        <item m="1" x="770"/>
        <item x="221"/>
        <item m="1" x="868"/>
        <item x="479"/>
        <item m="1" x="874"/>
        <item x="132"/>
        <item m="1" x="1041"/>
        <item x="554"/>
        <item x="6"/>
        <item m="1" x="872"/>
        <item x="348"/>
        <item m="1" x="686"/>
        <item x="62"/>
        <item x="315"/>
        <item m="1" x="684"/>
        <item x="445"/>
        <item m="1" x="658"/>
        <item x="331"/>
        <item x="300"/>
        <item m="1" x="1020"/>
        <item m="1" x="766"/>
        <item x="55"/>
        <item m="1" x="784"/>
        <item x="321"/>
        <item x="264"/>
        <item m="1" x="670"/>
        <item x="444"/>
        <item m="1" x="982"/>
        <item x="236"/>
        <item m="1" x="904"/>
        <item x="77"/>
        <item m="1" x="758"/>
        <item x="166"/>
        <item x="28"/>
        <item m="1" x="990"/>
        <item x="424"/>
        <item m="1" x="580"/>
        <item x="110"/>
        <item m="1" x="657"/>
        <item m="1" x="1061"/>
        <item x="465"/>
        <item x="74"/>
        <item m="1" x="889"/>
        <item x="39"/>
        <item m="1" x="767"/>
        <item x="452"/>
        <item x="48"/>
        <item m="1" x="629"/>
        <item x="294"/>
        <item m="1" x="759"/>
        <item x="522"/>
        <item x="536"/>
        <item m="1" x="613"/>
        <item m="1" x="664"/>
        <item x="105"/>
        <item m="1" x="731"/>
        <item x="549"/>
        <item m="1" x="673"/>
        <item x="370"/>
        <item m="1" x="668"/>
        <item x="272"/>
        <item x="216"/>
        <item m="1" x="1067"/>
        <item m="1" x="1071"/>
        <item x="205"/>
        <item m="1" x="912"/>
        <item x="390"/>
        <item m="1" x="757"/>
        <item x="402"/>
        <item m="1" x="591"/>
        <item x="147"/>
        <item m="1" x="966"/>
        <item x="51"/>
        <item m="1" x="962"/>
        <item x="371"/>
        <item m="1" x="857"/>
        <item x="398"/>
        <item x="61"/>
        <item m="1" x="1021"/>
        <item x="311"/>
        <item m="1" x="572"/>
        <item x="471"/>
        <item x="194"/>
        <item m="1" x="1015"/>
        <item x="501"/>
        <item m="1" x="940"/>
        <item m="1" x="861"/>
        <item x="456"/>
        <item m="1" x="666"/>
        <item x="490"/>
        <item m="1" x="884"/>
        <item x="483"/>
        <item x="245"/>
        <item m="1" x="1074"/>
        <item x="100"/>
        <item m="1" x="946"/>
        <item x="199"/>
        <item m="1" x="751"/>
        <item x="259"/>
        <item m="1" x="945"/>
        <item x="503"/>
        <item x="152"/>
        <item m="1" x="893"/>
        <item m="1" x="606"/>
        <item x="509"/>
        <item m="1" x="587"/>
        <item x="163"/>
        <item m="1" x="559"/>
        <item x="391"/>
        <item m="1" x="932"/>
        <item x="550"/>
        <item m="1" x="906"/>
        <item x="174"/>
        <item m="1" x="566"/>
        <item x="171"/>
        <item m="1" x="949"/>
        <item x="145"/>
        <item m="1" x="919"/>
        <item x="18"/>
        <item m="1" x="817"/>
        <item x="30"/>
        <item x="534"/>
        <item m="1" x="576"/>
        <item m="1" x="691"/>
        <item x="143"/>
        <item m="1" x="865"/>
        <item x="532"/>
        <item x="555"/>
        <item m="1" x="973"/>
        <item m="1" x="958"/>
        <item x="317"/>
        <item m="1" x="954"/>
        <item x="374"/>
        <item m="1" x="806"/>
        <item x="507"/>
        <item x="116"/>
        <item m="1" x="1073"/>
        <item m="1" x="937"/>
        <item x="156"/>
        <item m="1" x="864"/>
        <item x="448"/>
        <item m="1" x="627"/>
        <item x="42"/>
        <item m="1" x="727"/>
        <item x="32"/>
        <item m="1" x="739"/>
        <item x="533"/>
        <item x="313"/>
        <item m="1" x="1031"/>
        <item x="162"/>
        <item x="389"/>
        <item m="1" x="890"/>
        <item x="93"/>
        <item m="1" x="951"/>
        <item x="307"/>
        <item m="1" x="615"/>
        <item x="442"/>
        <item m="1" x="744"/>
        <item x="378"/>
        <item m="1" x="896"/>
        <item x="496"/>
        <item m="1" x="997"/>
        <item x="228"/>
        <item m="1" x="785"/>
        <item x="492"/>
        <item m="1" x="888"/>
        <item x="498"/>
        <item m="1" x="809"/>
        <item x="138"/>
        <item x="120"/>
        <item m="1" x="755"/>
        <item m="1" x="992"/>
        <item x="127"/>
        <item m="1" x="698"/>
        <item x="50"/>
        <item m="1" x="860"/>
        <item x="499"/>
        <item m="1" x="818"/>
        <item x="251"/>
        <item x="282"/>
        <item m="1" x="704"/>
        <item x="19"/>
        <item m="1" x="1018"/>
        <item x="319"/>
        <item x="372"/>
        <item m="1" x="955"/>
        <item x="44"/>
        <item x="87"/>
        <item m="1" x="967"/>
        <item x="552"/>
        <item m="1" x="813"/>
        <item x="38"/>
        <item m="1" x="1025"/>
        <item x="333"/>
        <item x="381"/>
        <item m="1" x="563"/>
        <item m="1" x="920"/>
        <item x="95"/>
        <item x="383"/>
        <item m="1" x="985"/>
        <item m="1" x="590"/>
        <item x="60"/>
        <item m="1" x="742"/>
        <item x="193"/>
        <item m="1" x="571"/>
        <item x="375"/>
        <item m="1" x="876"/>
        <item x="140"/>
        <item m="1" x="632"/>
        <item x="280"/>
        <item m="1" x="831"/>
        <item x="386"/>
        <item m="1" x="987"/>
        <item x="265"/>
        <item m="1" x="747"/>
        <item x="71"/>
        <item m="1" x="988"/>
        <item x="106"/>
        <item x="10"/>
        <item x="506"/>
        <item m="1" x="822"/>
        <item x="232"/>
        <item m="1" x="848"/>
        <item x="514"/>
        <item m="1" x="1024"/>
        <item x="542"/>
        <item x="318"/>
        <item m="1" x="935"/>
        <item m="1" x="573"/>
        <item x="266"/>
        <item m="1" x="745"/>
        <item x="543"/>
        <item m="1" x="947"/>
        <item x="485"/>
        <item m="1" x="557"/>
        <item x="69"/>
        <item m="1" x="1001"/>
        <item x="414"/>
        <item m="1" x="610"/>
        <item x="111"/>
        <item x="149"/>
        <item m="1" x="762"/>
        <item x="45"/>
        <item m="1" x="862"/>
        <item x="481"/>
        <item m="1" x="859"/>
        <item x="526"/>
        <item m="1" x="1049"/>
        <item x="269"/>
        <item m="1" x="808"/>
        <item x="104"/>
        <item x="252"/>
        <item m="1" x="561"/>
        <item m="1" x="564"/>
        <item x="241"/>
        <item m="1" x="630"/>
        <item x="244"/>
        <item m="1" x="1077"/>
        <item x="450"/>
        <item m="1" x="913"/>
        <item x="400"/>
        <item m="1" x="1056"/>
        <item x="392"/>
        <item m="1" x="880"/>
        <item x="310"/>
        <item m="1" x="682"/>
        <item x="443"/>
        <item m="1" x="746"/>
        <item x="360"/>
        <item x="343"/>
        <item m="1" x="844"/>
        <item m="1" x="1013"/>
        <item x="267"/>
        <item m="1" x="695"/>
        <item x="233"/>
        <item m="1" x="957"/>
        <item x="538"/>
        <item m="1" x="805"/>
        <item x="89"/>
        <item m="1" x="927"/>
        <item x="415"/>
        <item x="423"/>
        <item m="1" x="892"/>
        <item x="242"/>
        <item m="1" x="703"/>
        <item m="1" x="712"/>
        <item x="270"/>
        <item m="1" x="584"/>
        <item x="459"/>
        <item m="1" x="915"/>
        <item x="150"/>
        <item m="1" x="881"/>
        <item x="175"/>
        <item m="1" x="654"/>
        <item x="437"/>
        <item x="504"/>
        <item m="1" x="1023"/>
        <item m="1" x="560"/>
        <item x="177"/>
        <item m="1" x="885"/>
        <item x="79"/>
        <item m="1" x="721"/>
        <item x="484"/>
        <item m="1" x="614"/>
        <item x="367"/>
        <item m="1" x="771"/>
        <item x="203"/>
        <item x="455"/>
        <item m="1" x="617"/>
        <item x="78"/>
        <item x="134"/>
        <item m="1" x="1016"/>
        <item m="1" x="829"/>
        <item x="68"/>
        <item m="1" x="1012"/>
        <item x="431"/>
        <item m="1" x="689"/>
        <item x="90"/>
        <item m="1" x="750"/>
        <item m="1" x="749"/>
        <item x="451"/>
        <item m="1" x="601"/>
        <item x="217"/>
        <item m="1" x="577"/>
        <item x="357"/>
        <item m="1" x="925"/>
        <item x="291"/>
        <item m="1" x="944"/>
        <item x="158"/>
        <item m="1" x="1034"/>
        <item x="404"/>
        <item m="1" x="899"/>
        <item x="63"/>
        <item m="1" x="753"/>
        <item x="165"/>
        <item x="53"/>
        <item m="1" x="804"/>
        <item m="1" x="787"/>
        <item x="40"/>
        <item m="1" x="656"/>
        <item x="247"/>
        <item m="1" x="648"/>
        <item x="385"/>
        <item m="1" x="650"/>
        <item x="33"/>
        <item m="1" x="641"/>
        <item x="81"/>
        <item m="1" x="838"/>
        <item x="239"/>
        <item m="1" x="1058"/>
        <item x="325"/>
        <item m="1" x="638"/>
        <item x="254"/>
        <item m="1" x="652"/>
        <item x="49"/>
        <item m="1" x="938"/>
        <item x="468"/>
        <item m="1" x="1066"/>
        <item x="352"/>
        <item m="1" x="646"/>
        <item x="350"/>
        <item m="1" x="581"/>
        <item x="380"/>
        <item m="1" x="974"/>
        <item x="222"/>
        <item m="1" x="823"/>
        <item x="324"/>
        <item m="1" x="724"/>
        <item x="432"/>
        <item x="505"/>
        <item m="1" x="574"/>
        <item m="1" x="793"/>
        <item x="330"/>
        <item m="1" x="852"/>
        <item x="249"/>
        <item m="1" x="772"/>
        <item x="416"/>
        <item m="1" x="1060"/>
        <item x="384"/>
        <item m="1" x="983"/>
        <item x="180"/>
        <item m="1" x="905"/>
        <item x="420"/>
        <item x="107"/>
        <item m="1" x="846"/>
        <item x="17"/>
        <item x="211"/>
        <item m="1" x="783"/>
        <item x="97"/>
        <item m="1" x="900"/>
        <item x="195"/>
        <item m="1" x="645"/>
        <item x="23"/>
        <item x="234"/>
        <item m="1" x="1055"/>
        <item m="1" x="1069"/>
        <item x="8"/>
        <item m="1" x="989"/>
        <item x="278"/>
        <item m="1" x="930"/>
        <item x="83"/>
        <item m="1" x="681"/>
        <item x="511"/>
        <item x="474"/>
        <item m="1" x="1057"/>
        <item m="1" x="602"/>
        <item x="525"/>
        <item m="1" x="863"/>
        <item x="67"/>
        <item m="1" x="969"/>
        <item x="56"/>
        <item m="1" x="952"/>
        <item x="302"/>
        <item m="1" x="799"/>
        <item x="76"/>
        <item x="101"/>
        <item m="1" x="685"/>
        <item x="201"/>
        <item m="1" x="567"/>
        <item x="261"/>
        <item m="1" x="715"/>
        <item x="187"/>
        <item m="1" x="1002"/>
        <item x="133"/>
        <item m="1" x="769"/>
        <item x="191"/>
        <item x="102"/>
        <item m="1" x="810"/>
        <item x="117"/>
        <item x="159"/>
        <item m="1" x="653"/>
        <item x="224"/>
        <item m="1" x="897"/>
        <item x="473"/>
        <item m="1" x="774"/>
        <item x="488"/>
        <item m="1" x="811"/>
        <item x="524"/>
        <item m="1" x="934"/>
        <item x="197"/>
        <item x="284"/>
        <item m="1" x="968"/>
        <item m="1" x="979"/>
        <item x="58"/>
        <item m="1" x="754"/>
        <item x="215"/>
        <item m="1" x="706"/>
        <item x="144"/>
        <item m="1" x="794"/>
        <item x="478"/>
        <item m="1" x="1072"/>
        <item x="547"/>
        <item x="469"/>
        <item m="1" x="795"/>
        <item x="477"/>
        <item m="1" x="1036"/>
        <item x="354"/>
        <item m="1" x="663"/>
        <item x="407"/>
        <item m="1" x="619"/>
        <item x="466"/>
        <item m="1" x="692"/>
        <item x="520"/>
        <item x="516"/>
        <item m="1" x="626"/>
        <item m="1" x="592"/>
        <item x="493"/>
        <item m="1" x="674"/>
        <item x="403"/>
        <item x="160"/>
        <item m="1" x="585"/>
        <item x="92"/>
        <item m="1" x="616"/>
        <item x="86"/>
        <item m="1" x="1028"/>
        <item x="103"/>
        <item m="1" x="642"/>
        <item x="399"/>
        <item x="139"/>
        <item m="1" x="1037"/>
        <item m="1" x="683"/>
        <item x="118"/>
        <item x="260"/>
        <item m="1" x="643"/>
        <item x="527"/>
        <item m="1" x="928"/>
        <item x="290"/>
        <item x="7"/>
        <item m="1" x="588"/>
        <item m="1" x="847"/>
        <item x="292"/>
        <item m="1" x="781"/>
        <item x="128"/>
        <item x="535"/>
        <item m="1" x="597"/>
        <item m="1" x="828"/>
        <item x="4"/>
        <item x="235"/>
        <item x="472"/>
        <item m="1" x="994"/>
        <item m="1" x="959"/>
        <item x="212"/>
        <item m="1" x="596"/>
        <item x="405"/>
        <item m="1" x="570"/>
        <item x="344"/>
        <item x="141"/>
        <item m="1" x="756"/>
        <item m="1" x="600"/>
        <item m="1" x="764"/>
        <item m="1" x="634"/>
        <item x="286"/>
        <item m="1" x="916"/>
        <item x="153"/>
        <item m="1" x="981"/>
        <item x="541"/>
        <item m="1" x="1026"/>
        <item x="523"/>
        <item x="21"/>
        <item m="1" x="878"/>
        <item m="1" x="800"/>
        <item x="494"/>
        <item m="1" x="735"/>
        <item x="176"/>
        <item m="1" x="660"/>
        <item x="446"/>
        <item m="1" x="693"/>
        <item x="1"/>
        <item m="1" x="639"/>
        <item x="409"/>
        <item m="1" x="1044"/>
        <item x="114"/>
        <item x="113"/>
        <item m="1" x="971"/>
        <item m="1" x="603"/>
        <item x="489"/>
        <item m="1" x="1070"/>
        <item x="376"/>
        <item m="1" x="740"/>
        <item x="408"/>
        <item m="1" x="558"/>
        <item x="356"/>
        <item m="1" x="956"/>
        <item x="277"/>
        <item m="1" x="623"/>
        <item x="173"/>
        <item m="1" x="718"/>
        <item x="537"/>
        <item m="1" x="839"/>
        <item x="519"/>
        <item m="1" x="730"/>
        <item x="551"/>
        <item m="1" x="882"/>
        <item x="305"/>
        <item m="1" x="665"/>
        <item x="169"/>
        <item m="1" x="975"/>
        <item x="312"/>
        <item m="1" x="736"/>
        <item x="308"/>
        <item m="1" x="599"/>
        <item x="298"/>
        <item m="1" x="1038"/>
        <item x="436"/>
        <item m="1" x="1039"/>
        <item x="368"/>
        <item m="1" x="667"/>
        <item x="345"/>
        <item m="1" x="1054"/>
        <item x="463"/>
        <item m="1" x="1062"/>
        <item x="304"/>
        <item m="1" x="768"/>
        <item x="406"/>
        <item m="1" x="953"/>
        <item x="387"/>
        <item m="1" x="565"/>
        <item x="419"/>
        <item m="1" x="707"/>
        <item x="57"/>
        <item m="1" x="849"/>
        <item x="410"/>
        <item m="1" x="833"/>
        <item x="231"/>
        <item x="27"/>
        <item m="1" x="773"/>
        <item x="9"/>
        <item x="5"/>
        <item m="1" x="960"/>
        <item x="475"/>
        <item m="1" x="562"/>
        <item x="22"/>
        <item x="47"/>
        <item x="24"/>
        <item m="1" x="711"/>
        <item m="1" x="775"/>
        <item x="2"/>
        <item m="1" x="825"/>
        <item x="37"/>
        <item m="1" x="972"/>
        <item x="351"/>
        <item x="122"/>
        <item m="1" x="717"/>
        <item x="31"/>
        <item x="303"/>
        <item m="1" x="1007"/>
        <item x="393"/>
        <item m="1" x="729"/>
        <item m="1" x="1010"/>
        <item x="219"/>
        <item m="1" x="826"/>
        <item x="461"/>
        <item x="275"/>
        <item m="1" x="1029"/>
        <item m="1" x="690"/>
        <item x="64"/>
        <item x="115"/>
        <item m="1" x="1075"/>
        <item x="123"/>
        <item x="453"/>
        <item m="1" x="582"/>
        <item x="124"/>
        <item x="253"/>
        <item m="1" x="996"/>
        <item x="258"/>
        <item m="1" x="1068"/>
        <item x="179"/>
        <item m="1" x="870"/>
        <item x="338"/>
        <item m="1" x="765"/>
        <item m="1" x="941"/>
        <item x="85"/>
        <item m="1" x="1000"/>
        <item x="161"/>
        <item x="34"/>
        <item m="1" x="636"/>
        <item x="429"/>
        <item m="1" x="752"/>
        <item x="220"/>
        <item m="1" x="1047"/>
        <item x="427"/>
        <item m="1" x="696"/>
        <item x="439"/>
        <item m="1" x="776"/>
        <item x="487"/>
        <item m="1" x="835"/>
        <item x="192"/>
        <item m="1" x="779"/>
        <item x="435"/>
        <item m="1" x="679"/>
        <item x="512"/>
        <item x="447"/>
        <item m="1" x="1006"/>
        <item x="515"/>
        <item x="433"/>
        <item m="1" x="866"/>
        <item m="1" x="725"/>
        <item x="182"/>
        <item x="396"/>
        <item m="1" x="798"/>
        <item x="167"/>
        <item m="1" x="568"/>
        <item x="322"/>
        <item x="238"/>
        <item x="185"/>
        <item m="1" x="883"/>
        <item m="1" x="801"/>
        <item x="413"/>
        <item x="336"/>
        <item m="1" x="1052"/>
        <item x="255"/>
        <item x="539"/>
        <item x="394"/>
        <item m="1" x="598"/>
        <item x="508"/>
        <item m="1" x="738"/>
        <item m="1" x="807"/>
        <item m="1" x="802"/>
        <item x="421"/>
        <item m="1" x="608"/>
        <item x="108"/>
        <item x="208"/>
        <item m="1" x="649"/>
        <item m="1" x="675"/>
        <item x="434"/>
        <item m="1" x="790"/>
        <item x="497"/>
        <item m="1" x="1040"/>
        <item x="189"/>
        <item m="1" x="895"/>
        <item x="379"/>
        <item m="1" x="625"/>
        <item x="362"/>
        <item x="365"/>
        <item m="1" x="680"/>
        <item m="1" x="1011"/>
        <item x="323"/>
        <item m="1" x="887"/>
        <item x="467"/>
        <item t="default"/>
      </items>
    </pivotField>
    <pivotField showAll="0"/>
    <pivotField showAll="0">
      <items count="583">
        <item x="102"/>
        <item x="417"/>
        <item x="426"/>
        <item x="27"/>
        <item x="125"/>
        <item x="164"/>
        <item x="331"/>
        <item x="535"/>
        <item x="418"/>
        <item x="404"/>
        <item x="559"/>
        <item x="549"/>
        <item x="575"/>
        <item x="548"/>
        <item x="244"/>
        <item x="440"/>
        <item x="15"/>
        <item x="126"/>
        <item x="566"/>
        <item x="289"/>
        <item x="565"/>
        <item x="47"/>
        <item x="522"/>
        <item x="546"/>
        <item x="577"/>
        <item x="103"/>
        <item x="195"/>
        <item x="509"/>
        <item x="158"/>
        <item x="211"/>
        <item x="239"/>
        <item x="466"/>
        <item x="327"/>
        <item x="304"/>
        <item x="212"/>
        <item x="216"/>
        <item x="31"/>
        <item x="5"/>
        <item x="9"/>
        <item x="221"/>
        <item x="2"/>
        <item x="237"/>
        <item x="314"/>
        <item x="553"/>
        <item x="476"/>
        <item x="127"/>
        <item x="531"/>
        <item x="58"/>
        <item x="245"/>
        <item x="199"/>
        <item x="80"/>
        <item x="185"/>
        <item x="22"/>
        <item x="225"/>
        <item x="79"/>
        <item x="35"/>
        <item x="76"/>
        <item x="153"/>
        <item x="182"/>
        <item x="319"/>
        <item x="64"/>
        <item x="73"/>
        <item x="18"/>
        <item x="33"/>
        <item x="253"/>
        <item x="342"/>
        <item x="271"/>
        <item x="276"/>
        <item x="284"/>
        <item x="41"/>
        <item x="37"/>
        <item x="405"/>
        <item x="65"/>
        <item x="108"/>
        <item x="317"/>
        <item x="470"/>
        <item x="572"/>
        <item x="202"/>
        <item x="215"/>
        <item x="286"/>
        <item x="51"/>
        <item x="128"/>
        <item x="7"/>
        <item x="54"/>
        <item x="100"/>
        <item x="200"/>
        <item x="45"/>
        <item x="36"/>
        <item x="250"/>
        <item x="94"/>
        <item x="301"/>
        <item x="165"/>
        <item x="532"/>
        <item x="157"/>
        <item x="193"/>
        <item x="144"/>
        <item x="68"/>
        <item x="283"/>
        <item x="197"/>
        <item x="373"/>
        <item x="24"/>
        <item x="329"/>
        <item x="307"/>
        <item x="266"/>
        <item x="14"/>
        <item x="61"/>
        <item x="234"/>
        <item x="293"/>
        <item x="257"/>
        <item x="268"/>
        <item x="302"/>
        <item x="321"/>
        <item x="213"/>
        <item x="179"/>
        <item x="507"/>
        <item x="469"/>
        <item x="236"/>
        <item x="453"/>
        <item x="95"/>
        <item x="16"/>
        <item x="101"/>
        <item x="186"/>
        <item x="151"/>
        <item x="536"/>
        <item x="450"/>
        <item x="247"/>
        <item x="123"/>
        <item x="249"/>
        <item x="42"/>
        <item x="452"/>
        <item x="112"/>
        <item x="311"/>
        <item x="48"/>
        <item x="444"/>
        <item x="273"/>
        <item x="85"/>
        <item x="59"/>
        <item x="324"/>
        <item x="81"/>
        <item x="115"/>
        <item x="97"/>
        <item x="407"/>
        <item x="3"/>
        <item x="43"/>
        <item x="347"/>
        <item x="230"/>
        <item x="49"/>
        <item x="189"/>
        <item x="6"/>
        <item x="332"/>
        <item x="111"/>
        <item x="171"/>
        <item x="181"/>
        <item x="159"/>
        <item x="510"/>
        <item x="325"/>
        <item x="210"/>
        <item x="11"/>
        <item x="241"/>
        <item x="346"/>
        <item x="511"/>
        <item x="198"/>
        <item x="256"/>
        <item x="93"/>
        <item x="161"/>
        <item x="110"/>
        <item x="217"/>
        <item x="139"/>
        <item x="32"/>
        <item x="53"/>
        <item x="279"/>
        <item x="445"/>
        <item x="67"/>
        <item x="23"/>
        <item x="28"/>
        <item x="132"/>
        <item x="323"/>
        <item x="227"/>
        <item x="169"/>
        <item x="218"/>
        <item x="312"/>
        <item x="178"/>
        <item x="145"/>
        <item x="50"/>
        <item x="277"/>
        <item x="10"/>
        <item x="156"/>
        <item x="167"/>
        <item x="91"/>
        <item x="96"/>
        <item x="232"/>
        <item x="70"/>
        <item x="328"/>
        <item x="505"/>
        <item x="287"/>
        <item x="119"/>
        <item x="84"/>
        <item x="330"/>
        <item x="435"/>
        <item x="543"/>
        <item x="40"/>
        <item x="77"/>
        <item x="487"/>
        <item x="340"/>
        <item x="501"/>
        <item x="196"/>
        <item x="265"/>
        <item x="231"/>
        <item x="83"/>
        <item x="224"/>
        <item x="121"/>
        <item x="545"/>
        <item x="117"/>
        <item x="448"/>
        <item x="567"/>
        <item x="335"/>
        <item x="419"/>
        <item x="223"/>
        <item x="155"/>
        <item x="176"/>
        <item x="104"/>
        <item x="371"/>
        <item x="30"/>
        <item x="25"/>
        <item x="130"/>
        <item x="374"/>
        <item x="63"/>
        <item x="187"/>
        <item x="248"/>
        <item x="66"/>
        <item x="258"/>
        <item x="13"/>
        <item x="4"/>
        <item x="493"/>
        <item x="571"/>
        <item x="62"/>
        <item x="296"/>
        <item x="526"/>
        <item x="192"/>
        <item x="29"/>
        <item x="69"/>
        <item x="269"/>
        <item x="492"/>
        <item x="60"/>
        <item x="508"/>
        <item x="222"/>
        <item x="229"/>
        <item x="446"/>
        <item x="118"/>
        <item x="34"/>
        <item x="474"/>
        <item x="504"/>
        <item x="480"/>
        <item x="163"/>
        <item x="242"/>
        <item x="17"/>
        <item x="173"/>
        <item x="300"/>
        <item x="107"/>
        <item x="240"/>
        <item x="203"/>
        <item x="364"/>
        <item x="306"/>
        <item x="525"/>
        <item x="449"/>
        <item x="427"/>
        <item x="72"/>
        <item x="238"/>
        <item x="233"/>
        <item x="228"/>
        <item x="502"/>
        <item x="138"/>
        <item x="87"/>
        <item x="530"/>
        <item x="92"/>
        <item x="467"/>
        <item x="38"/>
        <item x="20"/>
        <item x="395"/>
        <item x="21"/>
        <item x="495"/>
        <item x="52"/>
        <item x="71"/>
        <item x="254"/>
        <item x="46"/>
        <item x="447"/>
        <item x="538"/>
        <item x="137"/>
        <item x="180"/>
        <item x="78"/>
        <item x="150"/>
        <item x="496"/>
        <item x="394"/>
        <item x="131"/>
        <item x="519"/>
        <item x="183"/>
        <item x="278"/>
        <item x="442"/>
        <item x="55"/>
        <item x="141"/>
        <item x="194"/>
        <item x="568"/>
        <item x="336"/>
        <item x="299"/>
        <item x="209"/>
        <item x="106"/>
        <item x="113"/>
        <item x="350"/>
        <item x="75"/>
        <item x="86"/>
        <item x="294"/>
        <item x="386"/>
        <item x="175"/>
        <item x="576"/>
        <item x="133"/>
        <item x="149"/>
        <item x="90"/>
        <item x="485"/>
        <item x="534"/>
        <item x="343"/>
        <item x="134"/>
        <item x="184"/>
        <item x="135"/>
        <item x="491"/>
        <item x="462"/>
        <item x="260"/>
        <item x="554"/>
        <item x="122"/>
        <item x="19"/>
        <item x="177"/>
        <item x="489"/>
        <item x="570"/>
        <item x="154"/>
        <item x="428"/>
        <item x="569"/>
        <item x="574"/>
        <item x="523"/>
        <item x="338"/>
        <item x="255"/>
        <item x="152"/>
        <item x="547"/>
        <item x="352"/>
        <item x="105"/>
        <item x="82"/>
        <item x="148"/>
        <item x="556"/>
        <item x="563"/>
        <item x="292"/>
        <item x="259"/>
        <item x="423"/>
        <item x="57"/>
        <item x="544"/>
        <item x="486"/>
        <item x="409"/>
        <item x="503"/>
        <item x="443"/>
        <item x="513"/>
        <item x="471"/>
        <item x="116"/>
        <item x="359"/>
        <item x="360"/>
        <item x="518"/>
        <item x="475"/>
        <item x="281"/>
        <item x="0"/>
        <item x="460"/>
        <item x="410"/>
        <item x="521"/>
        <item x="477"/>
        <item x="349"/>
        <item x="191"/>
        <item x="124"/>
        <item x="551"/>
        <item x="498"/>
        <item x="488"/>
        <item x="316"/>
        <item x="285"/>
        <item x="465"/>
        <item x="473"/>
        <item x="463"/>
        <item x="188"/>
        <item x="168"/>
        <item x="558"/>
        <item x="500"/>
        <item x="351"/>
        <item x="529"/>
        <item x="337"/>
        <item x="89"/>
        <item x="383"/>
        <item x="437"/>
        <item x="431"/>
        <item x="542"/>
        <item x="109"/>
        <item x="524"/>
        <item x="457"/>
        <item x="541"/>
        <item x="74"/>
        <item x="415"/>
        <item x="490"/>
        <item x="12"/>
        <item x="56"/>
        <item x="484"/>
        <item x="291"/>
        <item x="537"/>
        <item x="263"/>
        <item x="451"/>
        <item x="377"/>
        <item x="461"/>
        <item x="564"/>
        <item x="208"/>
        <item x="88"/>
        <item x="372"/>
        <item x="264"/>
        <item x="398"/>
        <item x="421"/>
        <item x="99"/>
        <item x="146"/>
        <item x="142"/>
        <item x="318"/>
        <item x="520"/>
        <item x="39"/>
        <item x="562"/>
        <item x="512"/>
        <item x="573"/>
        <item x="411"/>
        <item x="140"/>
        <item x="288"/>
        <item x="527"/>
        <item x="432"/>
        <item x="458"/>
        <item x="206"/>
        <item x="261"/>
        <item x="483"/>
        <item x="226"/>
        <item x="552"/>
        <item x="455"/>
        <item x="528"/>
        <item x="517"/>
        <item x="482"/>
        <item x="539"/>
        <item x="358"/>
        <item x="550"/>
        <item x="375"/>
        <item x="516"/>
        <item x="499"/>
        <item x="114"/>
        <item x="143"/>
        <item x="506"/>
        <item x="315"/>
        <item x="438"/>
        <item x="290"/>
        <item x="560"/>
        <item x="380"/>
        <item x="44"/>
        <item x="344"/>
        <item x="334"/>
        <item x="367"/>
        <item x="514"/>
        <item x="172"/>
        <item x="368"/>
        <item x="420"/>
        <item x="129"/>
        <item x="362"/>
        <item x="494"/>
        <item x="533"/>
        <item x="425"/>
        <item x="389"/>
        <item x="355"/>
        <item x="459"/>
        <item x="555"/>
        <item x="166"/>
        <item x="297"/>
        <item x="561"/>
        <item x="356"/>
        <item x="557"/>
        <item x="402"/>
        <item x="515"/>
        <item x="170"/>
        <item x="345"/>
        <item x="348"/>
        <item x="162"/>
        <item x="305"/>
        <item x="251"/>
        <item x="309"/>
        <item x="430"/>
        <item x="479"/>
        <item x="439"/>
        <item x="246"/>
        <item x="441"/>
        <item x="280"/>
        <item x="308"/>
        <item x="274"/>
        <item x="333"/>
        <item x="353"/>
        <item x="379"/>
        <item x="204"/>
        <item x="219"/>
        <item x="393"/>
        <item x="282"/>
        <item x="454"/>
        <item x="392"/>
        <item x="201"/>
        <item x="497"/>
        <item x="326"/>
        <item x="26"/>
        <item x="391"/>
        <item x="384"/>
        <item x="252"/>
        <item x="295"/>
        <item x="478"/>
        <item x="456"/>
        <item x="363"/>
        <item x="385"/>
        <item x="190"/>
        <item x="322"/>
        <item x="235"/>
        <item x="147"/>
        <item x="341"/>
        <item x="214"/>
        <item x="397"/>
        <item x="243"/>
        <item x="422"/>
        <item x="416"/>
        <item x="320"/>
        <item x="275"/>
        <item x="390"/>
        <item x="1"/>
        <item x="267"/>
        <item x="357"/>
        <item x="412"/>
        <item x="160"/>
        <item x="366"/>
        <item x="399"/>
        <item x="313"/>
        <item x="220"/>
        <item x="8"/>
        <item x="408"/>
        <item x="381"/>
        <item x="434"/>
        <item x="468"/>
        <item x="433"/>
        <item x="579"/>
        <item x="298"/>
        <item x="540"/>
        <item x="581"/>
        <item x="310"/>
        <item x="413"/>
        <item x="270"/>
        <item x="369"/>
        <item x="403"/>
        <item x="481"/>
        <item x="580"/>
        <item x="472"/>
        <item x="272"/>
        <item x="464"/>
        <item x="365"/>
        <item x="424"/>
        <item x="388"/>
        <item x="414"/>
        <item x="578"/>
        <item x="378"/>
        <item x="406"/>
        <item x="401"/>
        <item x="376"/>
        <item x="429"/>
        <item x="400"/>
        <item x="436"/>
        <item x="382"/>
        <item x="387"/>
        <item x="396"/>
        <item x="262"/>
        <item x="120"/>
        <item x="174"/>
        <item x="361"/>
        <item x="354"/>
        <item x="339"/>
        <item x="205"/>
        <item x="370"/>
        <item x="98"/>
        <item x="136"/>
        <item x="207"/>
        <item x="303"/>
        <item t="default"/>
      </items>
    </pivotField>
    <pivotField numFmtId="14"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55">
        <item x="30"/>
        <item x="48"/>
        <item x="50"/>
        <item x="17"/>
        <item x="33"/>
        <item x="36"/>
        <item x="45"/>
        <item x="49"/>
        <item x="46"/>
        <item x="53"/>
        <item x="52"/>
        <item x="41"/>
        <item x="10"/>
        <item x="34"/>
        <item x="43"/>
        <item x="54"/>
        <item x="24"/>
        <item x="51"/>
        <item x="31"/>
        <item x="39"/>
        <item x="40"/>
        <item x="18"/>
        <item x="5"/>
        <item x="2"/>
        <item x="44"/>
        <item x="35"/>
        <item x="27"/>
        <item x="38"/>
        <item x="16"/>
        <item x="20"/>
        <item x="13"/>
        <item x="19"/>
        <item x="42"/>
        <item x="21"/>
        <item x="47"/>
        <item x="28"/>
        <item x="26"/>
        <item x="6"/>
        <item x="29"/>
        <item x="9"/>
        <item x="37"/>
        <item x="11"/>
        <item x="25"/>
        <item x="3"/>
        <item x="8"/>
        <item x="7"/>
        <item x="22"/>
        <item x="32"/>
        <item x="4"/>
        <item x="12"/>
        <item x="15"/>
        <item x="23"/>
        <item x="14"/>
        <item x="0"/>
        <item x="1"/>
      </items>
    </pivotField>
    <pivotField showAll="0"/>
    <pivotField showAll="0"/>
    <pivotField showAll="0"/>
    <pivotField showAll="0"/>
    <pivotField showAll="0"/>
    <pivotField showAll="0">
      <items count="17">
        <item x="13"/>
        <item x="7"/>
        <item x="2"/>
        <item x="3"/>
        <item x="11"/>
        <item x="10"/>
        <item x="8"/>
        <item x="5"/>
        <item x="1"/>
        <item x="9"/>
        <item x="6"/>
        <item x="12"/>
        <item x="0"/>
        <item x="14"/>
        <item x="4"/>
        <item x="15"/>
        <item t="default"/>
      </items>
    </pivotField>
    <pivotField dataField="1" showAll="0"/>
    <pivotField showAll="0"/>
    <pivotField showAll="0"/>
    <pivotField numFmtId="9" showAll="0"/>
    <pivotField showAll="0"/>
    <pivotField showAll="0">
      <items count="3">
        <item x="1"/>
        <item x="0"/>
        <item t="default"/>
      </items>
    </pivotField>
    <pivotField showAll="0" defaultSubtotal="0">
      <items count="1">
        <item x="0"/>
      </items>
    </pivotField>
    <pivotField showAll="0" defaultSubtotal="0">
      <items count="6">
        <item x="0"/>
        <item x="1"/>
        <item x="2"/>
        <item x="3"/>
        <item x="4"/>
        <item x="5"/>
      </items>
    </pivotField>
    <pivotField showAll="0" defaultSubtotal="0">
      <items count="19">
        <item x="0"/>
        <item x="1"/>
        <item x="2"/>
        <item x="3"/>
        <item x="4"/>
        <item x="5"/>
        <item x="6"/>
        <item x="7"/>
        <item x="8"/>
        <item x="9"/>
        <item x="10"/>
        <item x="11"/>
        <item x="12"/>
        <item x="13"/>
        <item x="14"/>
        <item x="15"/>
        <item x="16"/>
        <item x="17"/>
        <item x="18"/>
      </items>
    </pivotField>
  </pivotFields>
  <rowFields count="1">
    <field x="1"/>
  </rowFields>
  <rowItems count="6">
    <i>
      <x v="14"/>
    </i>
    <i>
      <x v="137"/>
    </i>
    <i>
      <x v="409"/>
    </i>
    <i>
      <x v="671"/>
    </i>
    <i>
      <x v="960"/>
    </i>
    <i t="grand">
      <x/>
    </i>
  </rowItems>
  <colItems count="1">
    <i/>
  </colItems>
  <dataFields count="1">
    <dataField name="Sum of view_count" fld="14"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Views by Video Typ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23">
    <pivotField showAll="0"/>
    <pivotField showAll="0"/>
    <pivotField showAll="0"/>
    <pivotField showAll="0">
      <items count="583">
        <item x="102"/>
        <item x="417"/>
        <item x="426"/>
        <item x="27"/>
        <item x="125"/>
        <item x="164"/>
        <item x="331"/>
        <item x="535"/>
        <item x="418"/>
        <item x="404"/>
        <item x="559"/>
        <item x="549"/>
        <item x="575"/>
        <item x="548"/>
        <item x="244"/>
        <item x="440"/>
        <item x="15"/>
        <item x="126"/>
        <item x="566"/>
        <item x="289"/>
        <item x="565"/>
        <item x="47"/>
        <item x="522"/>
        <item x="546"/>
        <item x="577"/>
        <item x="103"/>
        <item x="195"/>
        <item x="509"/>
        <item x="158"/>
        <item x="211"/>
        <item x="239"/>
        <item x="466"/>
        <item x="327"/>
        <item x="304"/>
        <item x="212"/>
        <item x="216"/>
        <item x="31"/>
        <item x="5"/>
        <item x="9"/>
        <item x="221"/>
        <item x="2"/>
        <item x="237"/>
        <item x="314"/>
        <item x="553"/>
        <item x="476"/>
        <item x="127"/>
        <item x="531"/>
        <item x="58"/>
        <item x="245"/>
        <item x="199"/>
        <item x="80"/>
        <item x="185"/>
        <item x="22"/>
        <item x="225"/>
        <item x="79"/>
        <item x="35"/>
        <item x="76"/>
        <item x="153"/>
        <item x="182"/>
        <item x="319"/>
        <item x="64"/>
        <item x="73"/>
        <item x="18"/>
        <item x="33"/>
        <item x="253"/>
        <item x="342"/>
        <item x="271"/>
        <item x="276"/>
        <item x="284"/>
        <item x="41"/>
        <item x="37"/>
        <item x="405"/>
        <item x="65"/>
        <item x="108"/>
        <item x="317"/>
        <item x="470"/>
        <item x="572"/>
        <item x="202"/>
        <item x="215"/>
        <item x="286"/>
        <item x="51"/>
        <item x="128"/>
        <item x="7"/>
        <item x="54"/>
        <item x="100"/>
        <item x="200"/>
        <item x="45"/>
        <item x="36"/>
        <item x="250"/>
        <item x="94"/>
        <item x="301"/>
        <item x="165"/>
        <item x="532"/>
        <item x="157"/>
        <item x="193"/>
        <item x="144"/>
        <item x="68"/>
        <item x="283"/>
        <item x="197"/>
        <item x="373"/>
        <item x="24"/>
        <item x="329"/>
        <item x="307"/>
        <item x="266"/>
        <item x="14"/>
        <item x="61"/>
        <item x="234"/>
        <item x="293"/>
        <item x="257"/>
        <item x="268"/>
        <item x="302"/>
        <item x="321"/>
        <item x="213"/>
        <item x="179"/>
        <item x="507"/>
        <item x="469"/>
        <item x="236"/>
        <item x="453"/>
        <item x="95"/>
        <item x="16"/>
        <item x="101"/>
        <item x="186"/>
        <item x="151"/>
        <item x="536"/>
        <item x="450"/>
        <item x="247"/>
        <item x="123"/>
        <item x="249"/>
        <item x="42"/>
        <item x="452"/>
        <item x="112"/>
        <item x="311"/>
        <item x="48"/>
        <item x="444"/>
        <item x="273"/>
        <item x="85"/>
        <item x="59"/>
        <item x="324"/>
        <item x="81"/>
        <item x="115"/>
        <item x="97"/>
        <item x="407"/>
        <item x="3"/>
        <item x="43"/>
        <item x="347"/>
        <item x="230"/>
        <item x="49"/>
        <item x="189"/>
        <item x="6"/>
        <item x="332"/>
        <item x="111"/>
        <item x="171"/>
        <item x="181"/>
        <item x="159"/>
        <item x="510"/>
        <item x="325"/>
        <item x="210"/>
        <item x="11"/>
        <item x="241"/>
        <item x="346"/>
        <item x="511"/>
        <item x="198"/>
        <item x="256"/>
        <item x="93"/>
        <item x="161"/>
        <item x="110"/>
        <item x="217"/>
        <item x="139"/>
        <item x="32"/>
        <item x="53"/>
        <item x="279"/>
        <item x="445"/>
        <item x="67"/>
        <item x="23"/>
        <item x="28"/>
        <item x="132"/>
        <item x="323"/>
        <item x="227"/>
        <item x="169"/>
        <item x="218"/>
        <item x="312"/>
        <item x="178"/>
        <item x="145"/>
        <item x="50"/>
        <item x="277"/>
        <item x="10"/>
        <item x="156"/>
        <item x="167"/>
        <item x="91"/>
        <item x="96"/>
        <item x="232"/>
        <item x="70"/>
        <item x="328"/>
        <item x="505"/>
        <item x="287"/>
        <item x="119"/>
        <item x="84"/>
        <item x="330"/>
        <item x="435"/>
        <item x="543"/>
        <item x="40"/>
        <item x="77"/>
        <item x="487"/>
        <item x="340"/>
        <item x="501"/>
        <item x="196"/>
        <item x="265"/>
        <item x="231"/>
        <item x="83"/>
        <item x="224"/>
        <item x="121"/>
        <item x="545"/>
        <item x="117"/>
        <item x="448"/>
        <item x="567"/>
        <item x="335"/>
        <item x="419"/>
        <item x="223"/>
        <item x="155"/>
        <item x="176"/>
        <item x="104"/>
        <item x="371"/>
        <item x="30"/>
        <item x="25"/>
        <item x="130"/>
        <item x="374"/>
        <item x="63"/>
        <item x="187"/>
        <item x="248"/>
        <item x="66"/>
        <item x="258"/>
        <item x="13"/>
        <item x="4"/>
        <item x="493"/>
        <item x="571"/>
        <item x="62"/>
        <item x="296"/>
        <item x="526"/>
        <item x="192"/>
        <item x="29"/>
        <item x="69"/>
        <item x="269"/>
        <item x="492"/>
        <item x="60"/>
        <item x="508"/>
        <item x="222"/>
        <item x="229"/>
        <item x="446"/>
        <item x="118"/>
        <item x="34"/>
        <item x="474"/>
        <item x="504"/>
        <item x="480"/>
        <item x="163"/>
        <item x="242"/>
        <item x="17"/>
        <item x="173"/>
        <item x="300"/>
        <item x="107"/>
        <item x="240"/>
        <item x="203"/>
        <item x="364"/>
        <item x="306"/>
        <item x="525"/>
        <item x="449"/>
        <item x="427"/>
        <item x="72"/>
        <item x="238"/>
        <item x="233"/>
        <item x="228"/>
        <item x="502"/>
        <item x="138"/>
        <item x="87"/>
        <item x="530"/>
        <item x="92"/>
        <item x="467"/>
        <item x="38"/>
        <item x="20"/>
        <item x="395"/>
        <item x="21"/>
        <item x="495"/>
        <item x="52"/>
        <item x="71"/>
        <item x="254"/>
        <item x="46"/>
        <item x="447"/>
        <item x="538"/>
        <item x="137"/>
        <item x="180"/>
        <item x="78"/>
        <item x="150"/>
        <item x="496"/>
        <item x="394"/>
        <item x="131"/>
        <item x="519"/>
        <item x="183"/>
        <item x="278"/>
        <item x="442"/>
        <item x="55"/>
        <item x="141"/>
        <item x="194"/>
        <item x="568"/>
        <item x="336"/>
        <item x="299"/>
        <item x="209"/>
        <item x="106"/>
        <item x="113"/>
        <item x="350"/>
        <item x="75"/>
        <item x="86"/>
        <item x="294"/>
        <item x="386"/>
        <item x="175"/>
        <item x="576"/>
        <item x="133"/>
        <item x="149"/>
        <item x="90"/>
        <item x="485"/>
        <item x="534"/>
        <item x="343"/>
        <item x="134"/>
        <item x="184"/>
        <item x="135"/>
        <item x="491"/>
        <item x="462"/>
        <item x="260"/>
        <item x="554"/>
        <item x="122"/>
        <item x="19"/>
        <item x="177"/>
        <item x="489"/>
        <item x="570"/>
        <item x="154"/>
        <item x="428"/>
        <item x="569"/>
        <item x="574"/>
        <item x="523"/>
        <item x="338"/>
        <item x="255"/>
        <item x="152"/>
        <item x="547"/>
        <item x="352"/>
        <item x="105"/>
        <item x="82"/>
        <item x="148"/>
        <item x="556"/>
        <item x="563"/>
        <item x="292"/>
        <item x="259"/>
        <item x="423"/>
        <item x="57"/>
        <item x="544"/>
        <item x="486"/>
        <item x="409"/>
        <item x="503"/>
        <item x="443"/>
        <item x="513"/>
        <item x="471"/>
        <item x="116"/>
        <item x="359"/>
        <item x="360"/>
        <item x="518"/>
        <item x="475"/>
        <item x="281"/>
        <item x="0"/>
        <item x="460"/>
        <item x="410"/>
        <item x="521"/>
        <item x="477"/>
        <item x="349"/>
        <item x="191"/>
        <item x="124"/>
        <item x="551"/>
        <item x="498"/>
        <item x="488"/>
        <item x="316"/>
        <item x="285"/>
        <item x="465"/>
        <item x="473"/>
        <item x="463"/>
        <item x="188"/>
        <item x="168"/>
        <item x="558"/>
        <item x="500"/>
        <item x="351"/>
        <item x="529"/>
        <item x="337"/>
        <item x="89"/>
        <item x="383"/>
        <item x="437"/>
        <item x="431"/>
        <item x="542"/>
        <item x="109"/>
        <item x="524"/>
        <item x="457"/>
        <item x="541"/>
        <item x="74"/>
        <item x="415"/>
        <item x="490"/>
        <item x="12"/>
        <item x="56"/>
        <item x="484"/>
        <item x="291"/>
        <item x="537"/>
        <item x="263"/>
        <item x="451"/>
        <item x="377"/>
        <item x="461"/>
        <item x="564"/>
        <item x="208"/>
        <item x="88"/>
        <item x="372"/>
        <item x="264"/>
        <item x="398"/>
        <item x="421"/>
        <item x="99"/>
        <item x="146"/>
        <item x="142"/>
        <item x="318"/>
        <item x="520"/>
        <item x="39"/>
        <item x="562"/>
        <item x="512"/>
        <item x="573"/>
        <item x="411"/>
        <item x="140"/>
        <item x="288"/>
        <item x="527"/>
        <item x="432"/>
        <item x="458"/>
        <item x="206"/>
        <item x="261"/>
        <item x="483"/>
        <item x="226"/>
        <item x="552"/>
        <item x="455"/>
        <item x="528"/>
        <item x="517"/>
        <item x="482"/>
        <item x="539"/>
        <item x="358"/>
        <item x="550"/>
        <item x="375"/>
        <item x="516"/>
        <item x="499"/>
        <item x="114"/>
        <item x="143"/>
        <item x="506"/>
        <item x="315"/>
        <item x="438"/>
        <item x="290"/>
        <item x="560"/>
        <item x="380"/>
        <item x="44"/>
        <item x="344"/>
        <item x="334"/>
        <item x="367"/>
        <item x="514"/>
        <item x="172"/>
        <item x="368"/>
        <item x="420"/>
        <item x="129"/>
        <item x="362"/>
        <item x="494"/>
        <item x="533"/>
        <item x="425"/>
        <item x="389"/>
        <item x="355"/>
        <item x="459"/>
        <item x="555"/>
        <item x="166"/>
        <item x="297"/>
        <item x="561"/>
        <item x="356"/>
        <item x="557"/>
        <item x="402"/>
        <item x="515"/>
        <item x="170"/>
        <item x="345"/>
        <item x="348"/>
        <item x="162"/>
        <item x="305"/>
        <item x="251"/>
        <item x="309"/>
        <item x="430"/>
        <item x="479"/>
        <item x="439"/>
        <item x="246"/>
        <item x="441"/>
        <item x="280"/>
        <item x="308"/>
        <item x="274"/>
        <item x="333"/>
        <item x="353"/>
        <item x="379"/>
        <item x="204"/>
        <item x="219"/>
        <item x="393"/>
        <item x="282"/>
        <item x="454"/>
        <item x="392"/>
        <item x="201"/>
        <item x="497"/>
        <item x="326"/>
        <item x="26"/>
        <item x="391"/>
        <item x="384"/>
        <item x="252"/>
        <item x="295"/>
        <item x="478"/>
        <item x="456"/>
        <item x="363"/>
        <item x="385"/>
        <item x="190"/>
        <item x="322"/>
        <item x="235"/>
        <item x="147"/>
        <item x="341"/>
        <item x="214"/>
        <item x="397"/>
        <item x="243"/>
        <item x="422"/>
        <item x="416"/>
        <item x="320"/>
        <item x="275"/>
        <item x="390"/>
        <item x="1"/>
        <item x="267"/>
        <item x="357"/>
        <item x="412"/>
        <item x="160"/>
        <item x="366"/>
        <item x="399"/>
        <item x="313"/>
        <item x="220"/>
        <item x="8"/>
        <item x="408"/>
        <item x="381"/>
        <item x="434"/>
        <item x="468"/>
        <item x="433"/>
        <item x="579"/>
        <item x="298"/>
        <item x="540"/>
        <item x="581"/>
        <item x="310"/>
        <item x="413"/>
        <item x="270"/>
        <item x="369"/>
        <item x="403"/>
        <item x="481"/>
        <item x="580"/>
        <item x="472"/>
        <item x="272"/>
        <item x="464"/>
        <item x="365"/>
        <item x="424"/>
        <item x="388"/>
        <item x="414"/>
        <item x="578"/>
        <item x="378"/>
        <item x="406"/>
        <item x="401"/>
        <item x="376"/>
        <item x="429"/>
        <item x="400"/>
        <item x="436"/>
        <item x="382"/>
        <item x="387"/>
        <item x="396"/>
        <item x="262"/>
        <item x="120"/>
        <item x="174"/>
        <item x="361"/>
        <item x="354"/>
        <item x="339"/>
        <item x="205"/>
        <item x="370"/>
        <item x="98"/>
        <item x="136"/>
        <item x="207"/>
        <item x="303"/>
        <item t="default"/>
      </items>
    </pivotField>
    <pivotField numFmtId="14"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55">
        <item x="30"/>
        <item x="48"/>
        <item x="50"/>
        <item x="17"/>
        <item x="33"/>
        <item x="36"/>
        <item x="45"/>
        <item x="49"/>
        <item x="46"/>
        <item x="53"/>
        <item x="52"/>
        <item x="41"/>
        <item x="10"/>
        <item x="34"/>
        <item x="43"/>
        <item x="54"/>
        <item x="24"/>
        <item x="51"/>
        <item x="31"/>
        <item x="39"/>
        <item x="40"/>
        <item x="18"/>
        <item x="5"/>
        <item x="2"/>
        <item x="44"/>
        <item x="35"/>
        <item x="27"/>
        <item x="38"/>
        <item x="16"/>
        <item x="20"/>
        <item x="13"/>
        <item x="19"/>
        <item x="42"/>
        <item x="21"/>
        <item x="47"/>
        <item x="28"/>
        <item x="26"/>
        <item x="6"/>
        <item x="29"/>
        <item x="9"/>
        <item x="37"/>
        <item x="11"/>
        <item x="25"/>
        <item x="3"/>
        <item x="8"/>
        <item x="7"/>
        <item x="22"/>
        <item x="32"/>
        <item x="4"/>
        <item x="12"/>
        <item x="15"/>
        <item x="23"/>
        <item x="14"/>
        <item x="0"/>
        <item x="1"/>
      </items>
    </pivotField>
    <pivotField showAll="0"/>
    <pivotField showAll="0"/>
    <pivotField showAll="0"/>
    <pivotField showAll="0"/>
    <pivotField showAll="0"/>
    <pivotField showAll="0"/>
    <pivotField dataField="1" showAll="0"/>
    <pivotField showAll="0"/>
    <pivotField showAll="0"/>
    <pivotField numFmtId="9" showAll="0"/>
    <pivotField showAll="0"/>
    <pivotField axis="axisRow" showAll="0">
      <items count="3">
        <item x="1"/>
        <item x="0"/>
        <item t="default"/>
      </items>
    </pivotField>
    <pivotField showAll="0" defaultSubtotal="0">
      <items count="1">
        <item x="0"/>
      </items>
    </pivotField>
    <pivotField showAll="0" defaultSubtotal="0">
      <items count="6">
        <item x="0"/>
        <item x="1"/>
        <item x="2"/>
        <item x="3"/>
        <item x="4"/>
        <item x="5"/>
      </items>
    </pivotField>
    <pivotField showAll="0" defaultSubtotal="0">
      <items count="19">
        <item x="0"/>
        <item x="1"/>
        <item x="2"/>
        <item x="3"/>
        <item x="4"/>
        <item x="5"/>
        <item x="6"/>
        <item x="7"/>
        <item x="8"/>
        <item x="9"/>
        <item x="10"/>
        <item x="11"/>
        <item x="12"/>
        <item x="13"/>
        <item x="14"/>
        <item x="15"/>
        <item x="16"/>
        <item x="17"/>
        <item x="18"/>
      </items>
    </pivotField>
  </pivotFields>
  <rowFields count="1">
    <field x="19"/>
  </rowFields>
  <rowItems count="3">
    <i>
      <x/>
    </i>
    <i>
      <x v="1"/>
    </i>
    <i t="grand">
      <x/>
    </i>
  </rowItems>
  <colItems count="1">
    <i/>
  </colItems>
  <dataFields count="1">
    <dataField name="Sum of view_count" fld="14" baseField="0" baseItem="0" numFmtId="1"/>
  </dataFields>
  <formats count="1">
    <format dxfId="0">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verage Video Duration by Typ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0:B43" firstHeaderRow="1" firstDataRow="1" firstDataCol="1"/>
  <pivotFields count="23">
    <pivotField showAll="0"/>
    <pivotField showAll="0"/>
    <pivotField showAll="0"/>
    <pivotField showAll="0">
      <items count="583">
        <item x="102"/>
        <item x="417"/>
        <item x="426"/>
        <item x="27"/>
        <item x="125"/>
        <item x="164"/>
        <item x="331"/>
        <item x="535"/>
        <item x="418"/>
        <item x="404"/>
        <item x="559"/>
        <item x="549"/>
        <item x="575"/>
        <item x="548"/>
        <item x="244"/>
        <item x="440"/>
        <item x="15"/>
        <item x="126"/>
        <item x="566"/>
        <item x="289"/>
        <item x="565"/>
        <item x="47"/>
        <item x="522"/>
        <item x="546"/>
        <item x="577"/>
        <item x="103"/>
        <item x="195"/>
        <item x="509"/>
        <item x="158"/>
        <item x="211"/>
        <item x="239"/>
        <item x="466"/>
        <item x="327"/>
        <item x="304"/>
        <item x="212"/>
        <item x="216"/>
        <item x="31"/>
        <item x="5"/>
        <item x="9"/>
        <item x="221"/>
        <item x="2"/>
        <item x="237"/>
        <item x="314"/>
        <item x="553"/>
        <item x="476"/>
        <item x="127"/>
        <item x="531"/>
        <item x="58"/>
        <item x="245"/>
        <item x="199"/>
        <item x="80"/>
        <item x="185"/>
        <item x="22"/>
        <item x="225"/>
        <item x="79"/>
        <item x="35"/>
        <item x="76"/>
        <item x="153"/>
        <item x="182"/>
        <item x="319"/>
        <item x="64"/>
        <item x="73"/>
        <item x="18"/>
        <item x="33"/>
        <item x="253"/>
        <item x="342"/>
        <item x="271"/>
        <item x="276"/>
        <item x="284"/>
        <item x="41"/>
        <item x="37"/>
        <item x="405"/>
        <item x="65"/>
        <item x="108"/>
        <item x="317"/>
        <item x="470"/>
        <item x="572"/>
        <item x="202"/>
        <item x="215"/>
        <item x="286"/>
        <item x="51"/>
        <item x="128"/>
        <item x="7"/>
        <item x="54"/>
        <item x="100"/>
        <item x="200"/>
        <item x="45"/>
        <item x="36"/>
        <item x="250"/>
        <item x="94"/>
        <item x="301"/>
        <item x="165"/>
        <item x="532"/>
        <item x="157"/>
        <item x="193"/>
        <item x="144"/>
        <item x="68"/>
        <item x="283"/>
        <item x="197"/>
        <item x="373"/>
        <item x="24"/>
        <item x="329"/>
        <item x="307"/>
        <item x="266"/>
        <item x="14"/>
        <item x="61"/>
        <item x="234"/>
        <item x="293"/>
        <item x="257"/>
        <item x="268"/>
        <item x="302"/>
        <item x="321"/>
        <item x="213"/>
        <item x="179"/>
        <item x="507"/>
        <item x="469"/>
        <item x="236"/>
        <item x="453"/>
        <item x="95"/>
        <item x="16"/>
        <item x="101"/>
        <item x="186"/>
        <item x="151"/>
        <item x="536"/>
        <item x="450"/>
        <item x="247"/>
        <item x="123"/>
        <item x="249"/>
        <item x="42"/>
        <item x="452"/>
        <item x="112"/>
        <item x="311"/>
        <item x="48"/>
        <item x="444"/>
        <item x="273"/>
        <item x="85"/>
        <item x="59"/>
        <item x="324"/>
        <item x="81"/>
        <item x="115"/>
        <item x="97"/>
        <item x="407"/>
        <item x="3"/>
        <item x="43"/>
        <item x="347"/>
        <item x="230"/>
        <item x="49"/>
        <item x="189"/>
        <item x="6"/>
        <item x="332"/>
        <item x="111"/>
        <item x="171"/>
        <item x="181"/>
        <item x="159"/>
        <item x="510"/>
        <item x="325"/>
        <item x="210"/>
        <item x="11"/>
        <item x="241"/>
        <item x="346"/>
        <item x="511"/>
        <item x="198"/>
        <item x="256"/>
        <item x="93"/>
        <item x="161"/>
        <item x="110"/>
        <item x="217"/>
        <item x="139"/>
        <item x="32"/>
        <item x="53"/>
        <item x="279"/>
        <item x="445"/>
        <item x="67"/>
        <item x="23"/>
        <item x="28"/>
        <item x="132"/>
        <item x="323"/>
        <item x="227"/>
        <item x="169"/>
        <item x="218"/>
        <item x="312"/>
        <item x="178"/>
        <item x="145"/>
        <item x="50"/>
        <item x="277"/>
        <item x="10"/>
        <item x="156"/>
        <item x="167"/>
        <item x="91"/>
        <item x="96"/>
        <item x="232"/>
        <item x="70"/>
        <item x="328"/>
        <item x="505"/>
        <item x="287"/>
        <item x="119"/>
        <item x="84"/>
        <item x="330"/>
        <item x="435"/>
        <item x="543"/>
        <item x="40"/>
        <item x="77"/>
        <item x="487"/>
        <item x="340"/>
        <item x="501"/>
        <item x="196"/>
        <item x="265"/>
        <item x="231"/>
        <item x="83"/>
        <item x="224"/>
        <item x="121"/>
        <item x="545"/>
        <item x="117"/>
        <item x="448"/>
        <item x="567"/>
        <item x="335"/>
        <item x="419"/>
        <item x="223"/>
        <item x="155"/>
        <item x="176"/>
        <item x="104"/>
        <item x="371"/>
        <item x="30"/>
        <item x="25"/>
        <item x="130"/>
        <item x="374"/>
        <item x="63"/>
        <item x="187"/>
        <item x="248"/>
        <item x="66"/>
        <item x="258"/>
        <item x="13"/>
        <item x="4"/>
        <item x="493"/>
        <item x="571"/>
        <item x="62"/>
        <item x="296"/>
        <item x="526"/>
        <item x="192"/>
        <item x="29"/>
        <item x="69"/>
        <item x="269"/>
        <item x="492"/>
        <item x="60"/>
        <item x="508"/>
        <item x="222"/>
        <item x="229"/>
        <item x="446"/>
        <item x="118"/>
        <item x="34"/>
        <item x="474"/>
        <item x="504"/>
        <item x="480"/>
        <item x="163"/>
        <item x="242"/>
        <item x="17"/>
        <item x="173"/>
        <item x="300"/>
        <item x="107"/>
        <item x="240"/>
        <item x="203"/>
        <item x="364"/>
        <item x="306"/>
        <item x="525"/>
        <item x="449"/>
        <item x="427"/>
        <item x="72"/>
        <item x="238"/>
        <item x="233"/>
        <item x="228"/>
        <item x="502"/>
        <item x="138"/>
        <item x="87"/>
        <item x="530"/>
        <item x="92"/>
        <item x="467"/>
        <item x="38"/>
        <item x="20"/>
        <item x="395"/>
        <item x="21"/>
        <item x="495"/>
        <item x="52"/>
        <item x="71"/>
        <item x="254"/>
        <item x="46"/>
        <item x="447"/>
        <item x="538"/>
        <item x="137"/>
        <item x="180"/>
        <item x="78"/>
        <item x="150"/>
        <item x="496"/>
        <item x="394"/>
        <item x="131"/>
        <item x="519"/>
        <item x="183"/>
        <item x="278"/>
        <item x="442"/>
        <item x="55"/>
        <item x="141"/>
        <item x="194"/>
        <item x="568"/>
        <item x="336"/>
        <item x="299"/>
        <item x="209"/>
        <item x="106"/>
        <item x="113"/>
        <item x="350"/>
        <item x="75"/>
        <item x="86"/>
        <item x="294"/>
        <item x="386"/>
        <item x="175"/>
        <item x="576"/>
        <item x="133"/>
        <item x="149"/>
        <item x="90"/>
        <item x="485"/>
        <item x="534"/>
        <item x="343"/>
        <item x="134"/>
        <item x="184"/>
        <item x="135"/>
        <item x="491"/>
        <item x="462"/>
        <item x="260"/>
        <item x="554"/>
        <item x="122"/>
        <item x="19"/>
        <item x="177"/>
        <item x="489"/>
        <item x="570"/>
        <item x="154"/>
        <item x="428"/>
        <item x="569"/>
        <item x="574"/>
        <item x="523"/>
        <item x="338"/>
        <item x="255"/>
        <item x="152"/>
        <item x="547"/>
        <item x="352"/>
        <item x="105"/>
        <item x="82"/>
        <item x="148"/>
        <item x="556"/>
        <item x="563"/>
        <item x="292"/>
        <item x="259"/>
        <item x="423"/>
        <item x="57"/>
        <item x="544"/>
        <item x="486"/>
        <item x="409"/>
        <item x="503"/>
        <item x="443"/>
        <item x="513"/>
        <item x="471"/>
        <item x="116"/>
        <item x="359"/>
        <item x="360"/>
        <item x="518"/>
        <item x="475"/>
        <item x="281"/>
        <item x="0"/>
        <item x="460"/>
        <item x="410"/>
        <item x="521"/>
        <item x="477"/>
        <item x="349"/>
        <item x="191"/>
        <item x="124"/>
        <item x="551"/>
        <item x="498"/>
        <item x="488"/>
        <item x="316"/>
        <item x="285"/>
        <item x="465"/>
        <item x="473"/>
        <item x="463"/>
        <item x="188"/>
        <item x="168"/>
        <item x="558"/>
        <item x="500"/>
        <item x="351"/>
        <item x="529"/>
        <item x="337"/>
        <item x="89"/>
        <item x="383"/>
        <item x="437"/>
        <item x="431"/>
        <item x="542"/>
        <item x="109"/>
        <item x="524"/>
        <item x="457"/>
        <item x="541"/>
        <item x="74"/>
        <item x="415"/>
        <item x="490"/>
        <item x="12"/>
        <item x="56"/>
        <item x="484"/>
        <item x="291"/>
        <item x="537"/>
        <item x="263"/>
        <item x="451"/>
        <item x="377"/>
        <item x="461"/>
        <item x="564"/>
        <item x="208"/>
        <item x="88"/>
        <item x="372"/>
        <item x="264"/>
        <item x="398"/>
        <item x="421"/>
        <item x="99"/>
        <item x="146"/>
        <item x="142"/>
        <item x="318"/>
        <item x="520"/>
        <item x="39"/>
        <item x="562"/>
        <item x="512"/>
        <item x="573"/>
        <item x="411"/>
        <item x="140"/>
        <item x="288"/>
        <item x="527"/>
        <item x="432"/>
        <item x="458"/>
        <item x="206"/>
        <item x="261"/>
        <item x="483"/>
        <item x="226"/>
        <item x="552"/>
        <item x="455"/>
        <item x="528"/>
        <item x="517"/>
        <item x="482"/>
        <item x="539"/>
        <item x="358"/>
        <item x="550"/>
        <item x="375"/>
        <item x="516"/>
        <item x="499"/>
        <item x="114"/>
        <item x="143"/>
        <item x="506"/>
        <item x="315"/>
        <item x="438"/>
        <item x="290"/>
        <item x="560"/>
        <item x="380"/>
        <item x="44"/>
        <item x="344"/>
        <item x="334"/>
        <item x="367"/>
        <item x="514"/>
        <item x="172"/>
        <item x="368"/>
        <item x="420"/>
        <item x="129"/>
        <item x="362"/>
        <item x="494"/>
        <item x="533"/>
        <item x="425"/>
        <item x="389"/>
        <item x="355"/>
        <item x="459"/>
        <item x="555"/>
        <item x="166"/>
        <item x="297"/>
        <item x="561"/>
        <item x="356"/>
        <item x="557"/>
        <item x="402"/>
        <item x="515"/>
        <item x="170"/>
        <item x="345"/>
        <item x="348"/>
        <item x="162"/>
        <item x="305"/>
        <item x="251"/>
        <item x="309"/>
        <item x="430"/>
        <item x="479"/>
        <item x="439"/>
        <item x="246"/>
        <item x="441"/>
        <item x="280"/>
        <item x="308"/>
        <item x="274"/>
        <item x="333"/>
        <item x="353"/>
        <item x="379"/>
        <item x="204"/>
        <item x="219"/>
        <item x="393"/>
        <item x="282"/>
        <item x="454"/>
        <item x="392"/>
        <item x="201"/>
        <item x="497"/>
        <item x="326"/>
        <item x="26"/>
        <item x="391"/>
        <item x="384"/>
        <item x="252"/>
        <item x="295"/>
        <item x="478"/>
        <item x="456"/>
        <item x="363"/>
        <item x="385"/>
        <item x="190"/>
        <item x="322"/>
        <item x="235"/>
        <item x="147"/>
        <item x="341"/>
        <item x="214"/>
        <item x="397"/>
        <item x="243"/>
        <item x="422"/>
        <item x="416"/>
        <item x="320"/>
        <item x="275"/>
        <item x="390"/>
        <item x="1"/>
        <item x="267"/>
        <item x="357"/>
        <item x="412"/>
        <item x="160"/>
        <item x="366"/>
        <item x="399"/>
        <item x="313"/>
        <item x="220"/>
        <item x="8"/>
        <item x="408"/>
        <item x="381"/>
        <item x="434"/>
        <item x="468"/>
        <item x="433"/>
        <item x="579"/>
        <item x="298"/>
        <item x="540"/>
        <item x="581"/>
        <item x="310"/>
        <item x="413"/>
        <item x="270"/>
        <item x="369"/>
        <item x="403"/>
        <item x="481"/>
        <item x="580"/>
        <item x="472"/>
        <item x="272"/>
        <item x="464"/>
        <item x="365"/>
        <item x="424"/>
        <item x="388"/>
        <item x="414"/>
        <item x="578"/>
        <item x="378"/>
        <item x="406"/>
        <item x="401"/>
        <item x="376"/>
        <item x="429"/>
        <item x="400"/>
        <item x="436"/>
        <item x="382"/>
        <item x="387"/>
        <item x="396"/>
        <item x="262"/>
        <item x="120"/>
        <item x="174"/>
        <item x="361"/>
        <item x="354"/>
        <item x="339"/>
        <item x="205"/>
        <item x="370"/>
        <item x="98"/>
        <item x="136"/>
        <item x="207"/>
        <item x="303"/>
        <item t="default"/>
      </items>
    </pivotField>
    <pivotField numFmtId="14" showAll="0">
      <items count="15">
        <item x="0"/>
        <item x="1"/>
        <item x="2"/>
        <item x="3"/>
        <item x="4"/>
        <item x="5"/>
        <item x="6"/>
        <item x="7"/>
        <item x="8"/>
        <item x="9"/>
        <item x="10"/>
        <item x="11"/>
        <item x="12"/>
        <item x="13"/>
        <item t="default"/>
      </items>
    </pivotField>
    <pivotField showAll="0" defaultSubtotal="0"/>
    <pivotField showAll="0" defaultSubtotal="0"/>
    <pivotField showAll="0" defaultSubtotal="0">
      <items count="55">
        <item x="30"/>
        <item x="48"/>
        <item x="50"/>
        <item x="17"/>
        <item x="33"/>
        <item x="36"/>
        <item x="45"/>
        <item x="49"/>
        <item x="46"/>
        <item x="53"/>
        <item x="52"/>
        <item x="41"/>
        <item x="10"/>
        <item x="34"/>
        <item x="43"/>
        <item x="54"/>
        <item x="24"/>
        <item x="51"/>
        <item x="31"/>
        <item x="39"/>
        <item x="40"/>
        <item x="18"/>
        <item x="5"/>
        <item x="2"/>
        <item x="44"/>
        <item x="35"/>
        <item x="27"/>
        <item x="38"/>
        <item x="16"/>
        <item x="20"/>
        <item x="13"/>
        <item x="19"/>
        <item x="42"/>
        <item x="21"/>
        <item x="47"/>
        <item x="28"/>
        <item x="26"/>
        <item x="6"/>
        <item x="29"/>
        <item x="9"/>
        <item x="37"/>
        <item x="11"/>
        <item x="25"/>
        <item x="3"/>
        <item x="8"/>
        <item x="7"/>
        <item x="22"/>
        <item x="32"/>
        <item x="4"/>
        <item x="12"/>
        <item x="15"/>
        <item x="23"/>
        <item x="14"/>
        <item x="0"/>
        <item x="1"/>
      </items>
    </pivotField>
    <pivotField showAll="0"/>
    <pivotField showAll="0"/>
    <pivotField showAll="0"/>
    <pivotField showAll="0"/>
    <pivotField showAll="0"/>
    <pivotField showAll="0">
      <items count="17">
        <item x="13"/>
        <item x="7"/>
        <item x="2"/>
        <item x="3"/>
        <item x="11"/>
        <item x="10"/>
        <item x="8"/>
        <item x="5"/>
        <item x="1"/>
        <item x="9"/>
        <item x="6"/>
        <item x="12"/>
        <item x="0"/>
        <item x="14"/>
        <item x="4"/>
        <item x="15"/>
        <item t="default"/>
      </items>
    </pivotField>
    <pivotField showAll="0"/>
    <pivotField showAll="0"/>
    <pivotField showAll="0"/>
    <pivotField numFmtId="9" showAll="0"/>
    <pivotField dataField="1" showAll="0"/>
    <pivotField axis="axisRow" showAll="0">
      <items count="3">
        <item x="1"/>
        <item x="0"/>
        <item t="default"/>
      </items>
    </pivotField>
    <pivotField showAll="0" defaultSubtotal="0">
      <items count="1">
        <item x="0"/>
      </items>
    </pivotField>
    <pivotField showAll="0" defaultSubtotal="0">
      <items count="6">
        <item x="0"/>
        <item x="1"/>
        <item x="2"/>
        <item x="3"/>
        <item x="4"/>
        <item x="5"/>
      </items>
    </pivotField>
    <pivotField showAll="0" defaultSubtotal="0">
      <items count="19">
        <item x="0"/>
        <item x="1"/>
        <item x="2"/>
        <item x="3"/>
        <item x="4"/>
        <item x="5"/>
        <item x="6"/>
        <item x="7"/>
        <item x="8"/>
        <item x="9"/>
        <item x="10"/>
        <item x="11"/>
        <item x="12"/>
        <item x="13"/>
        <item x="14"/>
        <item x="15"/>
        <item x="16"/>
        <item x="17"/>
        <item x="18"/>
      </items>
    </pivotField>
  </pivotFields>
  <rowFields count="1">
    <field x="19"/>
  </rowFields>
  <rowItems count="3">
    <i>
      <x/>
    </i>
    <i>
      <x v="1"/>
    </i>
    <i t="grand">
      <x/>
    </i>
  </rowItems>
  <colItems count="1">
    <i/>
  </colItems>
  <dataFields count="1">
    <dataField name="Average of duration_seconds" fld="18" subtotal="average" baseField="16" baseItem="0"/>
  </dataFields>
  <chartFormats count="2">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Monthly Trend of Videos Publishe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85:B141" firstHeaderRow="1" firstDataRow="1" firstDataCol="1"/>
  <pivotFields count="23">
    <pivotField showAll="0"/>
    <pivotField showAll="0"/>
    <pivotField showAll="0"/>
    <pivotField showAll="0">
      <items count="583">
        <item x="102"/>
        <item x="417"/>
        <item x="426"/>
        <item x="27"/>
        <item x="125"/>
        <item x="164"/>
        <item x="331"/>
        <item x="535"/>
        <item x="418"/>
        <item x="404"/>
        <item x="559"/>
        <item x="549"/>
        <item x="575"/>
        <item x="548"/>
        <item x="244"/>
        <item x="440"/>
        <item x="15"/>
        <item x="126"/>
        <item x="566"/>
        <item x="289"/>
        <item x="565"/>
        <item x="47"/>
        <item x="522"/>
        <item x="546"/>
        <item x="577"/>
        <item x="103"/>
        <item x="195"/>
        <item x="509"/>
        <item x="158"/>
        <item x="211"/>
        <item x="239"/>
        <item x="466"/>
        <item x="327"/>
        <item x="304"/>
        <item x="212"/>
        <item x="216"/>
        <item x="31"/>
        <item x="5"/>
        <item x="9"/>
        <item x="221"/>
        <item x="2"/>
        <item x="237"/>
        <item x="314"/>
        <item x="553"/>
        <item x="476"/>
        <item x="127"/>
        <item x="531"/>
        <item x="58"/>
        <item x="245"/>
        <item x="199"/>
        <item x="80"/>
        <item x="185"/>
        <item x="22"/>
        <item x="225"/>
        <item x="79"/>
        <item x="35"/>
        <item x="76"/>
        <item x="153"/>
        <item x="182"/>
        <item x="319"/>
        <item x="64"/>
        <item x="73"/>
        <item x="18"/>
        <item x="33"/>
        <item x="253"/>
        <item x="342"/>
        <item x="271"/>
        <item x="276"/>
        <item x="284"/>
        <item x="41"/>
        <item x="37"/>
        <item x="405"/>
        <item x="65"/>
        <item x="108"/>
        <item x="317"/>
        <item x="470"/>
        <item x="572"/>
        <item x="202"/>
        <item x="215"/>
        <item x="286"/>
        <item x="51"/>
        <item x="128"/>
        <item x="7"/>
        <item x="54"/>
        <item x="100"/>
        <item x="200"/>
        <item x="45"/>
        <item x="36"/>
        <item x="250"/>
        <item x="94"/>
        <item x="301"/>
        <item x="165"/>
        <item x="532"/>
        <item x="157"/>
        <item x="193"/>
        <item x="144"/>
        <item x="68"/>
        <item x="283"/>
        <item x="197"/>
        <item x="373"/>
        <item x="24"/>
        <item x="329"/>
        <item x="307"/>
        <item x="266"/>
        <item x="14"/>
        <item x="61"/>
        <item x="234"/>
        <item x="293"/>
        <item x="257"/>
        <item x="268"/>
        <item x="302"/>
        <item x="321"/>
        <item x="213"/>
        <item x="179"/>
        <item x="507"/>
        <item x="469"/>
        <item x="236"/>
        <item x="453"/>
        <item x="95"/>
        <item x="16"/>
        <item x="101"/>
        <item x="186"/>
        <item x="151"/>
        <item x="536"/>
        <item x="450"/>
        <item x="247"/>
        <item x="123"/>
        <item x="249"/>
        <item x="42"/>
        <item x="452"/>
        <item x="112"/>
        <item x="311"/>
        <item x="48"/>
        <item x="444"/>
        <item x="273"/>
        <item x="85"/>
        <item x="59"/>
        <item x="324"/>
        <item x="81"/>
        <item x="115"/>
        <item x="97"/>
        <item x="407"/>
        <item x="3"/>
        <item x="43"/>
        <item x="347"/>
        <item x="230"/>
        <item x="49"/>
        <item x="189"/>
        <item x="6"/>
        <item x="332"/>
        <item x="111"/>
        <item x="171"/>
        <item x="181"/>
        <item x="159"/>
        <item x="510"/>
        <item x="325"/>
        <item x="210"/>
        <item x="11"/>
        <item x="241"/>
        <item x="346"/>
        <item x="511"/>
        <item x="198"/>
        <item x="256"/>
        <item x="93"/>
        <item x="161"/>
        <item x="110"/>
        <item x="217"/>
        <item x="139"/>
        <item x="32"/>
        <item x="53"/>
        <item x="279"/>
        <item x="445"/>
        <item x="67"/>
        <item x="23"/>
        <item x="28"/>
        <item x="132"/>
        <item x="323"/>
        <item x="227"/>
        <item x="169"/>
        <item x="218"/>
        <item x="312"/>
        <item x="178"/>
        <item x="145"/>
        <item x="50"/>
        <item x="277"/>
        <item x="10"/>
        <item x="156"/>
        <item x="167"/>
        <item x="91"/>
        <item x="96"/>
        <item x="232"/>
        <item x="70"/>
        <item x="328"/>
        <item x="505"/>
        <item x="287"/>
        <item x="119"/>
        <item x="84"/>
        <item x="330"/>
        <item x="435"/>
        <item x="543"/>
        <item x="40"/>
        <item x="77"/>
        <item x="487"/>
        <item x="340"/>
        <item x="501"/>
        <item x="196"/>
        <item x="265"/>
        <item x="231"/>
        <item x="83"/>
        <item x="224"/>
        <item x="121"/>
        <item x="545"/>
        <item x="117"/>
        <item x="448"/>
        <item x="567"/>
        <item x="335"/>
        <item x="419"/>
        <item x="223"/>
        <item x="155"/>
        <item x="176"/>
        <item x="104"/>
        <item x="371"/>
        <item x="30"/>
        <item x="25"/>
        <item x="130"/>
        <item x="374"/>
        <item x="63"/>
        <item x="187"/>
        <item x="248"/>
        <item x="66"/>
        <item x="258"/>
        <item x="13"/>
        <item x="4"/>
        <item x="493"/>
        <item x="571"/>
        <item x="62"/>
        <item x="296"/>
        <item x="526"/>
        <item x="192"/>
        <item x="29"/>
        <item x="69"/>
        <item x="269"/>
        <item x="492"/>
        <item x="60"/>
        <item x="508"/>
        <item x="222"/>
        <item x="229"/>
        <item x="446"/>
        <item x="118"/>
        <item x="34"/>
        <item x="474"/>
        <item x="504"/>
        <item x="480"/>
        <item x="163"/>
        <item x="242"/>
        <item x="17"/>
        <item x="173"/>
        <item x="300"/>
        <item x="107"/>
        <item x="240"/>
        <item x="203"/>
        <item x="364"/>
        <item x="306"/>
        <item x="525"/>
        <item x="449"/>
        <item x="427"/>
        <item x="72"/>
        <item x="238"/>
        <item x="233"/>
        <item x="228"/>
        <item x="502"/>
        <item x="138"/>
        <item x="87"/>
        <item x="530"/>
        <item x="92"/>
        <item x="467"/>
        <item x="38"/>
        <item x="20"/>
        <item x="395"/>
        <item x="21"/>
        <item x="495"/>
        <item x="52"/>
        <item x="71"/>
        <item x="254"/>
        <item x="46"/>
        <item x="447"/>
        <item x="538"/>
        <item x="137"/>
        <item x="180"/>
        <item x="78"/>
        <item x="150"/>
        <item x="496"/>
        <item x="394"/>
        <item x="131"/>
        <item x="519"/>
        <item x="183"/>
        <item x="278"/>
        <item x="442"/>
        <item x="55"/>
        <item x="141"/>
        <item x="194"/>
        <item x="568"/>
        <item x="336"/>
        <item x="299"/>
        <item x="209"/>
        <item x="106"/>
        <item x="113"/>
        <item x="350"/>
        <item x="75"/>
        <item x="86"/>
        <item x="294"/>
        <item x="386"/>
        <item x="175"/>
        <item x="576"/>
        <item x="133"/>
        <item x="149"/>
        <item x="90"/>
        <item x="485"/>
        <item x="534"/>
        <item x="343"/>
        <item x="134"/>
        <item x="184"/>
        <item x="135"/>
        <item x="491"/>
        <item x="462"/>
        <item x="260"/>
        <item x="554"/>
        <item x="122"/>
        <item x="19"/>
        <item x="177"/>
        <item x="489"/>
        <item x="570"/>
        <item x="154"/>
        <item x="428"/>
        <item x="569"/>
        <item x="574"/>
        <item x="523"/>
        <item x="338"/>
        <item x="255"/>
        <item x="152"/>
        <item x="547"/>
        <item x="352"/>
        <item x="105"/>
        <item x="82"/>
        <item x="148"/>
        <item x="556"/>
        <item x="563"/>
        <item x="292"/>
        <item x="259"/>
        <item x="423"/>
        <item x="57"/>
        <item x="544"/>
        <item x="486"/>
        <item x="409"/>
        <item x="503"/>
        <item x="443"/>
        <item x="513"/>
        <item x="471"/>
        <item x="116"/>
        <item x="359"/>
        <item x="360"/>
        <item x="518"/>
        <item x="475"/>
        <item x="281"/>
        <item x="0"/>
        <item x="460"/>
        <item x="410"/>
        <item x="521"/>
        <item x="477"/>
        <item x="349"/>
        <item x="191"/>
        <item x="124"/>
        <item x="551"/>
        <item x="498"/>
        <item x="488"/>
        <item x="316"/>
        <item x="285"/>
        <item x="465"/>
        <item x="473"/>
        <item x="463"/>
        <item x="188"/>
        <item x="168"/>
        <item x="558"/>
        <item x="500"/>
        <item x="351"/>
        <item x="529"/>
        <item x="337"/>
        <item x="89"/>
        <item x="383"/>
        <item x="437"/>
        <item x="431"/>
        <item x="542"/>
        <item x="109"/>
        <item x="524"/>
        <item x="457"/>
        <item x="541"/>
        <item x="74"/>
        <item x="415"/>
        <item x="490"/>
        <item x="12"/>
        <item x="56"/>
        <item x="484"/>
        <item x="291"/>
        <item x="537"/>
        <item x="263"/>
        <item x="451"/>
        <item x="377"/>
        <item x="461"/>
        <item x="564"/>
        <item x="208"/>
        <item x="88"/>
        <item x="372"/>
        <item x="264"/>
        <item x="398"/>
        <item x="421"/>
        <item x="99"/>
        <item x="146"/>
        <item x="142"/>
        <item x="318"/>
        <item x="520"/>
        <item x="39"/>
        <item x="562"/>
        <item x="512"/>
        <item x="573"/>
        <item x="411"/>
        <item x="140"/>
        <item x="288"/>
        <item x="527"/>
        <item x="432"/>
        <item x="458"/>
        <item x="206"/>
        <item x="261"/>
        <item x="483"/>
        <item x="226"/>
        <item x="552"/>
        <item x="455"/>
        <item x="528"/>
        <item x="517"/>
        <item x="482"/>
        <item x="539"/>
        <item x="358"/>
        <item x="550"/>
        <item x="375"/>
        <item x="516"/>
        <item x="499"/>
        <item x="114"/>
        <item x="143"/>
        <item x="506"/>
        <item x="315"/>
        <item x="438"/>
        <item x="290"/>
        <item x="560"/>
        <item x="380"/>
        <item x="44"/>
        <item x="344"/>
        <item x="334"/>
        <item x="367"/>
        <item x="514"/>
        <item x="172"/>
        <item x="368"/>
        <item x="420"/>
        <item x="129"/>
        <item x="362"/>
        <item x="494"/>
        <item x="533"/>
        <item x="425"/>
        <item x="389"/>
        <item x="355"/>
        <item x="459"/>
        <item x="555"/>
        <item x="166"/>
        <item x="297"/>
        <item x="561"/>
        <item x="356"/>
        <item x="557"/>
        <item x="402"/>
        <item x="515"/>
        <item x="170"/>
        <item x="345"/>
        <item x="348"/>
        <item x="162"/>
        <item x="305"/>
        <item x="251"/>
        <item x="309"/>
        <item x="430"/>
        <item x="479"/>
        <item x="439"/>
        <item x="246"/>
        <item x="441"/>
        <item x="280"/>
        <item x="308"/>
        <item x="274"/>
        <item x="333"/>
        <item x="353"/>
        <item x="379"/>
        <item x="204"/>
        <item x="219"/>
        <item x="393"/>
        <item x="282"/>
        <item x="454"/>
        <item x="392"/>
        <item x="201"/>
        <item x="497"/>
        <item x="326"/>
        <item x="26"/>
        <item x="391"/>
        <item x="384"/>
        <item x="252"/>
        <item x="295"/>
        <item x="478"/>
        <item x="456"/>
        <item x="363"/>
        <item x="385"/>
        <item x="190"/>
        <item x="322"/>
        <item x="235"/>
        <item x="147"/>
        <item x="341"/>
        <item x="214"/>
        <item x="397"/>
        <item x="243"/>
        <item x="422"/>
        <item x="416"/>
        <item x="320"/>
        <item x="275"/>
        <item x="390"/>
        <item x="1"/>
        <item x="267"/>
        <item x="357"/>
        <item x="412"/>
        <item x="160"/>
        <item x="366"/>
        <item x="399"/>
        <item x="313"/>
        <item x="220"/>
        <item x="8"/>
        <item x="408"/>
        <item x="381"/>
        <item x="434"/>
        <item x="468"/>
        <item x="433"/>
        <item x="579"/>
        <item x="298"/>
        <item x="540"/>
        <item x="581"/>
        <item x="310"/>
        <item x="413"/>
        <item x="270"/>
        <item x="369"/>
        <item x="403"/>
        <item x="481"/>
        <item x="580"/>
        <item x="472"/>
        <item x="272"/>
        <item x="464"/>
        <item x="365"/>
        <item x="424"/>
        <item x="388"/>
        <item x="414"/>
        <item x="578"/>
        <item x="378"/>
        <item x="406"/>
        <item x="401"/>
        <item x="376"/>
        <item x="429"/>
        <item x="400"/>
        <item x="436"/>
        <item x="382"/>
        <item x="387"/>
        <item x="396"/>
        <item x="262"/>
        <item x="120"/>
        <item x="174"/>
        <item x="361"/>
        <item x="354"/>
        <item x="339"/>
        <item x="205"/>
        <item x="370"/>
        <item x="98"/>
        <item x="136"/>
        <item x="207"/>
        <item x="303"/>
        <item t="default"/>
      </items>
    </pivotField>
    <pivotField numFmtId="14" showAll="0">
      <items count="15">
        <item x="0"/>
        <item x="1"/>
        <item x="2"/>
        <item x="3"/>
        <item x="4"/>
        <item x="5"/>
        <item x="6"/>
        <item x="7"/>
        <item x="8"/>
        <item x="9"/>
        <item x="10"/>
        <item x="11"/>
        <item x="12"/>
        <item x="13"/>
        <item t="default"/>
      </items>
    </pivotField>
    <pivotField showAll="0"/>
    <pivotField showAll="0"/>
    <pivotField axis="axisRow" showAll="0">
      <items count="56">
        <item x="30"/>
        <item x="48"/>
        <item x="50"/>
        <item x="17"/>
        <item x="33"/>
        <item x="36"/>
        <item x="45"/>
        <item x="49"/>
        <item x="46"/>
        <item x="53"/>
        <item x="52"/>
        <item x="41"/>
        <item x="10"/>
        <item x="34"/>
        <item x="43"/>
        <item x="54"/>
        <item x="24"/>
        <item x="51"/>
        <item x="31"/>
        <item x="39"/>
        <item x="40"/>
        <item x="18"/>
        <item x="5"/>
        <item x="2"/>
        <item x="44"/>
        <item x="35"/>
        <item x="27"/>
        <item x="38"/>
        <item x="16"/>
        <item x="20"/>
        <item x="13"/>
        <item x="19"/>
        <item x="42"/>
        <item x="21"/>
        <item x="47"/>
        <item x="28"/>
        <item x="26"/>
        <item x="6"/>
        <item x="29"/>
        <item x="9"/>
        <item x="37"/>
        <item x="11"/>
        <item x="25"/>
        <item x="3"/>
        <item x="8"/>
        <item x="7"/>
        <item x="22"/>
        <item x="32"/>
        <item x="4"/>
        <item x="12"/>
        <item x="15"/>
        <item x="23"/>
        <item x="14"/>
        <item x="0"/>
        <item x="1"/>
        <item t="default"/>
      </items>
    </pivotField>
    <pivotField showAll="0"/>
    <pivotField showAll="0"/>
    <pivotField showAll="0"/>
    <pivotField showAll="0"/>
    <pivotField showAll="0"/>
    <pivotField showAll="0">
      <items count="17">
        <item x="13"/>
        <item x="7"/>
        <item x="2"/>
        <item x="3"/>
        <item x="11"/>
        <item x="10"/>
        <item x="8"/>
        <item x="5"/>
        <item x="1"/>
        <item x="9"/>
        <item x="6"/>
        <item x="12"/>
        <item x="0"/>
        <item x="14"/>
        <item x="4"/>
        <item x="15"/>
        <item t="default"/>
      </items>
    </pivotField>
    <pivotField dataField="1" showAll="0"/>
    <pivotField showAll="0"/>
    <pivotField showAll="0"/>
    <pivotField numFmtId="9" showAll="0"/>
    <pivotField showAll="0"/>
    <pivotField showAll="0">
      <items count="3">
        <item x="1"/>
        <item x="0"/>
        <item t="default"/>
      </items>
    </pivotField>
    <pivotField showAll="0" defaultSubtotal="0">
      <items count="1">
        <item x="0"/>
      </items>
    </pivotField>
    <pivotField showAll="0" defaultSubtotal="0">
      <items count="6">
        <item sd="0" x="0"/>
        <item sd="0" x="1"/>
        <item sd="0" x="2"/>
        <item sd="0" x="3"/>
        <item sd="0" x="4"/>
        <item sd="0" x="5"/>
      </items>
    </pivotField>
    <pivotField showAll="0" defaultSubtotal="0">
      <items count="19">
        <item sd="0" x="0"/>
        <item sd="0" x="1"/>
        <item sd="0" x="2"/>
        <item sd="0" x="3"/>
        <item sd="0" x="4"/>
        <item sd="0" x="5"/>
        <item sd="0" x="6"/>
        <item sd="0" x="7"/>
        <item sd="0" x="8"/>
        <item sd="0" x="9"/>
        <item sd="0" x="10"/>
        <item sd="0" x="11"/>
        <item sd="0" x="12"/>
        <item sd="0" x="13"/>
        <item sd="0" x="14"/>
        <item sd="0" x="15"/>
        <item sd="0" x="16"/>
        <item sd="0" x="17"/>
        <item sd="0" x="18"/>
      </items>
    </pivotField>
  </pivotFields>
  <rowFields count="1">
    <field x="7"/>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Items count="1">
    <i/>
  </colItems>
  <dataFields count="1">
    <dataField name="Sum of view_count" fld="14" baseField="0" baseItem="0"/>
  </dataFields>
  <chartFormats count="2">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Video Distribution by Category"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1:B79" firstHeaderRow="1" firstDataRow="1" firstDataCol="1"/>
  <pivotFields count="20">
    <pivotField dataField="1" showAll="0"/>
    <pivotField showAll="0"/>
    <pivotField showAll="0"/>
    <pivotField showAll="0"/>
    <pivotField showAll="0"/>
    <pivotField showAll="0" defaultSubtotal="0"/>
    <pivotField showAll="0" defaultSubtotal="0"/>
    <pivotField showAll="0" defaultSubtotal="0"/>
    <pivotField showAll="0"/>
    <pivotField showAll="0"/>
    <pivotField showAll="0"/>
    <pivotField showAll="0"/>
    <pivotField showAll="0"/>
    <pivotField axis="axisRow" showAll="0">
      <items count="18">
        <item x="13"/>
        <item x="7"/>
        <item x="2"/>
        <item x="3"/>
        <item x="11"/>
        <item x="10"/>
        <item x="8"/>
        <item x="5"/>
        <item x="1"/>
        <item x="9"/>
        <item x="6"/>
        <item x="12"/>
        <item x="0"/>
        <item x="14"/>
        <item x="4"/>
        <item x="15"/>
        <item x="16"/>
        <item t="default"/>
      </items>
    </pivotField>
    <pivotField showAll="0"/>
    <pivotField showAll="0"/>
    <pivotField showAll="0"/>
    <pivotField showAll="0"/>
    <pivotField showAll="0"/>
    <pivotField showAll="0"/>
  </pivotFields>
  <rowFields count="1">
    <field x="13"/>
  </rowFields>
  <rowItems count="18">
    <i>
      <x/>
    </i>
    <i>
      <x v="1"/>
    </i>
    <i>
      <x v="2"/>
    </i>
    <i>
      <x v="3"/>
    </i>
    <i>
      <x v="4"/>
    </i>
    <i>
      <x v="5"/>
    </i>
    <i>
      <x v="6"/>
    </i>
    <i>
      <x v="7"/>
    </i>
    <i>
      <x v="8"/>
    </i>
    <i>
      <x v="9"/>
    </i>
    <i>
      <x v="10"/>
    </i>
    <i>
      <x v="11"/>
    </i>
    <i>
      <x v="12"/>
    </i>
    <i>
      <x v="13"/>
    </i>
    <i>
      <x v="14"/>
    </i>
    <i>
      <x v="15"/>
    </i>
    <i>
      <x v="16"/>
    </i>
    <i t="grand">
      <x/>
    </i>
  </rowItems>
  <colItems count="1">
    <i/>
  </colItems>
  <dataFields count="1">
    <dataField name="Count of video_id" fld="0" subtotal="count" baseField="0" baseItem="0"/>
  </dataFields>
  <chartFormats count="36">
    <chartFormat chart="0" format="1"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3" count="1" selected="0">
            <x v="0"/>
          </reference>
        </references>
      </pivotArea>
    </chartFormat>
    <chartFormat chart="4" format="22">
      <pivotArea type="data" outline="0" fieldPosition="0">
        <references count="2">
          <reference field="4294967294" count="1" selected="0">
            <x v="0"/>
          </reference>
          <reference field="13" count="1" selected="0">
            <x v="1"/>
          </reference>
        </references>
      </pivotArea>
    </chartFormat>
    <chartFormat chart="4" format="23">
      <pivotArea type="data" outline="0" fieldPosition="0">
        <references count="2">
          <reference field="4294967294" count="1" selected="0">
            <x v="0"/>
          </reference>
          <reference field="13" count="1" selected="0">
            <x v="2"/>
          </reference>
        </references>
      </pivotArea>
    </chartFormat>
    <chartFormat chart="4" format="24">
      <pivotArea type="data" outline="0" fieldPosition="0">
        <references count="2">
          <reference field="4294967294" count="1" selected="0">
            <x v="0"/>
          </reference>
          <reference field="13" count="1" selected="0">
            <x v="3"/>
          </reference>
        </references>
      </pivotArea>
    </chartFormat>
    <chartFormat chart="4" format="25">
      <pivotArea type="data" outline="0" fieldPosition="0">
        <references count="2">
          <reference field="4294967294" count="1" selected="0">
            <x v="0"/>
          </reference>
          <reference field="13" count="1" selected="0">
            <x v="4"/>
          </reference>
        </references>
      </pivotArea>
    </chartFormat>
    <chartFormat chart="4" format="26">
      <pivotArea type="data" outline="0" fieldPosition="0">
        <references count="2">
          <reference field="4294967294" count="1" selected="0">
            <x v="0"/>
          </reference>
          <reference field="13" count="1" selected="0">
            <x v="5"/>
          </reference>
        </references>
      </pivotArea>
    </chartFormat>
    <chartFormat chart="4" format="27">
      <pivotArea type="data" outline="0" fieldPosition="0">
        <references count="2">
          <reference field="4294967294" count="1" selected="0">
            <x v="0"/>
          </reference>
          <reference field="13" count="1" selected="0">
            <x v="6"/>
          </reference>
        </references>
      </pivotArea>
    </chartFormat>
    <chartFormat chart="4" format="28">
      <pivotArea type="data" outline="0" fieldPosition="0">
        <references count="2">
          <reference field="4294967294" count="1" selected="0">
            <x v="0"/>
          </reference>
          <reference field="13" count="1" selected="0">
            <x v="7"/>
          </reference>
        </references>
      </pivotArea>
    </chartFormat>
    <chartFormat chart="4" format="29">
      <pivotArea type="data" outline="0" fieldPosition="0">
        <references count="2">
          <reference field="4294967294" count="1" selected="0">
            <x v="0"/>
          </reference>
          <reference field="13" count="1" selected="0">
            <x v="8"/>
          </reference>
        </references>
      </pivotArea>
    </chartFormat>
    <chartFormat chart="4" format="30">
      <pivotArea type="data" outline="0" fieldPosition="0">
        <references count="2">
          <reference field="4294967294" count="1" selected="0">
            <x v="0"/>
          </reference>
          <reference field="13" count="1" selected="0">
            <x v="9"/>
          </reference>
        </references>
      </pivotArea>
    </chartFormat>
    <chartFormat chart="4" format="31">
      <pivotArea type="data" outline="0" fieldPosition="0">
        <references count="2">
          <reference field="4294967294" count="1" selected="0">
            <x v="0"/>
          </reference>
          <reference field="13" count="1" selected="0">
            <x v="10"/>
          </reference>
        </references>
      </pivotArea>
    </chartFormat>
    <chartFormat chart="4" format="32">
      <pivotArea type="data" outline="0" fieldPosition="0">
        <references count="2">
          <reference field="4294967294" count="1" selected="0">
            <x v="0"/>
          </reference>
          <reference field="13" count="1" selected="0">
            <x v="11"/>
          </reference>
        </references>
      </pivotArea>
    </chartFormat>
    <chartFormat chart="4" format="33">
      <pivotArea type="data" outline="0" fieldPosition="0">
        <references count="2">
          <reference field="4294967294" count="1" selected="0">
            <x v="0"/>
          </reference>
          <reference field="13" count="1" selected="0">
            <x v="12"/>
          </reference>
        </references>
      </pivotArea>
    </chartFormat>
    <chartFormat chart="4" format="34">
      <pivotArea type="data" outline="0" fieldPosition="0">
        <references count="2">
          <reference field="4294967294" count="1" selected="0">
            <x v="0"/>
          </reference>
          <reference field="13" count="1" selected="0">
            <x v="13"/>
          </reference>
        </references>
      </pivotArea>
    </chartFormat>
    <chartFormat chart="4" format="35">
      <pivotArea type="data" outline="0" fieldPosition="0">
        <references count="2">
          <reference field="4294967294" count="1" selected="0">
            <x v="0"/>
          </reference>
          <reference field="13" count="1" selected="0">
            <x v="14"/>
          </reference>
        </references>
      </pivotArea>
    </chartFormat>
    <chartFormat chart="4" format="36">
      <pivotArea type="data" outline="0" fieldPosition="0">
        <references count="2">
          <reference field="4294967294" count="1" selected="0">
            <x v="0"/>
          </reference>
          <reference field="13" count="1" selected="0">
            <x v="15"/>
          </reference>
        </references>
      </pivotArea>
    </chartFormat>
    <chartFormat chart="4" format="37">
      <pivotArea type="data" outline="0" fieldPosition="0">
        <references count="2">
          <reference field="4294967294" count="1" selected="0">
            <x v="0"/>
          </reference>
          <reference field="13" count="1" selected="0">
            <x v="16"/>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0" format="4">
      <pivotArea type="data" outline="0" fieldPosition="0">
        <references count="2">
          <reference field="4294967294" count="1" selected="0">
            <x v="0"/>
          </reference>
          <reference field="13" count="1" selected="0">
            <x v="2"/>
          </reference>
        </references>
      </pivotArea>
    </chartFormat>
    <chartFormat chart="0" format="5">
      <pivotArea type="data" outline="0" fieldPosition="0">
        <references count="2">
          <reference field="4294967294" count="1" selected="0">
            <x v="0"/>
          </reference>
          <reference field="13" count="1" selected="0">
            <x v="3"/>
          </reference>
        </references>
      </pivotArea>
    </chartFormat>
    <chartFormat chart="0" format="6">
      <pivotArea type="data" outline="0" fieldPosition="0">
        <references count="2">
          <reference field="4294967294" count="1" selected="0">
            <x v="0"/>
          </reference>
          <reference field="13" count="1" selected="0">
            <x v="4"/>
          </reference>
        </references>
      </pivotArea>
    </chartFormat>
    <chartFormat chart="0" format="7">
      <pivotArea type="data" outline="0" fieldPosition="0">
        <references count="2">
          <reference field="4294967294" count="1" selected="0">
            <x v="0"/>
          </reference>
          <reference field="13" count="1" selected="0">
            <x v="5"/>
          </reference>
        </references>
      </pivotArea>
    </chartFormat>
    <chartFormat chart="0" format="8">
      <pivotArea type="data" outline="0" fieldPosition="0">
        <references count="2">
          <reference field="4294967294" count="1" selected="0">
            <x v="0"/>
          </reference>
          <reference field="13" count="1" selected="0">
            <x v="6"/>
          </reference>
        </references>
      </pivotArea>
    </chartFormat>
    <chartFormat chart="0" format="9">
      <pivotArea type="data" outline="0" fieldPosition="0">
        <references count="2">
          <reference field="4294967294" count="1" selected="0">
            <x v="0"/>
          </reference>
          <reference field="13" count="1" selected="0">
            <x v="7"/>
          </reference>
        </references>
      </pivotArea>
    </chartFormat>
    <chartFormat chart="0" format="10">
      <pivotArea type="data" outline="0" fieldPosition="0">
        <references count="2">
          <reference field="4294967294" count="1" selected="0">
            <x v="0"/>
          </reference>
          <reference field="13" count="1" selected="0">
            <x v="8"/>
          </reference>
        </references>
      </pivotArea>
    </chartFormat>
    <chartFormat chart="0" format="11">
      <pivotArea type="data" outline="0" fieldPosition="0">
        <references count="2">
          <reference field="4294967294" count="1" selected="0">
            <x v="0"/>
          </reference>
          <reference field="13" count="1" selected="0">
            <x v="9"/>
          </reference>
        </references>
      </pivotArea>
    </chartFormat>
    <chartFormat chart="0" format="12">
      <pivotArea type="data" outline="0" fieldPosition="0">
        <references count="2">
          <reference field="4294967294" count="1" selected="0">
            <x v="0"/>
          </reference>
          <reference field="13" count="1" selected="0">
            <x v="10"/>
          </reference>
        </references>
      </pivotArea>
    </chartFormat>
    <chartFormat chart="0" format="13">
      <pivotArea type="data" outline="0" fieldPosition="0">
        <references count="2">
          <reference field="4294967294" count="1" selected="0">
            <x v="0"/>
          </reference>
          <reference field="13" count="1" selected="0">
            <x v="11"/>
          </reference>
        </references>
      </pivotArea>
    </chartFormat>
    <chartFormat chart="0" format="14">
      <pivotArea type="data" outline="0" fieldPosition="0">
        <references count="2">
          <reference field="4294967294" count="1" selected="0">
            <x v="0"/>
          </reference>
          <reference field="13" count="1" selected="0">
            <x v="12"/>
          </reference>
        </references>
      </pivotArea>
    </chartFormat>
    <chartFormat chart="0" format="15">
      <pivotArea type="data" outline="0" fieldPosition="0">
        <references count="2">
          <reference field="4294967294" count="1" selected="0">
            <x v="0"/>
          </reference>
          <reference field="13" count="1" selected="0">
            <x v="13"/>
          </reference>
        </references>
      </pivotArea>
    </chartFormat>
    <chartFormat chart="0" format="16">
      <pivotArea type="data" outline="0" fieldPosition="0">
        <references count="2">
          <reference field="4294967294" count="1" selected="0">
            <x v="0"/>
          </reference>
          <reference field="13" count="1" selected="0">
            <x v="14"/>
          </reference>
        </references>
      </pivotArea>
    </chartFormat>
    <chartFormat chart="0" format="17">
      <pivotArea type="data" outline="0" fieldPosition="0">
        <references count="2">
          <reference field="4294967294" count="1" selected="0">
            <x v="0"/>
          </reference>
          <reference field="13" count="1" selected="0">
            <x v="15"/>
          </reference>
        </references>
      </pivotArea>
    </chartFormat>
    <chartFormat chart="0" format="18">
      <pivotArea type="data" outline="0" fieldPosition="0">
        <references count="2">
          <reference field="4294967294" count="1" selected="0">
            <x v="0"/>
          </reference>
          <reference field="13"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_name" sourceName="category_name">
  <pivotTables>
    <pivotTable tabId="3" name="Average Video Duration by Type"/>
    <pivotTable tabId="3" name="Channel Engagement vs Total Views"/>
    <pivotTable tabId="3" name="Likes vs Comments per Video"/>
    <pivotTable tabId="3" name="Monthly Trend of Videos Published"/>
    <pivotTable tabId="3" name="Top 5 Most Viewed Videos"/>
  </pivotTables>
  <data>
    <tabular pivotCacheId="1">
      <items count="16">
        <i x="13" s="1"/>
        <i x="7" s="1"/>
        <i x="2" s="1"/>
        <i x="3" s="1"/>
        <i x="11" s="1"/>
        <i x="10" s="1"/>
        <i x="8" s="1"/>
        <i x="5" s="1"/>
        <i x="1" s="1"/>
        <i x="9" s="1"/>
        <i x="6" s="1"/>
        <i x="12" s="1"/>
        <i x="0" s="1"/>
        <i x="14"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video_type" sourceName="video_type">
  <pivotTables>
    <pivotTable tabId="3" name="Average Video Duration by Type"/>
    <pivotTable tabId="3" name="Channel Engagement vs Total Views"/>
    <pivotTable tabId="3" name="Likes vs Comments per Video"/>
    <pivotTable tabId="3" name="Monthly Trend of Videos Published"/>
    <pivotTable tabId="3" name="Top 5 Most Viewed Videos"/>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_Month" sourceName="Year_Month">
  <pivotTables>
    <pivotTable tabId="3" name="Total Views by Video Type"/>
    <pivotTable tabId="3" name="Average Video Duration by Type"/>
    <pivotTable tabId="3" name="Channel Engagement vs Total Views"/>
    <pivotTable tabId="3" name="Likes vs Comments per Video"/>
    <pivotTable tabId="3" name="Monthly Trend of Videos Published"/>
    <pivotTable tabId="3" name="Top 5 Most Viewed Videos"/>
  </pivotTables>
  <data>
    <tabular pivotCacheId="1">
      <items count="55">
        <i x="30" s="1"/>
        <i x="48" s="1"/>
        <i x="50" s="1"/>
        <i x="17" s="1"/>
        <i x="33" s="1"/>
        <i x="36" s="1"/>
        <i x="45" s="1"/>
        <i x="49" s="1"/>
        <i x="46" s="1"/>
        <i x="53" s="1"/>
        <i x="52" s="1"/>
        <i x="41" s="1"/>
        <i x="10" s="1"/>
        <i x="34" s="1"/>
        <i x="43" s="1"/>
        <i x="54" s="1"/>
        <i x="24" s="1"/>
        <i x="51" s="1"/>
        <i x="31" s="1"/>
        <i x="39" s="1"/>
        <i x="40" s="1"/>
        <i x="18" s="1"/>
        <i x="5" s="1"/>
        <i x="2" s="1"/>
        <i x="44" s="1"/>
        <i x="35" s="1"/>
        <i x="27" s="1"/>
        <i x="38" s="1"/>
        <i x="16" s="1"/>
        <i x="20" s="1"/>
        <i x="13" s="1"/>
        <i x="19" s="1"/>
        <i x="42" s="1"/>
        <i x="21" s="1"/>
        <i x="47" s="1"/>
        <i x="28" s="1"/>
        <i x="26" s="1"/>
        <i x="6" s="1"/>
        <i x="29" s="1"/>
        <i x="9" s="1"/>
        <i x="37" s="1"/>
        <i x="11" s="1"/>
        <i x="25" s="1"/>
        <i x="3" s="1"/>
        <i x="8" s="1"/>
        <i x="7" s="1"/>
        <i x="22" s="1"/>
        <i x="32" s="1"/>
        <i x="4" s="1"/>
        <i x="12" s="1"/>
        <i x="15" s="1"/>
        <i x="23" s="1"/>
        <i x="1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_name" cache="Slicer_category_name" caption="category_name" rowHeight="241300"/>
  <slicer name="video_type" cache="Slicer_video_type" caption="video_type" rowHeight="241300"/>
  <slicer name="Year_Month" cache="Slicer_Year_Month" caption="Year_Month"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_name 1" cache="Slicer_category_name" caption="category_name" style="SlicerStyleLight3" rowHeight="241300"/>
  <slicer name="video_type 1" cache="Slicer_video_type" caption="video_type" columnCount="2" style="SlicerStyleLight3" rowHeight="241300"/>
  <slicer name="Year_Month 1" cache="Slicer_Year_Month" caption="Year_Month" columnCount="2"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B2" sqref="B2"/>
    </sheetView>
  </sheetViews>
  <sheetFormatPr defaultColWidth="11.90625" defaultRowHeight="18.5" customHeight="1" x14ac:dyDescent="0.35"/>
  <cols>
    <col min="2" max="2" width="19.08984375" bestFit="1" customWidth="1"/>
  </cols>
  <sheetData>
    <row r="1" spans="1:2" ht="18.5" customHeight="1" x14ac:dyDescent="0.35">
      <c r="A1" s="6" t="s">
        <v>5</v>
      </c>
      <c r="B1" s="6" t="s">
        <v>2385</v>
      </c>
    </row>
    <row r="2" spans="1:2" ht="18.5" customHeight="1" x14ac:dyDescent="0.35">
      <c r="A2" s="5">
        <v>1</v>
      </c>
      <c r="B2" s="5" t="s">
        <v>2386</v>
      </c>
    </row>
    <row r="3" spans="1:2" ht="18.5" customHeight="1" x14ac:dyDescent="0.35">
      <c r="A3" s="5">
        <v>2</v>
      </c>
      <c r="B3" s="5" t="s">
        <v>2387</v>
      </c>
    </row>
    <row r="4" spans="1:2" ht="18.5" customHeight="1" x14ac:dyDescent="0.35">
      <c r="A4" s="5">
        <v>10</v>
      </c>
      <c r="B4" s="5" t="s">
        <v>2388</v>
      </c>
    </row>
    <row r="5" spans="1:2" ht="18.5" customHeight="1" x14ac:dyDescent="0.35">
      <c r="A5" s="5">
        <v>15</v>
      </c>
      <c r="B5" s="5" t="s">
        <v>2389</v>
      </c>
    </row>
    <row r="6" spans="1:2" ht="18.5" customHeight="1" x14ac:dyDescent="0.35">
      <c r="A6" s="5">
        <v>17</v>
      </c>
      <c r="B6" s="5" t="s">
        <v>2390</v>
      </c>
    </row>
    <row r="7" spans="1:2" ht="18.5" customHeight="1" x14ac:dyDescent="0.35">
      <c r="A7" s="5">
        <v>19</v>
      </c>
      <c r="B7" s="5" t="s">
        <v>2391</v>
      </c>
    </row>
    <row r="8" spans="1:2" ht="18.5" customHeight="1" x14ac:dyDescent="0.35">
      <c r="A8" s="5">
        <v>20</v>
      </c>
      <c r="B8" s="5" t="s">
        <v>2392</v>
      </c>
    </row>
    <row r="9" spans="1:2" ht="18.5" customHeight="1" x14ac:dyDescent="0.35">
      <c r="A9" s="5">
        <v>22</v>
      </c>
      <c r="B9" s="5" t="s">
        <v>2393</v>
      </c>
    </row>
    <row r="10" spans="1:2" ht="18.5" customHeight="1" x14ac:dyDescent="0.35">
      <c r="A10" s="5">
        <v>23</v>
      </c>
      <c r="B10" s="5" t="s">
        <v>2394</v>
      </c>
    </row>
    <row r="11" spans="1:2" ht="18.5" customHeight="1" x14ac:dyDescent="0.35">
      <c r="A11" s="5">
        <v>24</v>
      </c>
      <c r="B11" s="5" t="s">
        <v>2395</v>
      </c>
    </row>
    <row r="12" spans="1:2" ht="18.5" customHeight="1" x14ac:dyDescent="0.35">
      <c r="A12" s="5">
        <v>25</v>
      </c>
      <c r="B12" s="5" t="s">
        <v>2396</v>
      </c>
    </row>
    <row r="13" spans="1:2" ht="18.5" customHeight="1" x14ac:dyDescent="0.35">
      <c r="A13" s="5">
        <v>26</v>
      </c>
      <c r="B13" s="5" t="s">
        <v>2397</v>
      </c>
    </row>
    <row r="14" spans="1:2" ht="18.5" customHeight="1" x14ac:dyDescent="0.35">
      <c r="A14" s="5">
        <v>27</v>
      </c>
      <c r="B14" s="5" t="s">
        <v>2398</v>
      </c>
    </row>
    <row r="15" spans="1:2" ht="18.5" customHeight="1" x14ac:dyDescent="0.35">
      <c r="A15" s="5">
        <v>28</v>
      </c>
      <c r="B15" s="5" t="s">
        <v>2399</v>
      </c>
    </row>
    <row r="16" spans="1:2" ht="18.5" customHeight="1" x14ac:dyDescent="0.35">
      <c r="A16" s="5">
        <v>29</v>
      </c>
      <c r="B16" s="5" t="s">
        <v>2400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90"/>
  <sheetViews>
    <sheetView workbookViewId="0"/>
  </sheetViews>
  <sheetFormatPr defaultColWidth="20.54296875" defaultRowHeight="18.75" customHeight="1" x14ac:dyDescent="0.35"/>
  <cols>
    <col min="2" max="2" width="35.36328125" bestFit="1" customWidth="1"/>
    <col min="3" max="3" width="54.1796875" bestFit="1" customWidth="1"/>
    <col min="4" max="5" width="20.54296875" style="2"/>
    <col min="6" max="8" width="20.54296875" style="4"/>
    <col min="18" max="18" width="20.54296875" style="3"/>
  </cols>
  <sheetData>
    <row r="1" spans="1:20" ht="18.75" customHeight="1" x14ac:dyDescent="0.35">
      <c r="A1" s="11" t="s">
        <v>0</v>
      </c>
      <c r="B1" s="11" t="s">
        <v>2409</v>
      </c>
      <c r="C1" s="11" t="s">
        <v>2919</v>
      </c>
      <c r="D1" s="12" t="s">
        <v>1</v>
      </c>
      <c r="E1" s="12" t="s">
        <v>3338</v>
      </c>
      <c r="F1" s="13" t="s">
        <v>3343</v>
      </c>
      <c r="G1" s="13" t="s">
        <v>3344</v>
      </c>
      <c r="H1" s="13" t="s">
        <v>3345</v>
      </c>
      <c r="I1" s="11" t="s">
        <v>2384</v>
      </c>
      <c r="J1" s="11" t="s">
        <v>2</v>
      </c>
      <c r="K1" s="11" t="s">
        <v>3</v>
      </c>
      <c r="L1" s="11" t="s">
        <v>4</v>
      </c>
      <c r="M1" s="11" t="s">
        <v>5</v>
      </c>
      <c r="N1" s="11" t="s">
        <v>2385</v>
      </c>
      <c r="O1" s="11" t="s">
        <v>6</v>
      </c>
      <c r="P1" s="11" t="s">
        <v>7</v>
      </c>
      <c r="Q1" s="11" t="s">
        <v>8</v>
      </c>
      <c r="R1" s="14" t="s">
        <v>2382</v>
      </c>
      <c r="S1" s="11" t="s">
        <v>2381</v>
      </c>
      <c r="T1" s="11" t="s">
        <v>2383</v>
      </c>
    </row>
    <row r="2" spans="1:20" ht="18.75" customHeight="1" x14ac:dyDescent="0.35">
      <c r="A2" t="s">
        <v>9</v>
      </c>
      <c r="B2" t="s">
        <v>10</v>
      </c>
      <c r="C2" t="s">
        <v>11</v>
      </c>
      <c r="D2" s="2" t="s">
        <v>12</v>
      </c>
      <c r="E2" s="2">
        <f>DATEVALUE(LEFT(D2,10))</f>
        <v>45779</v>
      </c>
      <c r="F2" s="4">
        <f>YEAR(E2)</f>
        <v>2025</v>
      </c>
      <c r="G2" t="str">
        <f>TEXT(E2,"MMMM")</f>
        <v>May</v>
      </c>
      <c r="H2" t="str">
        <f>TEXT(E2,"YYYY-MM")</f>
        <v>2025-05</v>
      </c>
      <c r="I2" s="4">
        <f t="shared" ref="I2:I65" ca="1" si="0">TODAY() - DATEVALUE(LEFT(D2,10))</f>
        <v>145</v>
      </c>
      <c r="J2" t="s">
        <v>13</v>
      </c>
      <c r="K2" t="s">
        <v>14</v>
      </c>
      <c r="L2" t="s">
        <v>15</v>
      </c>
      <c r="M2">
        <v>28</v>
      </c>
      <c r="N2" t="str">
        <f>VLOOKUP(M2, CategoryMap!$A$2:$B$100, 2, FALSE)</f>
        <v>Science &amp; Technology</v>
      </c>
      <c r="O2">
        <v>8962092</v>
      </c>
      <c r="P2">
        <v>243350</v>
      </c>
      <c r="Q2">
        <v>515</v>
      </c>
      <c r="R2" s="3">
        <f>IF(O2=0, 0, (P2 + Q2) / O2)</f>
        <v>2.7210722675018287E-2</v>
      </c>
      <c r="S2">
        <v>57</v>
      </c>
      <c r="T2" t="str">
        <f>IF(S2&lt;=60, "Short", "Long")</f>
        <v>Short</v>
      </c>
    </row>
    <row r="3" spans="1:20" ht="18.75" customHeight="1" x14ac:dyDescent="0.35">
      <c r="A3" t="s">
        <v>16</v>
      </c>
      <c r="B3" t="s">
        <v>2410</v>
      </c>
      <c r="C3" t="s">
        <v>2920</v>
      </c>
      <c r="D3" s="2" t="s">
        <v>17</v>
      </c>
      <c r="E3" s="2">
        <f t="shared" ref="E3:E66" si="1">DATEVALUE(LEFT(D3,10))</f>
        <v>45826</v>
      </c>
      <c r="F3" s="4">
        <f t="shared" ref="F3:F66" si="2">YEAR(E3)</f>
        <v>2025</v>
      </c>
      <c r="G3" t="str">
        <f t="shared" ref="G3:G66" si="3">TEXT(E3,"MMMM")</f>
        <v>June</v>
      </c>
      <c r="H3" t="str">
        <f t="shared" ref="H3:H66" si="4">TEXT(E3,"YYYY-MM")</f>
        <v>2025-06</v>
      </c>
      <c r="I3" s="4">
        <f t="shared" ca="1" si="0"/>
        <v>98</v>
      </c>
      <c r="J3" t="s">
        <v>18</v>
      </c>
      <c r="K3" t="s">
        <v>19</v>
      </c>
      <c r="L3" t="s">
        <v>20</v>
      </c>
      <c r="M3">
        <v>25</v>
      </c>
      <c r="N3" t="str">
        <f>VLOOKUP(M3, CategoryMap!$A$2:$B$100, 2, FALSE)</f>
        <v>News &amp; Politics</v>
      </c>
      <c r="O3">
        <v>289626</v>
      </c>
      <c r="P3">
        <v>3393</v>
      </c>
      <c r="Q3">
        <v>1240</v>
      </c>
      <c r="R3" s="3">
        <f t="shared" ref="R3:R66" si="5">IF(O3=0, 0, (P3 + Q3) / O3)</f>
        <v>1.599649202764945E-2</v>
      </c>
      <c r="S3">
        <v>470</v>
      </c>
      <c r="T3" t="str">
        <f t="shared" ref="T3:T66" si="6">IF(S3&lt;=60, "Short", "Long")</f>
        <v>Long</v>
      </c>
    </row>
    <row r="4" spans="1:20" ht="18.75" customHeight="1" x14ac:dyDescent="0.35">
      <c r="A4" t="s">
        <v>21</v>
      </c>
      <c r="B4" t="s">
        <v>2411</v>
      </c>
      <c r="C4" t="s">
        <v>2921</v>
      </c>
      <c r="D4" s="2" t="s">
        <v>22</v>
      </c>
      <c r="E4" s="2">
        <f t="shared" si="1"/>
        <v>44866</v>
      </c>
      <c r="F4" s="4">
        <f t="shared" si="2"/>
        <v>2022</v>
      </c>
      <c r="G4" t="str">
        <f t="shared" si="3"/>
        <v>November</v>
      </c>
      <c r="H4" t="str">
        <f t="shared" si="4"/>
        <v>2022-11</v>
      </c>
      <c r="I4" s="4">
        <f t="shared" ca="1" si="0"/>
        <v>1058</v>
      </c>
      <c r="J4" t="s">
        <v>13</v>
      </c>
      <c r="K4" t="s">
        <v>14</v>
      </c>
      <c r="L4" t="s">
        <v>23</v>
      </c>
      <c r="M4">
        <v>28</v>
      </c>
      <c r="N4" t="str">
        <f>VLOOKUP(M4, CategoryMap!$A$2:$B$100, 2, FALSE)</f>
        <v>Science &amp; Technology</v>
      </c>
      <c r="O4">
        <v>81372201</v>
      </c>
      <c r="P4">
        <v>4178447</v>
      </c>
      <c r="Q4">
        <v>6378</v>
      </c>
      <c r="R4" s="3">
        <f t="shared" si="5"/>
        <v>5.1428189831070198E-2</v>
      </c>
      <c r="S4">
        <v>47</v>
      </c>
      <c r="T4" t="str">
        <f>IF(S4&lt;=60, "Short", "Long")</f>
        <v>Short</v>
      </c>
    </row>
    <row r="5" spans="1:20" ht="18.75" customHeight="1" x14ac:dyDescent="0.35">
      <c r="A5" t="s">
        <v>24</v>
      </c>
      <c r="B5" t="s">
        <v>25</v>
      </c>
      <c r="C5" t="s">
        <v>2922</v>
      </c>
      <c r="D5" s="2" t="s">
        <v>26</v>
      </c>
      <c r="E5" s="2">
        <f t="shared" si="1"/>
        <v>45481</v>
      </c>
      <c r="F5" s="4">
        <f t="shared" si="2"/>
        <v>2024</v>
      </c>
      <c r="G5" t="str">
        <f t="shared" si="3"/>
        <v>July</v>
      </c>
      <c r="H5" t="str">
        <f t="shared" si="4"/>
        <v>2024-07</v>
      </c>
      <c r="I5" s="4">
        <f t="shared" ca="1" si="0"/>
        <v>443</v>
      </c>
      <c r="J5" t="s">
        <v>27</v>
      </c>
      <c r="K5" t="s">
        <v>28</v>
      </c>
      <c r="L5" t="s">
        <v>29</v>
      </c>
      <c r="M5">
        <v>27</v>
      </c>
      <c r="N5" t="str">
        <f>VLOOKUP(M5, CategoryMap!$A$2:$B$100, 2, FALSE)</f>
        <v>Education</v>
      </c>
      <c r="O5">
        <v>21255964</v>
      </c>
      <c r="P5">
        <v>909386</v>
      </c>
      <c r="Q5">
        <v>2681</v>
      </c>
      <c r="R5" s="3">
        <f t="shared" si="5"/>
        <v>4.2908757278663064E-2</v>
      </c>
      <c r="S5">
        <v>31</v>
      </c>
      <c r="T5" t="str">
        <f t="shared" si="6"/>
        <v>Short</v>
      </c>
    </row>
    <row r="6" spans="1:20" ht="18.75" customHeight="1" x14ac:dyDescent="0.35">
      <c r="A6" t="s">
        <v>30</v>
      </c>
      <c r="B6" t="s">
        <v>2412</v>
      </c>
      <c r="C6" t="s">
        <v>2923</v>
      </c>
      <c r="D6" s="2" t="s">
        <v>31</v>
      </c>
      <c r="E6" s="2">
        <f t="shared" si="1"/>
        <v>45648</v>
      </c>
      <c r="F6" s="4">
        <f t="shared" si="2"/>
        <v>2024</v>
      </c>
      <c r="G6" t="str">
        <f t="shared" si="3"/>
        <v>December</v>
      </c>
      <c r="H6" t="str">
        <f t="shared" si="4"/>
        <v>2024-12</v>
      </c>
      <c r="I6" s="4">
        <f t="shared" ca="1" si="0"/>
        <v>276</v>
      </c>
      <c r="J6" t="s">
        <v>32</v>
      </c>
      <c r="K6" t="s">
        <v>33</v>
      </c>
      <c r="L6" t="s">
        <v>34</v>
      </c>
      <c r="M6">
        <v>28</v>
      </c>
      <c r="N6" t="str">
        <f>VLOOKUP(M6, CategoryMap!$A$2:$B$100, 2, FALSE)</f>
        <v>Science &amp; Technology</v>
      </c>
      <c r="O6">
        <v>2790436</v>
      </c>
      <c r="P6">
        <v>44278</v>
      </c>
      <c r="Q6">
        <v>1359</v>
      </c>
      <c r="R6" s="3">
        <f t="shared" si="5"/>
        <v>1.6354791867650788E-2</v>
      </c>
      <c r="S6">
        <v>16</v>
      </c>
      <c r="T6" t="str">
        <f t="shared" si="6"/>
        <v>Short</v>
      </c>
    </row>
    <row r="7" spans="1:20" ht="18.75" customHeight="1" x14ac:dyDescent="0.35">
      <c r="A7" t="s">
        <v>35</v>
      </c>
      <c r="B7" t="s">
        <v>36</v>
      </c>
      <c r="C7" t="s">
        <v>2924</v>
      </c>
      <c r="D7" s="2" t="s">
        <v>37</v>
      </c>
      <c r="E7" s="2">
        <f t="shared" si="1"/>
        <v>44836</v>
      </c>
      <c r="F7" s="4">
        <f t="shared" si="2"/>
        <v>2022</v>
      </c>
      <c r="G7" t="str">
        <f t="shared" si="3"/>
        <v>October</v>
      </c>
      <c r="H7" t="str">
        <f t="shared" si="4"/>
        <v>2022-10</v>
      </c>
      <c r="I7" s="4">
        <f t="shared" ca="1" si="0"/>
        <v>1088</v>
      </c>
      <c r="J7" t="s">
        <v>13</v>
      </c>
      <c r="K7" t="s">
        <v>14</v>
      </c>
      <c r="L7" t="s">
        <v>38</v>
      </c>
      <c r="M7">
        <v>28</v>
      </c>
      <c r="N7" t="str">
        <f>VLOOKUP(M7, CategoryMap!$A$2:$B$100, 2, FALSE)</f>
        <v>Science &amp; Technology</v>
      </c>
      <c r="O7">
        <v>28131104</v>
      </c>
      <c r="P7">
        <v>1956461</v>
      </c>
      <c r="Q7">
        <v>6253</v>
      </c>
      <c r="R7" s="3">
        <f t="shared" si="5"/>
        <v>6.977024435301224E-2</v>
      </c>
      <c r="S7">
        <v>56</v>
      </c>
      <c r="T7" t="str">
        <f t="shared" si="6"/>
        <v>Short</v>
      </c>
    </row>
    <row r="8" spans="1:20" ht="18.75" customHeight="1" x14ac:dyDescent="0.35">
      <c r="A8" t="s">
        <v>39</v>
      </c>
      <c r="B8" t="s">
        <v>40</v>
      </c>
      <c r="C8" t="s">
        <v>2925</v>
      </c>
      <c r="D8" s="2" t="s">
        <v>41</v>
      </c>
      <c r="E8" s="2">
        <f t="shared" si="1"/>
        <v>45490</v>
      </c>
      <c r="F8" s="4">
        <f t="shared" si="2"/>
        <v>2024</v>
      </c>
      <c r="G8" t="str">
        <f t="shared" si="3"/>
        <v>July</v>
      </c>
      <c r="H8" t="str">
        <f t="shared" si="4"/>
        <v>2024-07</v>
      </c>
      <c r="I8" s="4">
        <f t="shared" ca="1" si="0"/>
        <v>434</v>
      </c>
      <c r="J8" t="s">
        <v>42</v>
      </c>
      <c r="K8" t="s">
        <v>43</v>
      </c>
      <c r="L8" t="s">
        <v>29</v>
      </c>
      <c r="M8">
        <v>24</v>
      </c>
      <c r="N8" t="str">
        <f>VLOOKUP(M8, CategoryMap!$A$2:$B$100, 2, FALSE)</f>
        <v>Entertainment</v>
      </c>
      <c r="O8">
        <v>3736477</v>
      </c>
      <c r="P8">
        <v>246338</v>
      </c>
      <c r="Q8">
        <v>2504</v>
      </c>
      <c r="R8" s="3">
        <f t="shared" si="5"/>
        <v>6.6598028035499746E-2</v>
      </c>
      <c r="S8">
        <v>60</v>
      </c>
      <c r="T8" t="str">
        <f t="shared" si="6"/>
        <v>Short</v>
      </c>
    </row>
    <row r="9" spans="1:20" ht="18.75" customHeight="1" x14ac:dyDescent="0.35">
      <c r="A9" t="s">
        <v>44</v>
      </c>
      <c r="B9" t="s">
        <v>2413</v>
      </c>
      <c r="C9" t="s">
        <v>2926</v>
      </c>
      <c r="D9" s="2" t="s">
        <v>45</v>
      </c>
      <c r="E9" s="2">
        <f t="shared" si="1"/>
        <v>45295</v>
      </c>
      <c r="F9" s="4">
        <f t="shared" si="2"/>
        <v>2024</v>
      </c>
      <c r="G9" t="str">
        <f t="shared" si="3"/>
        <v>January</v>
      </c>
      <c r="H9" t="str">
        <f t="shared" si="4"/>
        <v>2024-01</v>
      </c>
      <c r="I9" s="4">
        <f t="shared" ca="1" si="0"/>
        <v>629</v>
      </c>
      <c r="J9" t="s">
        <v>13</v>
      </c>
      <c r="K9" t="s">
        <v>14</v>
      </c>
      <c r="L9" t="s">
        <v>46</v>
      </c>
      <c r="M9">
        <v>28</v>
      </c>
      <c r="N9" t="str">
        <f>VLOOKUP(M9, CategoryMap!$A$2:$B$100, 2, FALSE)</f>
        <v>Science &amp; Technology</v>
      </c>
      <c r="O9">
        <v>17538777</v>
      </c>
      <c r="P9">
        <v>835009</v>
      </c>
      <c r="Q9">
        <v>3583</v>
      </c>
      <c r="R9" s="3">
        <f t="shared" si="5"/>
        <v>4.7813596124746893E-2</v>
      </c>
      <c r="S9">
        <v>30</v>
      </c>
      <c r="T9" t="str">
        <f t="shared" si="6"/>
        <v>Short</v>
      </c>
    </row>
    <row r="10" spans="1:20" ht="18.75" customHeight="1" x14ac:dyDescent="0.35">
      <c r="A10" t="s">
        <v>47</v>
      </c>
      <c r="B10" t="s">
        <v>2414</v>
      </c>
      <c r="C10" t="s">
        <v>2927</v>
      </c>
      <c r="D10" s="2" t="s">
        <v>48</v>
      </c>
      <c r="E10" s="2">
        <f t="shared" si="1"/>
        <v>45827</v>
      </c>
      <c r="F10" s="4">
        <f t="shared" si="2"/>
        <v>2025</v>
      </c>
      <c r="G10" t="str">
        <f t="shared" si="3"/>
        <v>June</v>
      </c>
      <c r="H10" t="str">
        <f t="shared" si="4"/>
        <v>2025-06</v>
      </c>
      <c r="I10" s="4">
        <f t="shared" ca="1" si="0"/>
        <v>97</v>
      </c>
      <c r="J10" t="s">
        <v>49</v>
      </c>
      <c r="K10" t="s">
        <v>50</v>
      </c>
      <c r="L10" t="s">
        <v>51</v>
      </c>
      <c r="M10">
        <v>19</v>
      </c>
      <c r="N10" t="str">
        <f>VLOOKUP(M10, CategoryMap!$A$2:$B$100, 2, FALSE)</f>
        <v>Travel &amp; Events</v>
      </c>
      <c r="O10">
        <v>17265</v>
      </c>
      <c r="P10">
        <v>1569</v>
      </c>
      <c r="Q10">
        <v>103</v>
      </c>
      <c r="R10" s="3">
        <f t="shared" si="5"/>
        <v>9.6843324645236026E-2</v>
      </c>
      <c r="S10">
        <v>437</v>
      </c>
      <c r="T10" t="str">
        <f t="shared" si="6"/>
        <v>Long</v>
      </c>
    </row>
    <row r="11" spans="1:20" ht="18.75" customHeight="1" x14ac:dyDescent="0.35">
      <c r="A11" t="s">
        <v>52</v>
      </c>
      <c r="B11" t="s">
        <v>53</v>
      </c>
      <c r="C11" t="s">
        <v>2921</v>
      </c>
      <c r="D11" s="2" t="s">
        <v>54</v>
      </c>
      <c r="E11" s="2">
        <f t="shared" si="1"/>
        <v>44849</v>
      </c>
      <c r="F11" s="4">
        <f t="shared" si="2"/>
        <v>2022</v>
      </c>
      <c r="G11" t="str">
        <f t="shared" si="3"/>
        <v>October</v>
      </c>
      <c r="H11" t="str">
        <f t="shared" si="4"/>
        <v>2022-10</v>
      </c>
      <c r="I11" s="4">
        <f t="shared" ca="1" si="0"/>
        <v>1075</v>
      </c>
      <c r="J11" t="s">
        <v>13</v>
      </c>
      <c r="K11" t="s">
        <v>14</v>
      </c>
      <c r="L11" t="s">
        <v>55</v>
      </c>
      <c r="M11">
        <v>28</v>
      </c>
      <c r="N11" t="str">
        <f>VLOOKUP(M11, CategoryMap!$A$2:$B$100, 2, FALSE)</f>
        <v>Science &amp; Technology</v>
      </c>
      <c r="O11">
        <v>41043500</v>
      </c>
      <c r="P11">
        <v>2647228</v>
      </c>
      <c r="Q11">
        <v>8379</v>
      </c>
      <c r="R11" s="3">
        <f>IF(O11=0, 0, (P11 + Q11) / O11)</f>
        <v>6.4702254924653119E-2</v>
      </c>
      <c r="S11">
        <v>60</v>
      </c>
      <c r="T11" t="str">
        <f t="shared" si="6"/>
        <v>Short</v>
      </c>
    </row>
    <row r="12" spans="1:20" ht="18.75" customHeight="1" x14ac:dyDescent="0.35">
      <c r="A12" t="s">
        <v>56</v>
      </c>
      <c r="B12" t="s">
        <v>57</v>
      </c>
      <c r="C12" t="s">
        <v>2928</v>
      </c>
      <c r="D12" s="2" t="s">
        <v>58</v>
      </c>
      <c r="E12" s="2">
        <f t="shared" si="1"/>
        <v>45564</v>
      </c>
      <c r="F12" s="4">
        <f t="shared" si="2"/>
        <v>2024</v>
      </c>
      <c r="G12" t="str">
        <f t="shared" si="3"/>
        <v>September</v>
      </c>
      <c r="H12" t="str">
        <f t="shared" si="4"/>
        <v>2024-09</v>
      </c>
      <c r="I12" s="4">
        <f t="shared" ca="1" si="0"/>
        <v>360</v>
      </c>
      <c r="J12" t="s">
        <v>59</v>
      </c>
      <c r="K12" t="s">
        <v>60</v>
      </c>
      <c r="L12" t="s">
        <v>61</v>
      </c>
      <c r="M12">
        <v>28</v>
      </c>
      <c r="N12" t="str">
        <f>VLOOKUP(M12, CategoryMap!$A$2:$B$100, 2, FALSE)</f>
        <v>Science &amp; Technology</v>
      </c>
      <c r="O12">
        <v>8207184</v>
      </c>
      <c r="P12">
        <v>168522</v>
      </c>
      <c r="Q12">
        <v>882</v>
      </c>
      <c r="R12" s="3">
        <f t="shared" si="5"/>
        <v>2.0640940912254435E-2</v>
      </c>
      <c r="S12">
        <v>16</v>
      </c>
      <c r="T12" t="str">
        <f t="shared" si="6"/>
        <v>Short</v>
      </c>
    </row>
    <row r="13" spans="1:20" ht="18.75" customHeight="1" x14ac:dyDescent="0.35">
      <c r="A13" t="s">
        <v>62</v>
      </c>
      <c r="B13" t="s">
        <v>2415</v>
      </c>
      <c r="C13" t="s">
        <v>2929</v>
      </c>
      <c r="D13" s="2" t="s">
        <v>63</v>
      </c>
      <c r="E13" s="2">
        <f t="shared" si="1"/>
        <v>45519</v>
      </c>
      <c r="F13" s="4">
        <f t="shared" si="2"/>
        <v>2024</v>
      </c>
      <c r="G13" t="str">
        <f t="shared" si="3"/>
        <v>August</v>
      </c>
      <c r="H13" t="str">
        <f t="shared" si="4"/>
        <v>2024-08</v>
      </c>
      <c r="I13" s="4">
        <f t="shared" ca="1" si="0"/>
        <v>405</v>
      </c>
      <c r="J13" t="s">
        <v>64</v>
      </c>
      <c r="K13" t="s">
        <v>65</v>
      </c>
      <c r="L13" t="s">
        <v>29</v>
      </c>
      <c r="M13">
        <v>28</v>
      </c>
      <c r="N13" t="str">
        <f>VLOOKUP(M13, CategoryMap!$A$2:$B$100, 2, FALSE)</f>
        <v>Science &amp; Technology</v>
      </c>
      <c r="O13">
        <v>24573162</v>
      </c>
      <c r="P13">
        <v>413243</v>
      </c>
      <c r="Q13">
        <v>297</v>
      </c>
      <c r="R13" s="3">
        <f t="shared" si="5"/>
        <v>1.6828929056830373E-2</v>
      </c>
      <c r="S13">
        <v>15</v>
      </c>
      <c r="T13" t="str">
        <f t="shared" si="6"/>
        <v>Short</v>
      </c>
    </row>
    <row r="14" spans="1:20" ht="18.75" customHeight="1" x14ac:dyDescent="0.35">
      <c r="A14" t="s">
        <v>66</v>
      </c>
      <c r="B14" t="s">
        <v>67</v>
      </c>
      <c r="C14" t="s">
        <v>2930</v>
      </c>
      <c r="D14" s="2" t="s">
        <v>68</v>
      </c>
      <c r="E14" s="2">
        <f t="shared" si="1"/>
        <v>45798</v>
      </c>
      <c r="F14" s="4">
        <f t="shared" si="2"/>
        <v>2025</v>
      </c>
      <c r="G14" t="str">
        <f t="shared" si="3"/>
        <v>May</v>
      </c>
      <c r="H14" t="str">
        <f t="shared" si="4"/>
        <v>2025-05</v>
      </c>
      <c r="I14" s="4">
        <f t="shared" ca="1" si="0"/>
        <v>126</v>
      </c>
      <c r="J14" t="s">
        <v>13</v>
      </c>
      <c r="K14" t="s">
        <v>14</v>
      </c>
      <c r="L14" t="s">
        <v>69</v>
      </c>
      <c r="M14">
        <v>28</v>
      </c>
      <c r="N14" t="str">
        <f>VLOOKUP(M14, CategoryMap!$A$2:$B$100, 2, FALSE)</f>
        <v>Science &amp; Technology</v>
      </c>
      <c r="O14">
        <v>2424922</v>
      </c>
      <c r="P14">
        <v>92041</v>
      </c>
      <c r="Q14">
        <v>4874</v>
      </c>
      <c r="R14" s="3">
        <f t="shared" si="5"/>
        <v>3.9966233965463629E-2</v>
      </c>
      <c r="S14">
        <v>891</v>
      </c>
      <c r="T14" t="str">
        <f t="shared" si="6"/>
        <v>Long</v>
      </c>
    </row>
    <row r="15" spans="1:20" ht="18.75" customHeight="1" x14ac:dyDescent="0.35">
      <c r="A15" t="s">
        <v>70</v>
      </c>
      <c r="B15" t="s">
        <v>2416</v>
      </c>
      <c r="C15" t="s">
        <v>2931</v>
      </c>
      <c r="D15" s="2" t="s">
        <v>71</v>
      </c>
      <c r="E15" s="2">
        <f t="shared" si="1"/>
        <v>45648</v>
      </c>
      <c r="F15" s="4">
        <f t="shared" si="2"/>
        <v>2024</v>
      </c>
      <c r="G15" t="str">
        <f t="shared" si="3"/>
        <v>December</v>
      </c>
      <c r="H15" t="str">
        <f t="shared" si="4"/>
        <v>2024-12</v>
      </c>
      <c r="I15" s="4">
        <f t="shared" ca="1" si="0"/>
        <v>276</v>
      </c>
      <c r="J15" t="s">
        <v>72</v>
      </c>
      <c r="K15" t="s">
        <v>73</v>
      </c>
      <c r="L15" t="s">
        <v>74</v>
      </c>
      <c r="M15">
        <v>28</v>
      </c>
      <c r="N15" t="str">
        <f>VLOOKUP(M15, CategoryMap!$A$2:$B$100, 2, FALSE)</f>
        <v>Science &amp; Technology</v>
      </c>
      <c r="O15">
        <v>325551</v>
      </c>
      <c r="P15">
        <v>4275</v>
      </c>
      <c r="Q15">
        <v>90</v>
      </c>
      <c r="R15" s="3">
        <f t="shared" si="5"/>
        <v>1.3408037450353402E-2</v>
      </c>
      <c r="S15">
        <v>24</v>
      </c>
      <c r="T15" t="str">
        <f t="shared" si="6"/>
        <v>Short</v>
      </c>
    </row>
    <row r="16" spans="1:20" ht="18.75" customHeight="1" x14ac:dyDescent="0.35">
      <c r="A16" t="s">
        <v>75</v>
      </c>
      <c r="B16" t="s">
        <v>2417</v>
      </c>
      <c r="C16" t="s">
        <v>2932</v>
      </c>
      <c r="D16" s="2" t="s">
        <v>76</v>
      </c>
      <c r="E16" s="2">
        <f t="shared" si="1"/>
        <v>45371</v>
      </c>
      <c r="F16" s="4">
        <f t="shared" si="2"/>
        <v>2024</v>
      </c>
      <c r="G16" t="str">
        <f t="shared" si="3"/>
        <v>March</v>
      </c>
      <c r="H16" t="str">
        <f t="shared" si="4"/>
        <v>2024-03</v>
      </c>
      <c r="I16" s="4">
        <f t="shared" ca="1" si="0"/>
        <v>553</v>
      </c>
      <c r="J16" t="s">
        <v>77</v>
      </c>
      <c r="K16" t="s">
        <v>78</v>
      </c>
      <c r="L16" t="s">
        <v>29</v>
      </c>
      <c r="M16">
        <v>28</v>
      </c>
      <c r="N16" t="str">
        <f>VLOOKUP(M16, CategoryMap!$A$2:$B$100, 2, FALSE)</f>
        <v>Science &amp; Technology</v>
      </c>
      <c r="O16">
        <v>14680422</v>
      </c>
      <c r="P16">
        <v>776463</v>
      </c>
      <c r="Q16">
        <v>5333</v>
      </c>
      <c r="R16" s="3">
        <f t="shared" si="5"/>
        <v>5.3254327430097038E-2</v>
      </c>
      <c r="S16">
        <v>60</v>
      </c>
      <c r="T16" t="str">
        <f t="shared" si="6"/>
        <v>Short</v>
      </c>
    </row>
    <row r="17" spans="1:20" ht="18.75" customHeight="1" x14ac:dyDescent="0.35">
      <c r="A17" t="s">
        <v>79</v>
      </c>
      <c r="B17" t="s">
        <v>2418</v>
      </c>
      <c r="C17" t="s">
        <v>80</v>
      </c>
      <c r="D17" s="2" t="s">
        <v>81</v>
      </c>
      <c r="E17" s="2">
        <f t="shared" si="1"/>
        <v>44487</v>
      </c>
      <c r="F17" s="4">
        <f t="shared" si="2"/>
        <v>2021</v>
      </c>
      <c r="G17" t="str">
        <f t="shared" si="3"/>
        <v>October</v>
      </c>
      <c r="H17" t="str">
        <f t="shared" si="4"/>
        <v>2021-10</v>
      </c>
      <c r="I17" s="4">
        <f t="shared" ca="1" si="0"/>
        <v>1437</v>
      </c>
      <c r="J17" t="s">
        <v>82</v>
      </c>
      <c r="K17" t="s">
        <v>83</v>
      </c>
      <c r="L17" t="s">
        <v>29</v>
      </c>
      <c r="M17">
        <v>25</v>
      </c>
      <c r="N17" t="str">
        <f>VLOOKUP(M17, CategoryMap!$A$2:$B$100, 2, FALSE)</f>
        <v>News &amp; Politics</v>
      </c>
      <c r="O17">
        <v>607010</v>
      </c>
      <c r="P17">
        <v>5352</v>
      </c>
      <c r="Q17">
        <v>49</v>
      </c>
      <c r="R17" s="3">
        <f t="shared" si="5"/>
        <v>8.8977117345677998E-3</v>
      </c>
      <c r="S17">
        <v>10</v>
      </c>
      <c r="T17" t="str">
        <f t="shared" si="6"/>
        <v>Short</v>
      </c>
    </row>
    <row r="18" spans="1:20" ht="18.75" customHeight="1" x14ac:dyDescent="0.35">
      <c r="A18" t="s">
        <v>84</v>
      </c>
      <c r="B18" t="s">
        <v>2419</v>
      </c>
      <c r="C18" t="s">
        <v>2933</v>
      </c>
      <c r="D18" s="2" t="s">
        <v>85</v>
      </c>
      <c r="E18" s="2">
        <f t="shared" si="1"/>
        <v>45424</v>
      </c>
      <c r="F18" s="4">
        <f t="shared" si="2"/>
        <v>2024</v>
      </c>
      <c r="G18" t="str">
        <f t="shared" si="3"/>
        <v>May</v>
      </c>
      <c r="H18" t="str">
        <f t="shared" si="4"/>
        <v>2024-05</v>
      </c>
      <c r="I18" s="4">
        <f t="shared" ca="1" si="0"/>
        <v>500</v>
      </c>
      <c r="J18" t="s">
        <v>86</v>
      </c>
      <c r="K18" t="s">
        <v>87</v>
      </c>
      <c r="L18" t="s">
        <v>29</v>
      </c>
      <c r="M18">
        <v>28</v>
      </c>
      <c r="N18" t="str">
        <f>VLOOKUP(M18, CategoryMap!$A$2:$B$100, 2, FALSE)</f>
        <v>Science &amp; Technology</v>
      </c>
      <c r="O18">
        <v>45858812</v>
      </c>
      <c r="P18">
        <v>2122004</v>
      </c>
      <c r="Q18">
        <v>5830</v>
      </c>
      <c r="R18" s="3">
        <f t="shared" si="5"/>
        <v>4.6399675595608536E-2</v>
      </c>
      <c r="S18">
        <v>17</v>
      </c>
      <c r="T18" t="str">
        <f t="shared" si="6"/>
        <v>Short</v>
      </c>
    </row>
    <row r="19" spans="1:20" ht="18.75" customHeight="1" x14ac:dyDescent="0.35">
      <c r="A19" t="s">
        <v>88</v>
      </c>
      <c r="B19" t="s">
        <v>2420</v>
      </c>
      <c r="C19" t="s">
        <v>2934</v>
      </c>
      <c r="D19" s="2" t="s">
        <v>89</v>
      </c>
      <c r="E19" s="2">
        <f t="shared" si="1"/>
        <v>45677</v>
      </c>
      <c r="F19" s="4">
        <f t="shared" si="2"/>
        <v>2025</v>
      </c>
      <c r="G19" t="str">
        <f t="shared" si="3"/>
        <v>January</v>
      </c>
      <c r="H19" t="str">
        <f t="shared" si="4"/>
        <v>2025-01</v>
      </c>
      <c r="I19" s="4">
        <f t="shared" ca="1" si="0"/>
        <v>247</v>
      </c>
      <c r="J19" t="s">
        <v>90</v>
      </c>
      <c r="K19" t="s">
        <v>91</v>
      </c>
      <c r="L19" t="s">
        <v>92</v>
      </c>
      <c r="M19">
        <v>28</v>
      </c>
      <c r="N19" t="str">
        <f>VLOOKUP(M19, CategoryMap!$A$2:$B$100, 2, FALSE)</f>
        <v>Science &amp; Technology</v>
      </c>
      <c r="O19">
        <v>833726</v>
      </c>
      <c r="P19">
        <v>5154</v>
      </c>
      <c r="Q19">
        <v>250</v>
      </c>
      <c r="R19" s="3">
        <f t="shared" si="5"/>
        <v>6.4817458013783904E-3</v>
      </c>
      <c r="S19">
        <v>976</v>
      </c>
      <c r="T19" t="str">
        <f t="shared" si="6"/>
        <v>Long</v>
      </c>
    </row>
    <row r="20" spans="1:20" ht="18.75" customHeight="1" x14ac:dyDescent="0.35">
      <c r="A20" t="s">
        <v>93</v>
      </c>
      <c r="B20" t="s">
        <v>2421</v>
      </c>
      <c r="C20" t="s">
        <v>2935</v>
      </c>
      <c r="D20" s="2" t="s">
        <v>94</v>
      </c>
      <c r="E20" s="2">
        <f t="shared" si="1"/>
        <v>45097</v>
      </c>
      <c r="F20" s="4">
        <f t="shared" si="2"/>
        <v>2023</v>
      </c>
      <c r="G20" t="str">
        <f t="shared" si="3"/>
        <v>June</v>
      </c>
      <c r="H20" t="str">
        <f t="shared" si="4"/>
        <v>2023-06</v>
      </c>
      <c r="I20" s="4">
        <f t="shared" ca="1" si="0"/>
        <v>827</v>
      </c>
      <c r="J20" t="s">
        <v>95</v>
      </c>
      <c r="K20" t="s">
        <v>96</v>
      </c>
      <c r="L20" t="s">
        <v>97</v>
      </c>
      <c r="M20">
        <v>28</v>
      </c>
      <c r="N20" t="str">
        <f>VLOOKUP(M20, CategoryMap!$A$2:$B$100, 2, FALSE)</f>
        <v>Science &amp; Technology</v>
      </c>
      <c r="O20">
        <v>489568</v>
      </c>
      <c r="P20">
        <v>18095</v>
      </c>
      <c r="Q20">
        <v>270</v>
      </c>
      <c r="R20" s="3">
        <f t="shared" si="5"/>
        <v>3.751266422642003E-2</v>
      </c>
      <c r="S20">
        <v>57</v>
      </c>
      <c r="T20" t="str">
        <f t="shared" si="6"/>
        <v>Short</v>
      </c>
    </row>
    <row r="21" spans="1:20" ht="18.75" customHeight="1" x14ac:dyDescent="0.35">
      <c r="A21" t="s">
        <v>98</v>
      </c>
      <c r="B21" t="s">
        <v>2422</v>
      </c>
      <c r="C21" t="s">
        <v>2936</v>
      </c>
      <c r="D21" s="2" t="s">
        <v>99</v>
      </c>
      <c r="E21" s="2">
        <f t="shared" si="1"/>
        <v>45761</v>
      </c>
      <c r="F21" s="4">
        <f t="shared" si="2"/>
        <v>2025</v>
      </c>
      <c r="G21" t="str">
        <f t="shared" si="3"/>
        <v>April</v>
      </c>
      <c r="H21" t="str">
        <f t="shared" si="4"/>
        <v>2025-04</v>
      </c>
      <c r="I21" s="4">
        <f t="shared" ca="1" si="0"/>
        <v>163</v>
      </c>
      <c r="J21" t="s">
        <v>13</v>
      </c>
      <c r="K21" t="s">
        <v>14</v>
      </c>
      <c r="L21" t="s">
        <v>100</v>
      </c>
      <c r="M21">
        <v>28</v>
      </c>
      <c r="N21" t="str">
        <f>VLOOKUP(M21, CategoryMap!$A$2:$B$100, 2, FALSE)</f>
        <v>Science &amp; Technology</v>
      </c>
      <c r="O21">
        <v>5622625</v>
      </c>
      <c r="P21">
        <v>162031</v>
      </c>
      <c r="Q21">
        <v>8716</v>
      </c>
      <c r="R21" s="3">
        <f t="shared" si="5"/>
        <v>3.0367844200884817E-2</v>
      </c>
      <c r="S21">
        <v>2010</v>
      </c>
      <c r="T21" t="str">
        <f t="shared" si="6"/>
        <v>Long</v>
      </c>
    </row>
    <row r="22" spans="1:20" ht="18.75" customHeight="1" x14ac:dyDescent="0.35">
      <c r="A22" t="s">
        <v>101</v>
      </c>
      <c r="B22" t="s">
        <v>102</v>
      </c>
      <c r="C22" t="s">
        <v>103</v>
      </c>
      <c r="D22" s="2" t="s">
        <v>104</v>
      </c>
      <c r="E22" s="2">
        <f t="shared" si="1"/>
        <v>45709</v>
      </c>
      <c r="F22" s="4">
        <f t="shared" si="2"/>
        <v>2025</v>
      </c>
      <c r="G22" t="str">
        <f t="shared" si="3"/>
        <v>February</v>
      </c>
      <c r="H22" t="str">
        <f t="shared" si="4"/>
        <v>2025-02</v>
      </c>
      <c r="I22" s="4">
        <f t="shared" ca="1" si="0"/>
        <v>215</v>
      </c>
      <c r="J22" t="s">
        <v>13</v>
      </c>
      <c r="K22" t="s">
        <v>14</v>
      </c>
      <c r="L22" t="s">
        <v>29</v>
      </c>
      <c r="M22">
        <v>28</v>
      </c>
      <c r="N22" t="str">
        <f>VLOOKUP(M22, CategoryMap!$A$2:$B$100, 2, FALSE)</f>
        <v>Science &amp; Technology</v>
      </c>
      <c r="O22">
        <v>7630240</v>
      </c>
      <c r="P22">
        <v>482430</v>
      </c>
      <c r="Q22">
        <v>4264</v>
      </c>
      <c r="R22" s="3">
        <f t="shared" si="5"/>
        <v>6.3784887500262122E-2</v>
      </c>
      <c r="S22">
        <v>48</v>
      </c>
      <c r="T22" t="str">
        <f t="shared" si="6"/>
        <v>Short</v>
      </c>
    </row>
    <row r="23" spans="1:20" ht="18.75" customHeight="1" x14ac:dyDescent="0.35">
      <c r="A23" t="s">
        <v>105</v>
      </c>
      <c r="B23" t="s">
        <v>2423</v>
      </c>
      <c r="C23" t="s">
        <v>2937</v>
      </c>
      <c r="D23" s="2" t="s">
        <v>106</v>
      </c>
      <c r="E23" s="2">
        <f t="shared" si="1"/>
        <v>45710</v>
      </c>
      <c r="F23" s="4">
        <f t="shared" si="2"/>
        <v>2025</v>
      </c>
      <c r="G23" t="str">
        <f t="shared" si="3"/>
        <v>February</v>
      </c>
      <c r="H23" t="str">
        <f t="shared" si="4"/>
        <v>2025-02</v>
      </c>
      <c r="I23" s="4">
        <f t="shared" ca="1" si="0"/>
        <v>214</v>
      </c>
      <c r="J23" t="s">
        <v>107</v>
      </c>
      <c r="K23" t="s">
        <v>108</v>
      </c>
      <c r="L23" t="s">
        <v>29</v>
      </c>
      <c r="M23">
        <v>28</v>
      </c>
      <c r="N23" t="str">
        <f>VLOOKUP(M23, CategoryMap!$A$2:$B$100, 2, FALSE)</f>
        <v>Science &amp; Technology</v>
      </c>
      <c r="O23">
        <v>2380315</v>
      </c>
      <c r="P23">
        <v>201086</v>
      </c>
      <c r="Q23">
        <v>28910</v>
      </c>
      <c r="R23" s="3">
        <f t="shared" si="5"/>
        <v>9.662418629467108E-2</v>
      </c>
      <c r="S23">
        <v>2272</v>
      </c>
      <c r="T23" t="str">
        <f t="shared" si="6"/>
        <v>Long</v>
      </c>
    </row>
    <row r="24" spans="1:20" ht="18.75" customHeight="1" x14ac:dyDescent="0.35">
      <c r="A24" t="s">
        <v>109</v>
      </c>
      <c r="B24" t="s">
        <v>2424</v>
      </c>
      <c r="C24" t="s">
        <v>2938</v>
      </c>
      <c r="D24" s="2" t="s">
        <v>110</v>
      </c>
      <c r="E24" s="2">
        <f t="shared" si="1"/>
        <v>45042</v>
      </c>
      <c r="F24" s="4">
        <f t="shared" si="2"/>
        <v>2023</v>
      </c>
      <c r="G24" t="str">
        <f t="shared" si="3"/>
        <v>April</v>
      </c>
      <c r="H24" t="str">
        <f t="shared" si="4"/>
        <v>2023-04</v>
      </c>
      <c r="I24" s="4">
        <f t="shared" ca="1" si="0"/>
        <v>882</v>
      </c>
      <c r="J24" t="s">
        <v>13</v>
      </c>
      <c r="K24" t="s">
        <v>14</v>
      </c>
      <c r="L24" t="s">
        <v>29</v>
      </c>
      <c r="M24">
        <v>28</v>
      </c>
      <c r="N24" t="str">
        <f>VLOOKUP(M24, CategoryMap!$A$2:$B$100, 2, FALSE)</f>
        <v>Science &amp; Technology</v>
      </c>
      <c r="O24">
        <v>31867107</v>
      </c>
      <c r="P24">
        <v>1762232</v>
      </c>
      <c r="Q24">
        <v>2990</v>
      </c>
      <c r="R24" s="3">
        <f t="shared" si="5"/>
        <v>5.5393230392705557E-2</v>
      </c>
      <c r="S24">
        <v>59</v>
      </c>
      <c r="T24" t="str">
        <f t="shared" si="6"/>
        <v>Short</v>
      </c>
    </row>
    <row r="25" spans="1:20" ht="18.75" customHeight="1" x14ac:dyDescent="0.35">
      <c r="A25" t="s">
        <v>111</v>
      </c>
      <c r="B25" t="s">
        <v>2425</v>
      </c>
      <c r="C25" t="s">
        <v>2939</v>
      </c>
      <c r="D25" s="2" t="s">
        <v>112</v>
      </c>
      <c r="E25" s="2">
        <f t="shared" si="1"/>
        <v>45541</v>
      </c>
      <c r="F25" s="4">
        <f t="shared" si="2"/>
        <v>2024</v>
      </c>
      <c r="G25" t="str">
        <f t="shared" si="3"/>
        <v>September</v>
      </c>
      <c r="H25" t="str">
        <f t="shared" si="4"/>
        <v>2024-09</v>
      </c>
      <c r="I25" s="4">
        <f t="shared" ca="1" si="0"/>
        <v>383</v>
      </c>
      <c r="J25" t="s">
        <v>77</v>
      </c>
      <c r="K25" t="s">
        <v>78</v>
      </c>
      <c r="L25" t="s">
        <v>29</v>
      </c>
      <c r="M25">
        <v>28</v>
      </c>
      <c r="N25" t="str">
        <f>VLOOKUP(M25, CategoryMap!$A$2:$B$100, 2, FALSE)</f>
        <v>Science &amp; Technology</v>
      </c>
      <c r="O25">
        <v>2762739</v>
      </c>
      <c r="P25">
        <v>175723</v>
      </c>
      <c r="Q25">
        <v>1357</v>
      </c>
      <c r="R25" s="3">
        <f t="shared" si="5"/>
        <v>6.4095812163219176E-2</v>
      </c>
      <c r="S25">
        <v>60</v>
      </c>
      <c r="T25" t="str">
        <f t="shared" si="6"/>
        <v>Short</v>
      </c>
    </row>
    <row r="26" spans="1:20" ht="18.75" customHeight="1" x14ac:dyDescent="0.35">
      <c r="A26" t="s">
        <v>113</v>
      </c>
      <c r="B26" t="s">
        <v>2426</v>
      </c>
      <c r="C26" t="s">
        <v>2940</v>
      </c>
      <c r="D26" s="2" t="s">
        <v>114</v>
      </c>
      <c r="E26" s="2">
        <f t="shared" si="1"/>
        <v>45357</v>
      </c>
      <c r="F26" s="4">
        <f t="shared" si="2"/>
        <v>2024</v>
      </c>
      <c r="G26" t="str">
        <f t="shared" si="3"/>
        <v>March</v>
      </c>
      <c r="H26" t="str">
        <f t="shared" si="4"/>
        <v>2024-03</v>
      </c>
      <c r="I26" s="4">
        <f t="shared" ca="1" si="0"/>
        <v>567</v>
      </c>
      <c r="J26" t="s">
        <v>13</v>
      </c>
      <c r="K26" t="s">
        <v>14</v>
      </c>
      <c r="L26" t="s">
        <v>29</v>
      </c>
      <c r="M26">
        <v>28</v>
      </c>
      <c r="N26" t="str">
        <f>VLOOKUP(M26, CategoryMap!$A$2:$B$100, 2, FALSE)</f>
        <v>Science &amp; Technology</v>
      </c>
      <c r="O26">
        <v>10173228</v>
      </c>
      <c r="P26">
        <v>645399</v>
      </c>
      <c r="Q26">
        <v>806</v>
      </c>
      <c r="R26" s="3">
        <f t="shared" si="5"/>
        <v>6.3520153092017598E-2</v>
      </c>
      <c r="S26">
        <v>60</v>
      </c>
      <c r="T26" t="str">
        <f t="shared" si="6"/>
        <v>Short</v>
      </c>
    </row>
    <row r="27" spans="1:20" ht="18.75" customHeight="1" x14ac:dyDescent="0.35">
      <c r="A27" t="s">
        <v>115</v>
      </c>
      <c r="B27" t="s">
        <v>2427</v>
      </c>
      <c r="C27" t="s">
        <v>2941</v>
      </c>
      <c r="D27" s="2" t="s">
        <v>116</v>
      </c>
      <c r="E27" s="2">
        <f t="shared" si="1"/>
        <v>45636</v>
      </c>
      <c r="F27" s="4">
        <f t="shared" si="2"/>
        <v>2024</v>
      </c>
      <c r="G27" t="str">
        <f t="shared" si="3"/>
        <v>December</v>
      </c>
      <c r="H27" t="str">
        <f t="shared" si="4"/>
        <v>2024-12</v>
      </c>
      <c r="I27" s="4">
        <f t="shared" ca="1" si="0"/>
        <v>288</v>
      </c>
      <c r="J27" t="s">
        <v>117</v>
      </c>
      <c r="K27" t="s">
        <v>118</v>
      </c>
      <c r="L27" t="s">
        <v>119</v>
      </c>
      <c r="M27">
        <v>27</v>
      </c>
      <c r="N27" t="str">
        <f>VLOOKUP(M27, CategoryMap!$A$2:$B$100, 2, FALSE)</f>
        <v>Education</v>
      </c>
      <c r="O27">
        <v>3260448</v>
      </c>
      <c r="P27">
        <v>217464.60837887001</v>
      </c>
      <c r="Q27">
        <v>30571</v>
      </c>
      <c r="R27" s="3">
        <f t="shared" si="5"/>
        <v>7.6074088094295639E-2</v>
      </c>
      <c r="S27">
        <v>28</v>
      </c>
      <c r="T27" t="str">
        <f t="shared" si="6"/>
        <v>Short</v>
      </c>
    </row>
    <row r="28" spans="1:20" ht="18.75" customHeight="1" x14ac:dyDescent="0.35">
      <c r="A28" t="s">
        <v>120</v>
      </c>
      <c r="B28" t="s">
        <v>2428</v>
      </c>
      <c r="C28" t="s">
        <v>2942</v>
      </c>
      <c r="D28" s="2" t="s">
        <v>121</v>
      </c>
      <c r="E28" s="2">
        <f t="shared" si="1"/>
        <v>45823</v>
      </c>
      <c r="F28" s="4">
        <f t="shared" si="2"/>
        <v>2025</v>
      </c>
      <c r="G28" t="str">
        <f t="shared" si="3"/>
        <v>June</v>
      </c>
      <c r="H28" t="str">
        <f t="shared" si="4"/>
        <v>2025-06</v>
      </c>
      <c r="I28" s="4">
        <f t="shared" ca="1" si="0"/>
        <v>101</v>
      </c>
      <c r="J28" t="s">
        <v>107</v>
      </c>
      <c r="K28" t="s">
        <v>108</v>
      </c>
      <c r="L28" t="s">
        <v>29</v>
      </c>
      <c r="M28">
        <v>28</v>
      </c>
      <c r="N28" t="str">
        <f>VLOOKUP(M28, CategoryMap!$A$2:$B$100, 2, FALSE)</f>
        <v>Science &amp; Technology</v>
      </c>
      <c r="O28">
        <v>789603</v>
      </c>
      <c r="P28">
        <v>36116</v>
      </c>
      <c r="Q28">
        <v>5166</v>
      </c>
      <c r="R28" s="3">
        <f t="shared" si="5"/>
        <v>5.2281969546721582E-2</v>
      </c>
      <c r="S28">
        <v>1947</v>
      </c>
      <c r="T28" t="str">
        <f t="shared" si="6"/>
        <v>Long</v>
      </c>
    </row>
    <row r="29" spans="1:20" ht="18.75" customHeight="1" x14ac:dyDescent="0.35">
      <c r="A29" t="s">
        <v>122</v>
      </c>
      <c r="B29" t="s">
        <v>2429</v>
      </c>
      <c r="C29" t="s">
        <v>2943</v>
      </c>
      <c r="D29" s="2" t="s">
        <v>123</v>
      </c>
      <c r="E29" s="2">
        <f t="shared" si="1"/>
        <v>42546</v>
      </c>
      <c r="F29" s="4">
        <f t="shared" si="2"/>
        <v>2016</v>
      </c>
      <c r="G29" t="str">
        <f t="shared" si="3"/>
        <v>June</v>
      </c>
      <c r="H29" t="str">
        <f t="shared" si="4"/>
        <v>2016-06</v>
      </c>
      <c r="I29" s="4">
        <f t="shared" ca="1" si="0"/>
        <v>3378</v>
      </c>
      <c r="J29" t="s">
        <v>124</v>
      </c>
      <c r="K29" t="s">
        <v>125</v>
      </c>
      <c r="L29" t="s">
        <v>126</v>
      </c>
      <c r="M29">
        <v>10</v>
      </c>
      <c r="N29" t="str">
        <f>VLOOKUP(M29, CategoryMap!$A$2:$B$100, 2, FALSE)</f>
        <v>Music</v>
      </c>
      <c r="O29">
        <v>2149006</v>
      </c>
      <c r="P29">
        <v>23771</v>
      </c>
      <c r="Q29">
        <v>583</v>
      </c>
      <c r="R29" s="3">
        <f t="shared" si="5"/>
        <v>1.1332681248912287E-2</v>
      </c>
      <c r="S29">
        <v>249</v>
      </c>
      <c r="T29" t="str">
        <f t="shared" si="6"/>
        <v>Long</v>
      </c>
    </row>
    <row r="30" spans="1:20" ht="18.75" customHeight="1" x14ac:dyDescent="0.35">
      <c r="A30" t="s">
        <v>127</v>
      </c>
      <c r="B30" t="s">
        <v>2430</v>
      </c>
      <c r="C30" t="s">
        <v>2944</v>
      </c>
      <c r="D30" s="2" t="s">
        <v>128</v>
      </c>
      <c r="E30" s="2">
        <f t="shared" si="1"/>
        <v>45545</v>
      </c>
      <c r="F30" s="4">
        <f t="shared" si="2"/>
        <v>2024</v>
      </c>
      <c r="G30" t="str">
        <f t="shared" si="3"/>
        <v>September</v>
      </c>
      <c r="H30" t="str">
        <f t="shared" si="4"/>
        <v>2024-09</v>
      </c>
      <c r="I30" s="4">
        <f t="shared" ca="1" si="0"/>
        <v>379</v>
      </c>
      <c r="J30" t="s">
        <v>129</v>
      </c>
      <c r="K30" t="s">
        <v>130</v>
      </c>
      <c r="L30" t="s">
        <v>131</v>
      </c>
      <c r="M30">
        <v>28</v>
      </c>
      <c r="N30" t="str">
        <f>VLOOKUP(M30, CategoryMap!$A$2:$B$100, 2, FALSE)</f>
        <v>Science &amp; Technology</v>
      </c>
      <c r="O30">
        <v>300032</v>
      </c>
      <c r="P30">
        <v>2085</v>
      </c>
      <c r="Q30">
        <v>14</v>
      </c>
      <c r="R30" s="3">
        <f t="shared" si="5"/>
        <v>6.9959204351535834E-3</v>
      </c>
      <c r="S30">
        <v>15</v>
      </c>
      <c r="T30" t="str">
        <f t="shared" si="6"/>
        <v>Short</v>
      </c>
    </row>
    <row r="31" spans="1:20" ht="18.75" customHeight="1" x14ac:dyDescent="0.35">
      <c r="A31" t="s">
        <v>132</v>
      </c>
      <c r="B31" t="s">
        <v>2431</v>
      </c>
      <c r="C31" t="s">
        <v>2945</v>
      </c>
      <c r="D31" s="2" t="s">
        <v>133</v>
      </c>
      <c r="E31" s="2">
        <f t="shared" si="1"/>
        <v>45660</v>
      </c>
      <c r="F31" s="4">
        <f t="shared" si="2"/>
        <v>2025</v>
      </c>
      <c r="G31" t="str">
        <f t="shared" si="3"/>
        <v>January</v>
      </c>
      <c r="H31" t="str">
        <f t="shared" si="4"/>
        <v>2025-01</v>
      </c>
      <c r="I31" s="4">
        <f t="shared" ca="1" si="0"/>
        <v>264</v>
      </c>
      <c r="J31" t="s">
        <v>134</v>
      </c>
      <c r="K31" t="s">
        <v>135</v>
      </c>
      <c r="L31" t="s">
        <v>136</v>
      </c>
      <c r="M31">
        <v>28</v>
      </c>
      <c r="N31" t="str">
        <f>VLOOKUP(M31, CategoryMap!$A$2:$B$100, 2, FALSE)</f>
        <v>Science &amp; Technology</v>
      </c>
      <c r="O31">
        <v>1787798</v>
      </c>
      <c r="P31">
        <v>70823</v>
      </c>
      <c r="Q31">
        <v>2473</v>
      </c>
      <c r="R31" s="3">
        <f t="shared" si="5"/>
        <v>4.0997920346705838E-2</v>
      </c>
      <c r="S31">
        <v>550</v>
      </c>
      <c r="T31" t="str">
        <f t="shared" si="6"/>
        <v>Long</v>
      </c>
    </row>
    <row r="32" spans="1:20" ht="18.75" customHeight="1" x14ac:dyDescent="0.35">
      <c r="A32" t="s">
        <v>137</v>
      </c>
      <c r="B32" t="s">
        <v>2432</v>
      </c>
      <c r="C32" t="s">
        <v>2946</v>
      </c>
      <c r="D32" s="2" t="s">
        <v>138</v>
      </c>
      <c r="E32" s="2">
        <f t="shared" si="1"/>
        <v>45634</v>
      </c>
      <c r="F32" s="4">
        <f t="shared" si="2"/>
        <v>2024</v>
      </c>
      <c r="G32" t="str">
        <f t="shared" si="3"/>
        <v>December</v>
      </c>
      <c r="H32" t="str">
        <f t="shared" si="4"/>
        <v>2024-12</v>
      </c>
      <c r="I32" s="4">
        <f t="shared" ca="1" si="0"/>
        <v>290</v>
      </c>
      <c r="J32" t="s">
        <v>139</v>
      </c>
      <c r="K32" t="s">
        <v>140</v>
      </c>
      <c r="L32" t="s">
        <v>141</v>
      </c>
      <c r="M32">
        <v>28</v>
      </c>
      <c r="N32" t="str">
        <f>VLOOKUP(M32, CategoryMap!$A$2:$B$100, 2, FALSE)</f>
        <v>Science &amp; Technology</v>
      </c>
      <c r="O32">
        <v>2242085</v>
      </c>
      <c r="P32">
        <v>97044</v>
      </c>
      <c r="Q32">
        <v>824</v>
      </c>
      <c r="R32" s="3">
        <f t="shared" si="5"/>
        <v>4.3650441441782983E-2</v>
      </c>
      <c r="S32">
        <v>33</v>
      </c>
      <c r="T32" t="str">
        <f t="shared" si="6"/>
        <v>Short</v>
      </c>
    </row>
    <row r="33" spans="1:20" ht="18.75" customHeight="1" x14ac:dyDescent="0.35">
      <c r="A33" t="s">
        <v>142</v>
      </c>
      <c r="B33" t="s">
        <v>2433</v>
      </c>
      <c r="C33" t="s">
        <v>2947</v>
      </c>
      <c r="D33" s="2" t="s">
        <v>143</v>
      </c>
      <c r="E33" s="2">
        <f t="shared" si="1"/>
        <v>44813</v>
      </c>
      <c r="F33" s="4">
        <f t="shared" si="2"/>
        <v>2022</v>
      </c>
      <c r="G33" t="str">
        <f t="shared" si="3"/>
        <v>September</v>
      </c>
      <c r="H33" t="str">
        <f t="shared" si="4"/>
        <v>2022-09</v>
      </c>
      <c r="I33" s="4">
        <f t="shared" ca="1" si="0"/>
        <v>1111</v>
      </c>
      <c r="J33" t="s">
        <v>144</v>
      </c>
      <c r="K33" t="s">
        <v>145</v>
      </c>
      <c r="L33" t="s">
        <v>146</v>
      </c>
      <c r="M33">
        <v>28</v>
      </c>
      <c r="N33" t="str">
        <f>VLOOKUP(M33, CategoryMap!$A$2:$B$100, 2, FALSE)</f>
        <v>Science &amp; Technology</v>
      </c>
      <c r="O33">
        <v>37502912</v>
      </c>
      <c r="P33">
        <v>2354591</v>
      </c>
      <c r="Q33">
        <v>4795</v>
      </c>
      <c r="R33" s="3">
        <f t="shared" si="5"/>
        <v>6.2912074667695134E-2</v>
      </c>
      <c r="S33">
        <v>45</v>
      </c>
      <c r="T33" t="str">
        <f t="shared" si="6"/>
        <v>Short</v>
      </c>
    </row>
    <row r="34" spans="1:20" ht="18.75" customHeight="1" x14ac:dyDescent="0.35">
      <c r="A34" t="s">
        <v>147</v>
      </c>
      <c r="B34" t="s">
        <v>2434</v>
      </c>
      <c r="C34" t="s">
        <v>2948</v>
      </c>
      <c r="D34" s="2" t="s">
        <v>148</v>
      </c>
      <c r="E34" s="2">
        <f t="shared" si="1"/>
        <v>45535</v>
      </c>
      <c r="F34" s="4">
        <f t="shared" si="2"/>
        <v>2024</v>
      </c>
      <c r="G34" t="str">
        <f t="shared" si="3"/>
        <v>August</v>
      </c>
      <c r="H34" t="str">
        <f t="shared" si="4"/>
        <v>2024-08</v>
      </c>
      <c r="I34" s="4">
        <f t="shared" ca="1" si="0"/>
        <v>389</v>
      </c>
      <c r="J34" t="s">
        <v>149</v>
      </c>
      <c r="K34" t="s">
        <v>150</v>
      </c>
      <c r="L34" t="s">
        <v>29</v>
      </c>
      <c r="M34">
        <v>27</v>
      </c>
      <c r="N34" t="str">
        <f>VLOOKUP(M34, CategoryMap!$A$2:$B$100, 2, FALSE)</f>
        <v>Education</v>
      </c>
      <c r="O34">
        <v>205213</v>
      </c>
      <c r="P34">
        <v>2504</v>
      </c>
      <c r="Q34">
        <v>38</v>
      </c>
      <c r="R34" s="3">
        <f t="shared" si="5"/>
        <v>1.2387129470355192E-2</v>
      </c>
      <c r="S34">
        <v>16</v>
      </c>
      <c r="T34" t="str">
        <f t="shared" si="6"/>
        <v>Short</v>
      </c>
    </row>
    <row r="35" spans="1:20" ht="18.75" customHeight="1" x14ac:dyDescent="0.35">
      <c r="A35" t="s">
        <v>151</v>
      </c>
      <c r="B35" t="s">
        <v>2435</v>
      </c>
      <c r="C35" t="s">
        <v>2949</v>
      </c>
      <c r="D35" s="2" t="s">
        <v>152</v>
      </c>
      <c r="E35" s="2">
        <f t="shared" si="1"/>
        <v>45121</v>
      </c>
      <c r="F35" s="4">
        <f t="shared" si="2"/>
        <v>2023</v>
      </c>
      <c r="G35" t="str">
        <f t="shared" si="3"/>
        <v>July</v>
      </c>
      <c r="H35" t="str">
        <f t="shared" si="4"/>
        <v>2023-07</v>
      </c>
      <c r="I35" s="4">
        <f t="shared" ca="1" si="0"/>
        <v>803</v>
      </c>
      <c r="J35" t="s">
        <v>153</v>
      </c>
      <c r="K35" t="s">
        <v>154</v>
      </c>
      <c r="L35" t="s">
        <v>155</v>
      </c>
      <c r="M35">
        <v>24</v>
      </c>
      <c r="N35" t="str">
        <f>VLOOKUP(M35, CategoryMap!$A$2:$B$100, 2, FALSE)</f>
        <v>Entertainment</v>
      </c>
      <c r="O35">
        <v>33373572</v>
      </c>
      <c r="P35">
        <v>1809807</v>
      </c>
      <c r="Q35">
        <v>21845</v>
      </c>
      <c r="R35" s="3">
        <f t="shared" si="5"/>
        <v>5.4883307067040948E-2</v>
      </c>
      <c r="S35">
        <v>46</v>
      </c>
      <c r="T35" t="str">
        <f t="shared" si="6"/>
        <v>Short</v>
      </c>
    </row>
    <row r="36" spans="1:20" ht="18.75" customHeight="1" x14ac:dyDescent="0.35">
      <c r="A36" t="s">
        <v>156</v>
      </c>
      <c r="B36" t="s">
        <v>157</v>
      </c>
      <c r="C36" t="s">
        <v>2950</v>
      </c>
      <c r="D36" s="2" t="s">
        <v>158</v>
      </c>
      <c r="E36" s="2">
        <f t="shared" si="1"/>
        <v>45670</v>
      </c>
      <c r="F36" s="4">
        <f t="shared" si="2"/>
        <v>2025</v>
      </c>
      <c r="G36" t="str">
        <f t="shared" si="3"/>
        <v>January</v>
      </c>
      <c r="H36" t="str">
        <f t="shared" si="4"/>
        <v>2025-01</v>
      </c>
      <c r="I36" s="4">
        <f t="shared" ca="1" si="0"/>
        <v>254</v>
      </c>
      <c r="J36" t="s">
        <v>159</v>
      </c>
      <c r="K36" t="s">
        <v>160</v>
      </c>
      <c r="L36" t="s">
        <v>161</v>
      </c>
      <c r="M36">
        <v>28</v>
      </c>
      <c r="N36" t="str">
        <f>VLOOKUP(M36, CategoryMap!$A$2:$B$100, 2, FALSE)</f>
        <v>Science &amp; Technology</v>
      </c>
      <c r="O36">
        <v>2207533</v>
      </c>
      <c r="P36">
        <v>22656</v>
      </c>
      <c r="Q36">
        <v>1565</v>
      </c>
      <c r="R36" s="3">
        <f t="shared" si="5"/>
        <v>1.0971976409865674E-2</v>
      </c>
      <c r="S36">
        <v>1886</v>
      </c>
      <c r="T36" t="str">
        <f t="shared" si="6"/>
        <v>Long</v>
      </c>
    </row>
    <row r="37" spans="1:20" ht="18.75" customHeight="1" x14ac:dyDescent="0.35">
      <c r="A37" t="s">
        <v>162</v>
      </c>
      <c r="B37" t="s">
        <v>2436</v>
      </c>
      <c r="C37" t="s">
        <v>2951</v>
      </c>
      <c r="D37" s="2" t="s">
        <v>163</v>
      </c>
      <c r="E37" s="2">
        <f t="shared" si="1"/>
        <v>45049</v>
      </c>
      <c r="F37" s="4">
        <f t="shared" si="2"/>
        <v>2023</v>
      </c>
      <c r="G37" t="str">
        <f t="shared" si="3"/>
        <v>May</v>
      </c>
      <c r="H37" t="str">
        <f t="shared" si="4"/>
        <v>2023-05</v>
      </c>
      <c r="I37" s="4">
        <f t="shared" ca="1" si="0"/>
        <v>875</v>
      </c>
      <c r="J37" t="s">
        <v>164</v>
      </c>
      <c r="K37" t="s">
        <v>165</v>
      </c>
      <c r="L37" t="s">
        <v>166</v>
      </c>
      <c r="M37">
        <v>28</v>
      </c>
      <c r="N37" t="str">
        <f>VLOOKUP(M37, CategoryMap!$A$2:$B$100, 2, FALSE)</f>
        <v>Science &amp; Technology</v>
      </c>
      <c r="O37">
        <v>42629992</v>
      </c>
      <c r="P37">
        <v>1686053</v>
      </c>
      <c r="Q37">
        <v>3619</v>
      </c>
      <c r="R37" s="3">
        <f t="shared" si="5"/>
        <v>3.9635756910299212E-2</v>
      </c>
      <c r="S37">
        <v>56</v>
      </c>
      <c r="T37" t="str">
        <f t="shared" si="6"/>
        <v>Short</v>
      </c>
    </row>
    <row r="38" spans="1:20" ht="18.75" customHeight="1" x14ac:dyDescent="0.35">
      <c r="A38" t="s">
        <v>167</v>
      </c>
      <c r="B38" t="s">
        <v>2437</v>
      </c>
      <c r="C38" t="s">
        <v>11</v>
      </c>
      <c r="D38" s="2" t="s">
        <v>168</v>
      </c>
      <c r="E38" s="2">
        <f t="shared" si="1"/>
        <v>45317</v>
      </c>
      <c r="F38" s="4">
        <f t="shared" si="2"/>
        <v>2024</v>
      </c>
      <c r="G38" t="str">
        <f t="shared" si="3"/>
        <v>January</v>
      </c>
      <c r="H38" t="str">
        <f t="shared" si="4"/>
        <v>2024-01</v>
      </c>
      <c r="I38" s="4">
        <f t="shared" ca="1" si="0"/>
        <v>607</v>
      </c>
      <c r="J38" t="s">
        <v>169</v>
      </c>
      <c r="K38" t="s">
        <v>170</v>
      </c>
      <c r="L38" t="s">
        <v>171</v>
      </c>
      <c r="M38">
        <v>22</v>
      </c>
      <c r="N38" t="str">
        <f>VLOOKUP(M38, CategoryMap!$A$2:$B$100, 2, FALSE)</f>
        <v>People &amp; Blogs</v>
      </c>
      <c r="O38">
        <v>123931338</v>
      </c>
      <c r="P38">
        <v>1372032</v>
      </c>
      <c r="Q38">
        <v>2898</v>
      </c>
      <c r="R38" s="3">
        <f t="shared" si="5"/>
        <v>1.1094288355056733E-2</v>
      </c>
      <c r="S38">
        <v>17</v>
      </c>
      <c r="T38" t="str">
        <f t="shared" si="6"/>
        <v>Short</v>
      </c>
    </row>
    <row r="39" spans="1:20" ht="18.75" customHeight="1" x14ac:dyDescent="0.35">
      <c r="A39" t="s">
        <v>172</v>
      </c>
      <c r="B39" t="s">
        <v>2438</v>
      </c>
      <c r="C39" t="s">
        <v>2952</v>
      </c>
      <c r="D39" s="2" t="s">
        <v>173</v>
      </c>
      <c r="E39" s="2">
        <f t="shared" si="1"/>
        <v>45198</v>
      </c>
      <c r="F39" s="4">
        <f t="shared" si="2"/>
        <v>2023</v>
      </c>
      <c r="G39" t="str">
        <f t="shared" si="3"/>
        <v>September</v>
      </c>
      <c r="H39" t="str">
        <f t="shared" si="4"/>
        <v>2023-09</v>
      </c>
      <c r="I39" s="4">
        <f t="shared" ca="1" si="0"/>
        <v>726</v>
      </c>
      <c r="J39" t="s">
        <v>139</v>
      </c>
      <c r="K39" t="s">
        <v>140</v>
      </c>
      <c r="L39" t="s">
        <v>174</v>
      </c>
      <c r="M39">
        <v>28</v>
      </c>
      <c r="N39" t="str">
        <f>VLOOKUP(M39, CategoryMap!$A$2:$B$100, 2, FALSE)</f>
        <v>Science &amp; Technology</v>
      </c>
      <c r="O39">
        <v>318704</v>
      </c>
      <c r="P39">
        <v>217464.60837887001</v>
      </c>
      <c r="Q39">
        <v>40</v>
      </c>
      <c r="R39" s="3">
        <f t="shared" si="5"/>
        <v>0.68246588803049224</v>
      </c>
      <c r="S39">
        <v>23</v>
      </c>
      <c r="T39" t="str">
        <f t="shared" si="6"/>
        <v>Short</v>
      </c>
    </row>
    <row r="40" spans="1:20" ht="18.75" customHeight="1" x14ac:dyDescent="0.35">
      <c r="A40" t="s">
        <v>175</v>
      </c>
      <c r="B40" t="s">
        <v>176</v>
      </c>
      <c r="C40" t="s">
        <v>11</v>
      </c>
      <c r="D40" s="2" t="s">
        <v>177</v>
      </c>
      <c r="E40" s="2">
        <f t="shared" si="1"/>
        <v>45702</v>
      </c>
      <c r="F40" s="4">
        <f t="shared" si="2"/>
        <v>2025</v>
      </c>
      <c r="G40" t="str">
        <f t="shared" si="3"/>
        <v>February</v>
      </c>
      <c r="H40" t="str">
        <f t="shared" si="4"/>
        <v>2025-02</v>
      </c>
      <c r="I40" s="4">
        <f t="shared" ca="1" si="0"/>
        <v>222</v>
      </c>
      <c r="J40" t="s">
        <v>178</v>
      </c>
      <c r="K40" t="s">
        <v>179</v>
      </c>
      <c r="L40" t="s">
        <v>29</v>
      </c>
      <c r="M40">
        <v>28</v>
      </c>
      <c r="N40" t="str">
        <f>VLOOKUP(M40, CategoryMap!$A$2:$B$100, 2, FALSE)</f>
        <v>Science &amp; Technology</v>
      </c>
      <c r="O40">
        <v>1430897</v>
      </c>
      <c r="P40">
        <v>79362</v>
      </c>
      <c r="Q40">
        <v>1521</v>
      </c>
      <c r="R40" s="3">
        <f t="shared" si="5"/>
        <v>5.6526081192426851E-2</v>
      </c>
      <c r="S40">
        <v>25</v>
      </c>
      <c r="T40" t="str">
        <f t="shared" si="6"/>
        <v>Short</v>
      </c>
    </row>
    <row r="41" spans="1:20" ht="18.75" customHeight="1" x14ac:dyDescent="0.35">
      <c r="A41" t="s">
        <v>180</v>
      </c>
      <c r="B41" t="s">
        <v>2439</v>
      </c>
      <c r="C41" t="s">
        <v>2953</v>
      </c>
      <c r="D41" s="2" t="s">
        <v>181</v>
      </c>
      <c r="E41" s="2">
        <f t="shared" si="1"/>
        <v>45805</v>
      </c>
      <c r="F41" s="4">
        <f t="shared" si="2"/>
        <v>2025</v>
      </c>
      <c r="G41" t="str">
        <f t="shared" si="3"/>
        <v>May</v>
      </c>
      <c r="H41" t="str">
        <f t="shared" si="4"/>
        <v>2025-05</v>
      </c>
      <c r="I41" s="4">
        <f t="shared" ca="1" si="0"/>
        <v>119</v>
      </c>
      <c r="J41" t="s">
        <v>13</v>
      </c>
      <c r="K41" t="s">
        <v>14</v>
      </c>
      <c r="L41" t="s">
        <v>182</v>
      </c>
      <c r="M41">
        <v>28</v>
      </c>
      <c r="N41" t="str">
        <f>VLOOKUP(M41, CategoryMap!$A$2:$B$100, 2, FALSE)</f>
        <v>Science &amp; Technology</v>
      </c>
      <c r="O41">
        <v>2971606</v>
      </c>
      <c r="P41">
        <v>93383</v>
      </c>
      <c r="Q41">
        <v>4203</v>
      </c>
      <c r="R41" s="3">
        <f t="shared" si="5"/>
        <v>3.2839481411734935E-2</v>
      </c>
      <c r="S41">
        <v>1085</v>
      </c>
      <c r="T41" t="str">
        <f t="shared" si="6"/>
        <v>Long</v>
      </c>
    </row>
    <row r="42" spans="1:20" ht="18.75" customHeight="1" x14ac:dyDescent="0.35">
      <c r="A42" t="s">
        <v>183</v>
      </c>
      <c r="B42" t="s">
        <v>2440</v>
      </c>
      <c r="C42" t="s">
        <v>2954</v>
      </c>
      <c r="D42" s="2" t="s">
        <v>184</v>
      </c>
      <c r="E42" s="2">
        <f t="shared" si="1"/>
        <v>45582</v>
      </c>
      <c r="F42" s="4">
        <f t="shared" si="2"/>
        <v>2024</v>
      </c>
      <c r="G42" t="str">
        <f t="shared" si="3"/>
        <v>October</v>
      </c>
      <c r="H42" t="str">
        <f t="shared" si="4"/>
        <v>2024-10</v>
      </c>
      <c r="I42" s="4">
        <f t="shared" ca="1" si="0"/>
        <v>342</v>
      </c>
      <c r="J42" t="s">
        <v>185</v>
      </c>
      <c r="K42" t="s">
        <v>186</v>
      </c>
      <c r="L42" t="s">
        <v>187</v>
      </c>
      <c r="M42">
        <v>28</v>
      </c>
      <c r="N42" t="str">
        <f>VLOOKUP(M42, CategoryMap!$A$2:$B$100, 2, FALSE)</f>
        <v>Science &amp; Technology</v>
      </c>
      <c r="O42">
        <v>4354870</v>
      </c>
      <c r="P42">
        <v>341505</v>
      </c>
      <c r="Q42">
        <v>124</v>
      </c>
      <c r="R42" s="3">
        <f t="shared" si="5"/>
        <v>7.8447577080372088E-2</v>
      </c>
      <c r="S42">
        <v>24</v>
      </c>
      <c r="T42" t="str">
        <f t="shared" si="6"/>
        <v>Short</v>
      </c>
    </row>
    <row r="43" spans="1:20" ht="18.75" customHeight="1" x14ac:dyDescent="0.35">
      <c r="A43" t="s">
        <v>188</v>
      </c>
      <c r="B43" t="s">
        <v>2441</v>
      </c>
      <c r="C43" t="s">
        <v>2955</v>
      </c>
      <c r="D43" s="2" t="s">
        <v>189</v>
      </c>
      <c r="E43" s="2">
        <f t="shared" si="1"/>
        <v>45188</v>
      </c>
      <c r="F43" s="4">
        <f t="shared" si="2"/>
        <v>2023</v>
      </c>
      <c r="G43" t="str">
        <f t="shared" si="3"/>
        <v>September</v>
      </c>
      <c r="H43" t="str">
        <f t="shared" si="4"/>
        <v>2023-09</v>
      </c>
      <c r="I43" s="4">
        <f t="shared" ca="1" si="0"/>
        <v>736</v>
      </c>
      <c r="J43" t="s">
        <v>77</v>
      </c>
      <c r="K43" t="s">
        <v>78</v>
      </c>
      <c r="L43" t="s">
        <v>29</v>
      </c>
      <c r="M43">
        <v>28</v>
      </c>
      <c r="N43" t="str">
        <f>VLOOKUP(M43, CategoryMap!$A$2:$B$100, 2, FALSE)</f>
        <v>Science &amp; Technology</v>
      </c>
      <c r="O43">
        <v>34480434</v>
      </c>
      <c r="P43">
        <v>1522004</v>
      </c>
      <c r="Q43">
        <v>13508</v>
      </c>
      <c r="R43" s="3">
        <f t="shared" si="5"/>
        <v>4.4532850137559171E-2</v>
      </c>
      <c r="S43">
        <v>58</v>
      </c>
      <c r="T43" t="str">
        <f t="shared" si="6"/>
        <v>Short</v>
      </c>
    </row>
    <row r="44" spans="1:20" ht="18.75" customHeight="1" x14ac:dyDescent="0.35">
      <c r="A44" t="s">
        <v>190</v>
      </c>
      <c r="B44" t="s">
        <v>2442</v>
      </c>
      <c r="C44" t="s">
        <v>2956</v>
      </c>
      <c r="D44" s="2" t="s">
        <v>191</v>
      </c>
      <c r="E44" s="2">
        <f t="shared" si="1"/>
        <v>45441</v>
      </c>
      <c r="F44" s="4">
        <f t="shared" si="2"/>
        <v>2024</v>
      </c>
      <c r="G44" t="str">
        <f t="shared" si="3"/>
        <v>May</v>
      </c>
      <c r="H44" t="str">
        <f t="shared" si="4"/>
        <v>2024-05</v>
      </c>
      <c r="I44" s="4">
        <f t="shared" ca="1" si="0"/>
        <v>483</v>
      </c>
      <c r="J44" t="s">
        <v>149</v>
      </c>
      <c r="K44" t="s">
        <v>150</v>
      </c>
      <c r="L44" t="s">
        <v>192</v>
      </c>
      <c r="M44">
        <v>28</v>
      </c>
      <c r="N44" t="str">
        <f>VLOOKUP(M44, CategoryMap!$A$2:$B$100, 2, FALSE)</f>
        <v>Science &amp; Technology</v>
      </c>
      <c r="O44">
        <v>372571</v>
      </c>
      <c r="P44">
        <v>4210</v>
      </c>
      <c r="Q44">
        <v>20</v>
      </c>
      <c r="R44" s="3">
        <f t="shared" si="5"/>
        <v>1.1353540667416413E-2</v>
      </c>
      <c r="S44">
        <v>15</v>
      </c>
      <c r="T44" t="str">
        <f t="shared" si="6"/>
        <v>Short</v>
      </c>
    </row>
    <row r="45" spans="1:20" ht="18.75" customHeight="1" x14ac:dyDescent="0.35">
      <c r="A45" t="s">
        <v>193</v>
      </c>
      <c r="B45" t="s">
        <v>2443</v>
      </c>
      <c r="C45" t="s">
        <v>2957</v>
      </c>
      <c r="D45" s="2" t="s">
        <v>194</v>
      </c>
      <c r="E45" s="2">
        <f t="shared" si="1"/>
        <v>45485</v>
      </c>
      <c r="F45" s="4">
        <f t="shared" si="2"/>
        <v>2024</v>
      </c>
      <c r="G45" t="str">
        <f t="shared" si="3"/>
        <v>July</v>
      </c>
      <c r="H45" t="str">
        <f t="shared" si="4"/>
        <v>2024-07</v>
      </c>
      <c r="I45" s="4">
        <f t="shared" ca="1" si="0"/>
        <v>439</v>
      </c>
      <c r="J45" t="s">
        <v>77</v>
      </c>
      <c r="K45" t="s">
        <v>78</v>
      </c>
      <c r="L45" t="s">
        <v>29</v>
      </c>
      <c r="M45">
        <v>28</v>
      </c>
      <c r="N45" t="str">
        <f>VLOOKUP(M45, CategoryMap!$A$2:$B$100, 2, FALSE)</f>
        <v>Science &amp; Technology</v>
      </c>
      <c r="O45">
        <v>4711048</v>
      </c>
      <c r="P45">
        <v>291441</v>
      </c>
      <c r="Q45">
        <v>1093</v>
      </c>
      <c r="R45" s="3">
        <f t="shared" si="5"/>
        <v>6.20953129749474E-2</v>
      </c>
      <c r="S45">
        <v>60</v>
      </c>
      <c r="T45" t="str">
        <f t="shared" si="6"/>
        <v>Short</v>
      </c>
    </row>
    <row r="46" spans="1:20" ht="18.75" customHeight="1" x14ac:dyDescent="0.35">
      <c r="A46" t="s">
        <v>195</v>
      </c>
      <c r="B46" t="s">
        <v>2444</v>
      </c>
      <c r="C46" t="s">
        <v>2958</v>
      </c>
      <c r="D46" s="2" t="s">
        <v>196</v>
      </c>
      <c r="E46" s="2">
        <f t="shared" si="1"/>
        <v>45814</v>
      </c>
      <c r="F46" s="4">
        <f t="shared" si="2"/>
        <v>2025</v>
      </c>
      <c r="G46" t="str">
        <f t="shared" si="3"/>
        <v>June</v>
      </c>
      <c r="H46" t="str">
        <f t="shared" si="4"/>
        <v>2025-06</v>
      </c>
      <c r="I46" s="4">
        <f t="shared" ca="1" si="0"/>
        <v>110</v>
      </c>
      <c r="J46" t="s">
        <v>13</v>
      </c>
      <c r="K46" t="s">
        <v>14</v>
      </c>
      <c r="L46" t="s">
        <v>197</v>
      </c>
      <c r="M46">
        <v>28</v>
      </c>
      <c r="N46" t="str">
        <f>VLOOKUP(M46, CategoryMap!$A$2:$B$100, 2, FALSE)</f>
        <v>Science &amp; Technology</v>
      </c>
      <c r="O46">
        <v>3435869</v>
      </c>
      <c r="P46">
        <v>94344</v>
      </c>
      <c r="Q46">
        <v>4241</v>
      </c>
      <c r="R46" s="3">
        <f t="shared" si="5"/>
        <v>2.8692886719487849E-2</v>
      </c>
      <c r="S46">
        <v>2165</v>
      </c>
      <c r="T46" t="str">
        <f t="shared" si="6"/>
        <v>Long</v>
      </c>
    </row>
    <row r="47" spans="1:20" ht="18.75" customHeight="1" x14ac:dyDescent="0.35">
      <c r="A47" t="s">
        <v>198</v>
      </c>
      <c r="B47" t="s">
        <v>2445</v>
      </c>
      <c r="C47" t="s">
        <v>2959</v>
      </c>
      <c r="D47" s="2" t="s">
        <v>199</v>
      </c>
      <c r="E47" s="2">
        <f t="shared" si="1"/>
        <v>45311</v>
      </c>
      <c r="F47" s="4">
        <f t="shared" si="2"/>
        <v>2024</v>
      </c>
      <c r="G47" t="str">
        <f t="shared" si="3"/>
        <v>January</v>
      </c>
      <c r="H47" t="str">
        <f t="shared" si="4"/>
        <v>2024-01</v>
      </c>
      <c r="I47" s="4">
        <f t="shared" ca="1" si="0"/>
        <v>613</v>
      </c>
      <c r="J47" t="s">
        <v>200</v>
      </c>
      <c r="K47" t="s">
        <v>201</v>
      </c>
      <c r="L47" t="s">
        <v>29</v>
      </c>
      <c r="M47">
        <v>25</v>
      </c>
      <c r="N47" t="str">
        <f>VLOOKUP(M47, CategoryMap!$A$2:$B$100, 2, FALSE)</f>
        <v>News &amp; Politics</v>
      </c>
      <c r="O47">
        <v>6861797</v>
      </c>
      <c r="P47">
        <v>448750</v>
      </c>
      <c r="Q47">
        <v>9879</v>
      </c>
      <c r="R47" s="3">
        <f t="shared" si="5"/>
        <v>6.6838030912310581E-2</v>
      </c>
      <c r="S47">
        <v>47</v>
      </c>
      <c r="T47" t="str">
        <f t="shared" si="6"/>
        <v>Short</v>
      </c>
    </row>
    <row r="48" spans="1:20" ht="18.75" customHeight="1" x14ac:dyDescent="0.35">
      <c r="A48" t="s">
        <v>202</v>
      </c>
      <c r="B48" t="s">
        <v>2446</v>
      </c>
      <c r="C48" t="s">
        <v>2960</v>
      </c>
      <c r="D48" s="2" t="s">
        <v>203</v>
      </c>
      <c r="E48" s="2">
        <f t="shared" si="1"/>
        <v>45722</v>
      </c>
      <c r="F48" s="4">
        <f t="shared" si="2"/>
        <v>2025</v>
      </c>
      <c r="G48" t="str">
        <f t="shared" si="3"/>
        <v>March</v>
      </c>
      <c r="H48" t="str">
        <f t="shared" si="4"/>
        <v>2025-03</v>
      </c>
      <c r="I48" s="4">
        <f t="shared" ca="1" si="0"/>
        <v>202</v>
      </c>
      <c r="J48" t="s">
        <v>204</v>
      </c>
      <c r="K48" t="s">
        <v>205</v>
      </c>
      <c r="L48" t="s">
        <v>206</v>
      </c>
      <c r="M48">
        <v>28</v>
      </c>
      <c r="N48" t="str">
        <f>VLOOKUP(M48, CategoryMap!$A$2:$B$100, 2, FALSE)</f>
        <v>Science &amp; Technology</v>
      </c>
      <c r="O48">
        <v>857246</v>
      </c>
      <c r="P48">
        <v>57891</v>
      </c>
      <c r="Q48">
        <v>199</v>
      </c>
      <c r="R48" s="3">
        <f t="shared" si="5"/>
        <v>6.7763512457334307E-2</v>
      </c>
      <c r="S48">
        <v>121</v>
      </c>
      <c r="T48" t="str">
        <f t="shared" si="6"/>
        <v>Long</v>
      </c>
    </row>
    <row r="49" spans="1:20" ht="18.75" customHeight="1" x14ac:dyDescent="0.35">
      <c r="A49" t="s">
        <v>207</v>
      </c>
      <c r="B49" t="s">
        <v>208</v>
      </c>
      <c r="C49" t="s">
        <v>2961</v>
      </c>
      <c r="D49" s="2" t="s">
        <v>209</v>
      </c>
      <c r="E49" s="2">
        <f t="shared" si="1"/>
        <v>44634</v>
      </c>
      <c r="F49" s="4">
        <f t="shared" si="2"/>
        <v>2022</v>
      </c>
      <c r="G49" t="str">
        <f t="shared" si="3"/>
        <v>March</v>
      </c>
      <c r="H49" t="str">
        <f t="shared" si="4"/>
        <v>2022-03</v>
      </c>
      <c r="I49" s="4">
        <f t="shared" ca="1" si="0"/>
        <v>1290</v>
      </c>
      <c r="J49" t="s">
        <v>144</v>
      </c>
      <c r="K49" t="s">
        <v>145</v>
      </c>
      <c r="L49" t="s">
        <v>210</v>
      </c>
      <c r="M49">
        <v>28</v>
      </c>
      <c r="N49" t="str">
        <f>VLOOKUP(M49, CategoryMap!$A$2:$B$100, 2, FALSE)</f>
        <v>Science &amp; Technology</v>
      </c>
      <c r="O49">
        <v>16984043</v>
      </c>
      <c r="P49">
        <v>1327245</v>
      </c>
      <c r="Q49">
        <v>4086</v>
      </c>
      <c r="R49" s="3">
        <f t="shared" si="5"/>
        <v>7.8387166118220497E-2</v>
      </c>
      <c r="S49">
        <v>59</v>
      </c>
      <c r="T49" t="str">
        <f t="shared" si="6"/>
        <v>Short</v>
      </c>
    </row>
    <row r="50" spans="1:20" ht="18.75" customHeight="1" x14ac:dyDescent="0.35">
      <c r="A50" t="s">
        <v>211</v>
      </c>
      <c r="B50" t="s">
        <v>212</v>
      </c>
      <c r="C50" t="s">
        <v>2962</v>
      </c>
      <c r="D50" s="2" t="s">
        <v>213</v>
      </c>
      <c r="E50" s="2">
        <f t="shared" si="1"/>
        <v>45455</v>
      </c>
      <c r="F50" s="4">
        <f t="shared" si="2"/>
        <v>2024</v>
      </c>
      <c r="G50" t="str">
        <f t="shared" si="3"/>
        <v>June</v>
      </c>
      <c r="H50" t="str">
        <f t="shared" si="4"/>
        <v>2024-06</v>
      </c>
      <c r="I50" s="4">
        <f t="shared" ca="1" si="0"/>
        <v>469</v>
      </c>
      <c r="J50" t="s">
        <v>13</v>
      </c>
      <c r="K50" t="s">
        <v>14</v>
      </c>
      <c r="L50" t="s">
        <v>214</v>
      </c>
      <c r="M50">
        <v>28</v>
      </c>
      <c r="N50" t="str">
        <f>VLOOKUP(M50, CategoryMap!$A$2:$B$100, 2, FALSE)</f>
        <v>Science &amp; Technology</v>
      </c>
      <c r="O50">
        <v>6330785</v>
      </c>
      <c r="P50">
        <v>192593</v>
      </c>
      <c r="Q50">
        <v>6798</v>
      </c>
      <c r="R50" s="3">
        <f t="shared" si="5"/>
        <v>3.1495462253101313E-2</v>
      </c>
      <c r="S50">
        <v>1087</v>
      </c>
      <c r="T50" t="str">
        <f t="shared" si="6"/>
        <v>Long</v>
      </c>
    </row>
    <row r="51" spans="1:20" ht="18.75" customHeight="1" x14ac:dyDescent="0.35">
      <c r="A51" t="s">
        <v>215</v>
      </c>
      <c r="B51" t="s">
        <v>2447</v>
      </c>
      <c r="C51" t="s">
        <v>2963</v>
      </c>
      <c r="D51" s="2" t="s">
        <v>216</v>
      </c>
      <c r="E51" s="2">
        <f t="shared" si="1"/>
        <v>45489</v>
      </c>
      <c r="F51" s="4">
        <f t="shared" si="2"/>
        <v>2024</v>
      </c>
      <c r="G51" t="str">
        <f t="shared" si="3"/>
        <v>July</v>
      </c>
      <c r="H51" t="str">
        <f t="shared" si="4"/>
        <v>2024-07</v>
      </c>
      <c r="I51" s="4">
        <f t="shared" ca="1" si="0"/>
        <v>435</v>
      </c>
      <c r="J51" t="s">
        <v>86</v>
      </c>
      <c r="K51" t="s">
        <v>87</v>
      </c>
      <c r="L51" t="s">
        <v>29</v>
      </c>
      <c r="M51">
        <v>28</v>
      </c>
      <c r="N51" t="str">
        <f>VLOOKUP(M51, CategoryMap!$A$2:$B$100, 2, FALSE)</f>
        <v>Science &amp; Technology</v>
      </c>
      <c r="O51">
        <v>2641022</v>
      </c>
      <c r="P51">
        <v>159716</v>
      </c>
      <c r="Q51">
        <v>1475</v>
      </c>
      <c r="R51" s="3">
        <f t="shared" si="5"/>
        <v>6.1033569580260974E-2</v>
      </c>
      <c r="S51">
        <v>24</v>
      </c>
      <c r="T51" t="str">
        <f t="shared" si="6"/>
        <v>Short</v>
      </c>
    </row>
    <row r="52" spans="1:20" ht="18.75" customHeight="1" x14ac:dyDescent="0.35">
      <c r="A52" t="s">
        <v>217</v>
      </c>
      <c r="B52" t="s">
        <v>2448</v>
      </c>
      <c r="C52" t="s">
        <v>2964</v>
      </c>
      <c r="D52" s="2" t="s">
        <v>218</v>
      </c>
      <c r="E52" s="2">
        <f t="shared" si="1"/>
        <v>45563</v>
      </c>
      <c r="F52" s="4">
        <f t="shared" si="2"/>
        <v>2024</v>
      </c>
      <c r="G52" t="str">
        <f t="shared" si="3"/>
        <v>September</v>
      </c>
      <c r="H52" t="str">
        <f t="shared" si="4"/>
        <v>2024-09</v>
      </c>
      <c r="I52" s="4">
        <f t="shared" ca="1" si="0"/>
        <v>361</v>
      </c>
      <c r="J52" t="s">
        <v>200</v>
      </c>
      <c r="K52" t="s">
        <v>201</v>
      </c>
      <c r="L52" t="s">
        <v>29</v>
      </c>
      <c r="M52">
        <v>25</v>
      </c>
      <c r="N52" t="str">
        <f>VLOOKUP(M52, CategoryMap!$A$2:$B$100, 2, FALSE)</f>
        <v>News &amp; Politics</v>
      </c>
      <c r="O52">
        <v>1353131</v>
      </c>
      <c r="P52">
        <v>82339</v>
      </c>
      <c r="Q52">
        <v>1066</v>
      </c>
      <c r="R52" s="3">
        <f t="shared" si="5"/>
        <v>6.1638525759885779E-2</v>
      </c>
      <c r="S52">
        <v>52</v>
      </c>
      <c r="T52" t="str">
        <f t="shared" si="6"/>
        <v>Short</v>
      </c>
    </row>
    <row r="53" spans="1:20" ht="18.75" customHeight="1" x14ac:dyDescent="0.35">
      <c r="A53" t="s">
        <v>219</v>
      </c>
      <c r="B53" t="s">
        <v>2449</v>
      </c>
      <c r="C53" t="s">
        <v>2965</v>
      </c>
      <c r="D53" s="2" t="s">
        <v>220</v>
      </c>
      <c r="E53" s="2">
        <f t="shared" si="1"/>
        <v>45280</v>
      </c>
      <c r="F53" s="4">
        <f t="shared" si="2"/>
        <v>2023</v>
      </c>
      <c r="G53" t="str">
        <f t="shared" si="3"/>
        <v>December</v>
      </c>
      <c r="H53" t="str">
        <f t="shared" si="4"/>
        <v>2023-12</v>
      </c>
      <c r="I53" s="4">
        <f t="shared" ca="1" si="0"/>
        <v>644</v>
      </c>
      <c r="J53" t="s">
        <v>221</v>
      </c>
      <c r="K53" t="s">
        <v>222</v>
      </c>
      <c r="L53" t="s">
        <v>29</v>
      </c>
      <c r="M53">
        <v>28</v>
      </c>
      <c r="N53" t="str">
        <f>VLOOKUP(M53, CategoryMap!$A$2:$B$100, 2, FALSE)</f>
        <v>Science &amp; Technology</v>
      </c>
      <c r="O53">
        <v>22757384</v>
      </c>
      <c r="P53">
        <v>1213501</v>
      </c>
      <c r="Q53">
        <v>4778</v>
      </c>
      <c r="R53" s="3">
        <f t="shared" si="5"/>
        <v>5.3533349878878873E-2</v>
      </c>
      <c r="S53">
        <v>56</v>
      </c>
      <c r="T53" t="str">
        <f t="shared" si="6"/>
        <v>Short</v>
      </c>
    </row>
    <row r="54" spans="1:20" ht="18.75" customHeight="1" x14ac:dyDescent="0.35">
      <c r="A54" t="s">
        <v>223</v>
      </c>
      <c r="B54" t="s">
        <v>224</v>
      </c>
      <c r="C54" t="s">
        <v>2966</v>
      </c>
      <c r="D54" s="2" t="s">
        <v>225</v>
      </c>
      <c r="E54" s="2">
        <f t="shared" si="1"/>
        <v>45716</v>
      </c>
      <c r="F54" s="4">
        <f t="shared" si="2"/>
        <v>2025</v>
      </c>
      <c r="G54" t="str">
        <f t="shared" si="3"/>
        <v>February</v>
      </c>
      <c r="H54" t="str">
        <f t="shared" si="4"/>
        <v>2025-02</v>
      </c>
      <c r="I54" s="4">
        <f t="shared" ca="1" si="0"/>
        <v>208</v>
      </c>
      <c r="J54" t="s">
        <v>226</v>
      </c>
      <c r="K54" t="s">
        <v>227</v>
      </c>
      <c r="L54" t="s">
        <v>228</v>
      </c>
      <c r="M54">
        <v>23</v>
      </c>
      <c r="N54" t="str">
        <f>VLOOKUP(M54, CategoryMap!$A$2:$B$100, 2, FALSE)</f>
        <v>Comedy</v>
      </c>
      <c r="O54">
        <v>5349005</v>
      </c>
      <c r="P54">
        <v>314515</v>
      </c>
      <c r="Q54">
        <v>22448</v>
      </c>
      <c r="R54" s="3">
        <f t="shared" si="5"/>
        <v>6.2995454294770714E-2</v>
      </c>
      <c r="S54">
        <v>1562</v>
      </c>
      <c r="T54" t="str">
        <f t="shared" si="6"/>
        <v>Long</v>
      </c>
    </row>
    <row r="55" spans="1:20" ht="18.75" customHeight="1" x14ac:dyDescent="0.35">
      <c r="A55" t="s">
        <v>229</v>
      </c>
      <c r="B55" t="s">
        <v>2450</v>
      </c>
      <c r="C55" t="s">
        <v>2967</v>
      </c>
      <c r="D55" s="2" t="s">
        <v>230</v>
      </c>
      <c r="E55" s="2">
        <f t="shared" si="1"/>
        <v>45536</v>
      </c>
      <c r="F55" s="4">
        <f t="shared" si="2"/>
        <v>2024</v>
      </c>
      <c r="G55" t="str">
        <f t="shared" si="3"/>
        <v>September</v>
      </c>
      <c r="H55" t="str">
        <f t="shared" si="4"/>
        <v>2024-09</v>
      </c>
      <c r="I55" s="4">
        <f t="shared" ca="1" si="0"/>
        <v>388</v>
      </c>
      <c r="J55" t="s">
        <v>185</v>
      </c>
      <c r="K55" t="s">
        <v>186</v>
      </c>
      <c r="L55" t="s">
        <v>231</v>
      </c>
      <c r="M55">
        <v>28</v>
      </c>
      <c r="N55" t="str">
        <f>VLOOKUP(M55, CategoryMap!$A$2:$B$100, 2, FALSE)</f>
        <v>Science &amp; Technology</v>
      </c>
      <c r="O55">
        <v>13402854</v>
      </c>
      <c r="P55">
        <v>790011</v>
      </c>
      <c r="Q55">
        <v>543</v>
      </c>
      <c r="R55" s="3">
        <f t="shared" si="5"/>
        <v>5.8984004451589189E-2</v>
      </c>
      <c r="S55">
        <v>24</v>
      </c>
      <c r="T55" t="str">
        <f t="shared" si="6"/>
        <v>Short</v>
      </c>
    </row>
    <row r="56" spans="1:20" ht="18.75" customHeight="1" x14ac:dyDescent="0.35">
      <c r="A56" t="s">
        <v>232</v>
      </c>
      <c r="B56" t="s">
        <v>2451</v>
      </c>
      <c r="C56" t="s">
        <v>11</v>
      </c>
      <c r="D56" s="2" t="s">
        <v>233</v>
      </c>
      <c r="E56" s="2">
        <f t="shared" si="1"/>
        <v>45301</v>
      </c>
      <c r="F56" s="4">
        <f t="shared" si="2"/>
        <v>2024</v>
      </c>
      <c r="G56" t="str">
        <f t="shared" si="3"/>
        <v>January</v>
      </c>
      <c r="H56" t="str">
        <f t="shared" si="4"/>
        <v>2024-01</v>
      </c>
      <c r="I56" s="4">
        <f t="shared" ca="1" si="0"/>
        <v>623</v>
      </c>
      <c r="J56" t="s">
        <v>234</v>
      </c>
      <c r="K56" t="s">
        <v>235</v>
      </c>
      <c r="L56" t="s">
        <v>29</v>
      </c>
      <c r="M56">
        <v>27</v>
      </c>
      <c r="N56" t="str">
        <f>VLOOKUP(M56, CategoryMap!$A$2:$B$100, 2, FALSE)</f>
        <v>Education</v>
      </c>
      <c r="O56">
        <v>362310</v>
      </c>
      <c r="P56">
        <v>12815</v>
      </c>
      <c r="Q56">
        <v>55</v>
      </c>
      <c r="R56" s="3">
        <f t="shared" si="5"/>
        <v>3.5522066738428421E-2</v>
      </c>
      <c r="S56">
        <v>60</v>
      </c>
      <c r="T56" t="str">
        <f t="shared" si="6"/>
        <v>Short</v>
      </c>
    </row>
    <row r="57" spans="1:20" ht="18.75" customHeight="1" x14ac:dyDescent="0.35">
      <c r="A57" t="s">
        <v>236</v>
      </c>
      <c r="B57" t="s">
        <v>2452</v>
      </c>
      <c r="C57" t="s">
        <v>11</v>
      </c>
      <c r="D57" s="2" t="s">
        <v>237</v>
      </c>
      <c r="E57" s="2">
        <f t="shared" si="1"/>
        <v>45737</v>
      </c>
      <c r="F57" s="4">
        <f t="shared" si="2"/>
        <v>2025</v>
      </c>
      <c r="G57" t="str">
        <f t="shared" si="3"/>
        <v>March</v>
      </c>
      <c r="H57" t="str">
        <f t="shared" si="4"/>
        <v>2025-03</v>
      </c>
      <c r="I57" s="4">
        <f t="shared" ca="1" si="0"/>
        <v>187</v>
      </c>
      <c r="J57" t="s">
        <v>238</v>
      </c>
      <c r="K57" t="s">
        <v>239</v>
      </c>
      <c r="L57" t="s">
        <v>240</v>
      </c>
      <c r="M57">
        <v>24</v>
      </c>
      <c r="N57" t="str">
        <f>VLOOKUP(M57, CategoryMap!$A$2:$B$100, 2, FALSE)</f>
        <v>Entertainment</v>
      </c>
      <c r="O57">
        <v>7219473</v>
      </c>
      <c r="P57">
        <v>129750</v>
      </c>
      <c r="Q57">
        <v>238</v>
      </c>
      <c r="R57" s="3">
        <f t="shared" si="5"/>
        <v>1.8005192345757093E-2</v>
      </c>
      <c r="S57">
        <v>15</v>
      </c>
      <c r="T57" t="str">
        <f t="shared" si="6"/>
        <v>Short</v>
      </c>
    </row>
    <row r="58" spans="1:20" ht="18.75" customHeight="1" x14ac:dyDescent="0.35">
      <c r="A58" t="s">
        <v>241</v>
      </c>
      <c r="B58" t="s">
        <v>2453</v>
      </c>
      <c r="C58" t="s">
        <v>2968</v>
      </c>
      <c r="D58" s="2" t="s">
        <v>242</v>
      </c>
      <c r="E58" s="2">
        <f t="shared" si="1"/>
        <v>45799</v>
      </c>
      <c r="F58" s="4">
        <f t="shared" si="2"/>
        <v>2025</v>
      </c>
      <c r="G58" t="str">
        <f t="shared" si="3"/>
        <v>May</v>
      </c>
      <c r="H58" t="str">
        <f t="shared" si="4"/>
        <v>2025-05</v>
      </c>
      <c r="I58" s="4">
        <f t="shared" ca="1" si="0"/>
        <v>125</v>
      </c>
      <c r="J58" t="s">
        <v>243</v>
      </c>
      <c r="K58" t="s">
        <v>244</v>
      </c>
      <c r="L58" t="s">
        <v>245</v>
      </c>
      <c r="M58">
        <v>28</v>
      </c>
      <c r="N58" t="str">
        <f>VLOOKUP(M58, CategoryMap!$A$2:$B$100, 2, FALSE)</f>
        <v>Science &amp; Technology</v>
      </c>
      <c r="O58">
        <v>49857</v>
      </c>
      <c r="P58">
        <v>921</v>
      </c>
      <c r="Q58">
        <v>95</v>
      </c>
      <c r="R58" s="3">
        <f t="shared" si="5"/>
        <v>2.0378281886194515E-2</v>
      </c>
      <c r="S58">
        <v>1364</v>
      </c>
      <c r="T58" t="str">
        <f t="shared" si="6"/>
        <v>Long</v>
      </c>
    </row>
    <row r="59" spans="1:20" ht="18.75" customHeight="1" x14ac:dyDescent="0.35">
      <c r="A59" t="s">
        <v>246</v>
      </c>
      <c r="B59" t="s">
        <v>2454</v>
      </c>
      <c r="C59" t="s">
        <v>2969</v>
      </c>
      <c r="D59" s="2" t="s">
        <v>247</v>
      </c>
      <c r="E59" s="2">
        <f t="shared" si="1"/>
        <v>45775</v>
      </c>
      <c r="F59" s="4">
        <f t="shared" si="2"/>
        <v>2025</v>
      </c>
      <c r="G59" t="str">
        <f t="shared" si="3"/>
        <v>April</v>
      </c>
      <c r="H59" t="str">
        <f t="shared" si="4"/>
        <v>2025-04</v>
      </c>
      <c r="I59" s="4">
        <f t="shared" ca="1" si="0"/>
        <v>149</v>
      </c>
      <c r="J59" t="s">
        <v>248</v>
      </c>
      <c r="K59" t="s">
        <v>249</v>
      </c>
      <c r="L59" t="s">
        <v>250</v>
      </c>
      <c r="M59">
        <v>28</v>
      </c>
      <c r="N59" t="str">
        <f>VLOOKUP(M59, CategoryMap!$A$2:$B$100, 2, FALSE)</f>
        <v>Science &amp; Technology</v>
      </c>
      <c r="O59">
        <v>13759130</v>
      </c>
      <c r="P59">
        <v>73537</v>
      </c>
      <c r="Q59">
        <v>751</v>
      </c>
      <c r="R59" s="3">
        <f t="shared" si="5"/>
        <v>5.399178581785331E-3</v>
      </c>
      <c r="S59">
        <v>16</v>
      </c>
      <c r="T59" t="str">
        <f t="shared" si="6"/>
        <v>Short</v>
      </c>
    </row>
    <row r="60" spans="1:20" ht="18.75" customHeight="1" x14ac:dyDescent="0.35">
      <c r="A60" t="s">
        <v>251</v>
      </c>
      <c r="B60" t="s">
        <v>2455</v>
      </c>
      <c r="C60" t="s">
        <v>11</v>
      </c>
      <c r="D60" s="2" t="s">
        <v>252</v>
      </c>
      <c r="E60" s="2">
        <f t="shared" si="1"/>
        <v>44968</v>
      </c>
      <c r="F60" s="4">
        <f t="shared" si="2"/>
        <v>2023</v>
      </c>
      <c r="G60" t="str">
        <f t="shared" si="3"/>
        <v>February</v>
      </c>
      <c r="H60" t="str">
        <f t="shared" si="4"/>
        <v>2023-02</v>
      </c>
      <c r="I60" s="4">
        <f t="shared" ca="1" si="0"/>
        <v>956</v>
      </c>
      <c r="J60" t="s">
        <v>253</v>
      </c>
      <c r="K60" t="s">
        <v>254</v>
      </c>
      <c r="L60" t="s">
        <v>29</v>
      </c>
      <c r="M60">
        <v>28</v>
      </c>
      <c r="N60" t="str">
        <f>VLOOKUP(M60, CategoryMap!$A$2:$B$100, 2, FALSE)</f>
        <v>Science &amp; Technology</v>
      </c>
      <c r="O60">
        <v>50246587</v>
      </c>
      <c r="P60">
        <v>1820122</v>
      </c>
      <c r="Q60">
        <v>8199</v>
      </c>
      <c r="R60" s="3">
        <f t="shared" si="5"/>
        <v>3.6386968929849904E-2</v>
      </c>
      <c r="S60">
        <v>45</v>
      </c>
      <c r="T60" t="str">
        <f t="shared" si="6"/>
        <v>Short</v>
      </c>
    </row>
    <row r="61" spans="1:20" ht="18.75" customHeight="1" x14ac:dyDescent="0.35">
      <c r="A61" t="s">
        <v>255</v>
      </c>
      <c r="B61" t="s">
        <v>2415</v>
      </c>
      <c r="C61" t="s">
        <v>2929</v>
      </c>
      <c r="D61" s="2" t="s">
        <v>256</v>
      </c>
      <c r="E61" s="2">
        <f t="shared" si="1"/>
        <v>45464</v>
      </c>
      <c r="F61" s="4">
        <f t="shared" si="2"/>
        <v>2024</v>
      </c>
      <c r="G61" t="str">
        <f t="shared" si="3"/>
        <v>June</v>
      </c>
      <c r="H61" t="str">
        <f t="shared" si="4"/>
        <v>2024-06</v>
      </c>
      <c r="I61" s="4">
        <f t="shared" ca="1" si="0"/>
        <v>460</v>
      </c>
      <c r="J61" t="s">
        <v>64</v>
      </c>
      <c r="K61" t="s">
        <v>65</v>
      </c>
      <c r="L61" t="s">
        <v>29</v>
      </c>
      <c r="M61">
        <v>28</v>
      </c>
      <c r="N61" t="str">
        <f>VLOOKUP(M61, CategoryMap!$A$2:$B$100, 2, FALSE)</f>
        <v>Science &amp; Technology</v>
      </c>
      <c r="O61">
        <v>208897321</v>
      </c>
      <c r="P61">
        <v>4130446</v>
      </c>
      <c r="Q61">
        <v>7065</v>
      </c>
      <c r="R61" s="3">
        <f t="shared" si="5"/>
        <v>1.9806433994431168E-2</v>
      </c>
      <c r="S61">
        <v>15</v>
      </c>
      <c r="T61" t="str">
        <f t="shared" si="6"/>
        <v>Short</v>
      </c>
    </row>
    <row r="62" spans="1:20" ht="18.75" customHeight="1" x14ac:dyDescent="0.35">
      <c r="A62" t="s">
        <v>257</v>
      </c>
      <c r="B62" t="s">
        <v>2456</v>
      </c>
      <c r="C62" t="s">
        <v>2970</v>
      </c>
      <c r="D62" s="2" t="s">
        <v>258</v>
      </c>
      <c r="E62" s="2">
        <f t="shared" si="1"/>
        <v>45667</v>
      </c>
      <c r="F62" s="4">
        <f t="shared" si="2"/>
        <v>2025</v>
      </c>
      <c r="G62" t="str">
        <f t="shared" si="3"/>
        <v>January</v>
      </c>
      <c r="H62" t="str">
        <f t="shared" si="4"/>
        <v>2025-01</v>
      </c>
      <c r="I62" s="4">
        <f t="shared" ca="1" si="0"/>
        <v>257</v>
      </c>
      <c r="J62" t="s">
        <v>259</v>
      </c>
      <c r="K62" t="s">
        <v>260</v>
      </c>
      <c r="L62" t="s">
        <v>29</v>
      </c>
      <c r="M62">
        <v>24</v>
      </c>
      <c r="N62" t="str">
        <f>VLOOKUP(M62, CategoryMap!$A$2:$B$100, 2, FALSE)</f>
        <v>Entertainment</v>
      </c>
      <c r="O62">
        <v>11201500</v>
      </c>
      <c r="P62">
        <v>128162</v>
      </c>
      <c r="Q62">
        <v>1109</v>
      </c>
      <c r="R62" s="3">
        <f t="shared" si="5"/>
        <v>1.1540507967682899E-2</v>
      </c>
      <c r="S62">
        <v>13</v>
      </c>
      <c r="T62" t="str">
        <f t="shared" si="6"/>
        <v>Short</v>
      </c>
    </row>
    <row r="63" spans="1:20" ht="18.75" customHeight="1" x14ac:dyDescent="0.35">
      <c r="A63" t="s">
        <v>261</v>
      </c>
      <c r="B63" t="s">
        <v>2457</v>
      </c>
      <c r="C63" t="s">
        <v>2971</v>
      </c>
      <c r="D63" s="2" t="s">
        <v>262</v>
      </c>
      <c r="E63" s="2">
        <f t="shared" si="1"/>
        <v>45372</v>
      </c>
      <c r="F63" s="4">
        <f t="shared" si="2"/>
        <v>2024</v>
      </c>
      <c r="G63" t="str">
        <f t="shared" si="3"/>
        <v>March</v>
      </c>
      <c r="H63" t="str">
        <f t="shared" si="4"/>
        <v>2024-03</v>
      </c>
      <c r="I63" s="4">
        <f t="shared" ca="1" si="0"/>
        <v>552</v>
      </c>
      <c r="J63" t="s">
        <v>13</v>
      </c>
      <c r="K63" t="s">
        <v>14</v>
      </c>
      <c r="L63" t="s">
        <v>263</v>
      </c>
      <c r="M63">
        <v>28</v>
      </c>
      <c r="N63" t="str">
        <f>VLOOKUP(M63, CategoryMap!$A$2:$B$100, 2, FALSE)</f>
        <v>Science &amp; Technology</v>
      </c>
      <c r="O63">
        <v>9739646</v>
      </c>
      <c r="P63">
        <v>219620</v>
      </c>
      <c r="Q63">
        <v>8971</v>
      </c>
      <c r="R63" s="3">
        <f t="shared" si="5"/>
        <v>2.3470154870105134E-2</v>
      </c>
      <c r="S63">
        <v>2054</v>
      </c>
      <c r="T63" t="str">
        <f t="shared" si="6"/>
        <v>Long</v>
      </c>
    </row>
    <row r="64" spans="1:20" ht="18.75" customHeight="1" x14ac:dyDescent="0.35">
      <c r="A64" t="s">
        <v>264</v>
      </c>
      <c r="B64" t="s">
        <v>265</v>
      </c>
      <c r="C64" t="s">
        <v>2972</v>
      </c>
      <c r="D64" s="2" t="s">
        <v>266</v>
      </c>
      <c r="E64" s="2">
        <f t="shared" si="1"/>
        <v>45651</v>
      </c>
      <c r="F64" s="4">
        <f t="shared" si="2"/>
        <v>2024</v>
      </c>
      <c r="G64" t="str">
        <f t="shared" si="3"/>
        <v>December</v>
      </c>
      <c r="H64" t="str">
        <f t="shared" si="4"/>
        <v>2024-12</v>
      </c>
      <c r="I64" s="4">
        <f t="shared" ca="1" si="0"/>
        <v>273</v>
      </c>
      <c r="J64" t="s">
        <v>267</v>
      </c>
      <c r="K64" t="s">
        <v>268</v>
      </c>
      <c r="L64" t="s">
        <v>29</v>
      </c>
      <c r="M64">
        <v>24</v>
      </c>
      <c r="N64" t="str">
        <f>VLOOKUP(M64, CategoryMap!$A$2:$B$100, 2, FALSE)</f>
        <v>Entertainment</v>
      </c>
      <c r="O64">
        <v>56313844</v>
      </c>
      <c r="P64">
        <v>1630038</v>
      </c>
      <c r="Q64">
        <v>10522</v>
      </c>
      <c r="R64" s="3">
        <f t="shared" si="5"/>
        <v>2.9132445655814226E-2</v>
      </c>
      <c r="S64">
        <v>26</v>
      </c>
      <c r="T64" t="str">
        <f t="shared" si="6"/>
        <v>Short</v>
      </c>
    </row>
    <row r="65" spans="1:20" ht="18.75" customHeight="1" x14ac:dyDescent="0.35">
      <c r="A65" t="s">
        <v>269</v>
      </c>
      <c r="B65" t="s">
        <v>2458</v>
      </c>
      <c r="C65" t="s">
        <v>2973</v>
      </c>
      <c r="D65" s="2" t="s">
        <v>270</v>
      </c>
      <c r="E65" s="2">
        <f t="shared" si="1"/>
        <v>45644</v>
      </c>
      <c r="F65" s="4">
        <f t="shared" si="2"/>
        <v>2024</v>
      </c>
      <c r="G65" t="str">
        <f t="shared" si="3"/>
        <v>December</v>
      </c>
      <c r="H65" t="str">
        <f t="shared" si="4"/>
        <v>2024-12</v>
      </c>
      <c r="I65" s="4">
        <f t="shared" ca="1" si="0"/>
        <v>280</v>
      </c>
      <c r="J65" t="s">
        <v>271</v>
      </c>
      <c r="K65" t="s">
        <v>272</v>
      </c>
      <c r="L65" t="s">
        <v>273</v>
      </c>
      <c r="M65">
        <v>25</v>
      </c>
      <c r="N65" t="str">
        <f>VLOOKUP(M65, CategoryMap!$A$2:$B$100, 2, FALSE)</f>
        <v>News &amp; Politics</v>
      </c>
      <c r="O65">
        <v>15897566</v>
      </c>
      <c r="P65">
        <v>421169</v>
      </c>
      <c r="Q65">
        <v>10675</v>
      </c>
      <c r="R65" s="3">
        <f t="shared" si="5"/>
        <v>2.7164158337194513E-2</v>
      </c>
      <c r="S65">
        <v>38</v>
      </c>
      <c r="T65" t="str">
        <f t="shared" si="6"/>
        <v>Short</v>
      </c>
    </row>
    <row r="66" spans="1:20" ht="18.75" customHeight="1" x14ac:dyDescent="0.35">
      <c r="A66" t="s">
        <v>274</v>
      </c>
      <c r="B66" t="s">
        <v>2459</v>
      </c>
      <c r="C66" t="s">
        <v>275</v>
      </c>
      <c r="D66" s="2" t="s">
        <v>276</v>
      </c>
      <c r="E66" s="2">
        <f t="shared" si="1"/>
        <v>45075</v>
      </c>
      <c r="F66" s="4">
        <f t="shared" si="2"/>
        <v>2023</v>
      </c>
      <c r="G66" t="str">
        <f t="shared" si="3"/>
        <v>May</v>
      </c>
      <c r="H66" t="str">
        <f t="shared" si="4"/>
        <v>2023-05</v>
      </c>
      <c r="I66" s="4">
        <f t="shared" ref="I66:I129" ca="1" si="7">TODAY() - DATEVALUE(LEFT(D66,10))</f>
        <v>849</v>
      </c>
      <c r="J66" t="s">
        <v>277</v>
      </c>
      <c r="K66" t="s">
        <v>278</v>
      </c>
      <c r="L66" t="s">
        <v>279</v>
      </c>
      <c r="M66">
        <v>22</v>
      </c>
      <c r="N66" t="str">
        <f>VLOOKUP(M66, CategoryMap!$A$2:$B$100, 2, FALSE)</f>
        <v>People &amp; Blogs</v>
      </c>
      <c r="O66">
        <v>475497</v>
      </c>
      <c r="P66">
        <v>14704</v>
      </c>
      <c r="Q66">
        <v>161</v>
      </c>
      <c r="R66" s="3">
        <f t="shared" si="5"/>
        <v>3.1262026889759556E-2</v>
      </c>
      <c r="S66">
        <v>16</v>
      </c>
      <c r="T66" t="str">
        <f t="shared" si="6"/>
        <v>Short</v>
      </c>
    </row>
    <row r="67" spans="1:20" ht="18.75" customHeight="1" x14ac:dyDescent="0.35">
      <c r="A67" t="s">
        <v>280</v>
      </c>
      <c r="B67" t="s">
        <v>2460</v>
      </c>
      <c r="C67" t="s">
        <v>2974</v>
      </c>
      <c r="D67" s="2" t="s">
        <v>281</v>
      </c>
      <c r="E67" s="2">
        <f t="shared" ref="E67:E130" si="8">DATEVALUE(LEFT(D67,10))</f>
        <v>45238</v>
      </c>
      <c r="F67" s="4">
        <f t="shared" ref="F67:F130" si="9">YEAR(E67)</f>
        <v>2023</v>
      </c>
      <c r="G67" t="str">
        <f t="shared" ref="G67:G130" si="10">TEXT(E67,"MMMM")</f>
        <v>November</v>
      </c>
      <c r="H67" t="str">
        <f t="shared" ref="H67:H130" si="11">TEXT(E67,"YYYY-MM")</f>
        <v>2023-11</v>
      </c>
      <c r="I67" s="4">
        <f t="shared" ca="1" si="7"/>
        <v>686</v>
      </c>
      <c r="J67" t="s">
        <v>77</v>
      </c>
      <c r="K67" t="s">
        <v>78</v>
      </c>
      <c r="L67" t="s">
        <v>29</v>
      </c>
      <c r="M67">
        <v>28</v>
      </c>
      <c r="N67" t="str">
        <f>VLOOKUP(M67, CategoryMap!$A$2:$B$100, 2, FALSE)</f>
        <v>Science &amp; Technology</v>
      </c>
      <c r="O67">
        <v>8441697</v>
      </c>
      <c r="P67">
        <v>467959</v>
      </c>
      <c r="Q67">
        <v>2286</v>
      </c>
      <c r="R67" s="3">
        <f t="shared" ref="R67:R130" si="12">IF(O67=0, 0, (P67 + Q67) / O67)</f>
        <v>5.5705031820023863E-2</v>
      </c>
      <c r="S67">
        <v>61</v>
      </c>
      <c r="T67" t="str">
        <f t="shared" ref="T67:T130" si="13">IF(S67&lt;=60, "Short", "Long")</f>
        <v>Long</v>
      </c>
    </row>
    <row r="68" spans="1:20" ht="18.75" customHeight="1" x14ac:dyDescent="0.35">
      <c r="A68" t="s">
        <v>282</v>
      </c>
      <c r="B68" t="s">
        <v>2461</v>
      </c>
      <c r="C68" t="s">
        <v>2975</v>
      </c>
      <c r="D68" s="2" t="s">
        <v>283</v>
      </c>
      <c r="E68" s="2">
        <f t="shared" si="8"/>
        <v>45646</v>
      </c>
      <c r="F68" s="4">
        <f t="shared" si="9"/>
        <v>2024</v>
      </c>
      <c r="G68" t="str">
        <f t="shared" si="10"/>
        <v>December</v>
      </c>
      <c r="H68" t="str">
        <f t="shared" si="11"/>
        <v>2024-12</v>
      </c>
      <c r="I68" s="4">
        <f t="shared" ca="1" si="7"/>
        <v>278</v>
      </c>
      <c r="J68" t="s">
        <v>284</v>
      </c>
      <c r="K68" t="s">
        <v>285</v>
      </c>
      <c r="L68" t="s">
        <v>286</v>
      </c>
      <c r="M68">
        <v>22</v>
      </c>
      <c r="N68" t="str">
        <f>VLOOKUP(M68, CategoryMap!$A$2:$B$100, 2, FALSE)</f>
        <v>People &amp; Blogs</v>
      </c>
      <c r="O68">
        <v>8123420</v>
      </c>
      <c r="P68">
        <v>183237</v>
      </c>
      <c r="Q68">
        <v>1012</v>
      </c>
      <c r="R68" s="3">
        <f t="shared" si="12"/>
        <v>2.2681210623111941E-2</v>
      </c>
      <c r="S68">
        <v>18</v>
      </c>
      <c r="T68" t="str">
        <f t="shared" si="13"/>
        <v>Short</v>
      </c>
    </row>
    <row r="69" spans="1:20" ht="18.75" customHeight="1" x14ac:dyDescent="0.35">
      <c r="A69" t="s">
        <v>287</v>
      </c>
      <c r="B69" t="s">
        <v>2462</v>
      </c>
      <c r="C69" t="s">
        <v>11</v>
      </c>
      <c r="D69" s="2" t="s">
        <v>288</v>
      </c>
      <c r="E69" s="2">
        <f t="shared" si="8"/>
        <v>45541</v>
      </c>
      <c r="F69" s="4">
        <f t="shared" si="9"/>
        <v>2024</v>
      </c>
      <c r="G69" t="str">
        <f t="shared" si="10"/>
        <v>September</v>
      </c>
      <c r="H69" t="str">
        <f t="shared" si="11"/>
        <v>2024-09</v>
      </c>
      <c r="I69" s="4">
        <f t="shared" ca="1" si="7"/>
        <v>383</v>
      </c>
      <c r="J69" t="s">
        <v>289</v>
      </c>
      <c r="K69" t="s">
        <v>290</v>
      </c>
      <c r="L69" t="s">
        <v>29</v>
      </c>
      <c r="M69">
        <v>27</v>
      </c>
      <c r="N69" t="str">
        <f>VLOOKUP(M69, CategoryMap!$A$2:$B$100, 2, FALSE)</f>
        <v>Education</v>
      </c>
      <c r="O69">
        <v>5994970</v>
      </c>
      <c r="P69">
        <v>160162</v>
      </c>
      <c r="Q69">
        <v>1193</v>
      </c>
      <c r="R69" s="3">
        <f t="shared" si="12"/>
        <v>2.6915063795148266E-2</v>
      </c>
      <c r="S69">
        <v>22</v>
      </c>
      <c r="T69" t="str">
        <f t="shared" si="13"/>
        <v>Short</v>
      </c>
    </row>
    <row r="70" spans="1:20" ht="18.75" customHeight="1" x14ac:dyDescent="0.35">
      <c r="A70" t="s">
        <v>291</v>
      </c>
      <c r="B70" t="s">
        <v>2463</v>
      </c>
      <c r="C70" t="s">
        <v>2976</v>
      </c>
      <c r="D70" s="2" t="s">
        <v>292</v>
      </c>
      <c r="E70" s="2">
        <f t="shared" si="8"/>
        <v>45348</v>
      </c>
      <c r="F70" s="4">
        <f t="shared" si="9"/>
        <v>2024</v>
      </c>
      <c r="G70" t="str">
        <f t="shared" si="10"/>
        <v>February</v>
      </c>
      <c r="H70" t="str">
        <f t="shared" si="11"/>
        <v>2024-02</v>
      </c>
      <c r="I70" s="4">
        <f t="shared" ca="1" si="7"/>
        <v>576</v>
      </c>
      <c r="J70" t="s">
        <v>293</v>
      </c>
      <c r="K70" t="s">
        <v>294</v>
      </c>
      <c r="L70" t="s">
        <v>295</v>
      </c>
      <c r="M70">
        <v>24</v>
      </c>
      <c r="N70" t="str">
        <f>VLOOKUP(M70, CategoryMap!$A$2:$B$100, 2, FALSE)</f>
        <v>Entertainment</v>
      </c>
      <c r="O70">
        <v>6232011</v>
      </c>
      <c r="P70">
        <v>426584</v>
      </c>
      <c r="Q70">
        <v>9339</v>
      </c>
      <c r="R70" s="3">
        <f t="shared" si="12"/>
        <v>6.9949010038653656E-2</v>
      </c>
      <c r="S70">
        <v>59</v>
      </c>
      <c r="T70" t="str">
        <f t="shared" si="13"/>
        <v>Short</v>
      </c>
    </row>
    <row r="71" spans="1:20" ht="18.75" customHeight="1" x14ac:dyDescent="0.35">
      <c r="A71" t="s">
        <v>296</v>
      </c>
      <c r="B71" t="s">
        <v>2464</v>
      </c>
      <c r="C71" t="s">
        <v>2977</v>
      </c>
      <c r="D71" s="2" t="s">
        <v>297</v>
      </c>
      <c r="E71" s="2">
        <f t="shared" si="8"/>
        <v>45663</v>
      </c>
      <c r="F71" s="4">
        <f t="shared" si="9"/>
        <v>2025</v>
      </c>
      <c r="G71" t="str">
        <f t="shared" si="10"/>
        <v>January</v>
      </c>
      <c r="H71" t="str">
        <f t="shared" si="11"/>
        <v>2025-01</v>
      </c>
      <c r="I71" s="4">
        <f t="shared" ca="1" si="7"/>
        <v>261</v>
      </c>
      <c r="J71" t="s">
        <v>271</v>
      </c>
      <c r="K71" t="s">
        <v>272</v>
      </c>
      <c r="L71" t="s">
        <v>273</v>
      </c>
      <c r="M71">
        <v>25</v>
      </c>
      <c r="N71" t="str">
        <f>VLOOKUP(M71, CategoryMap!$A$2:$B$100, 2, FALSE)</f>
        <v>News &amp; Politics</v>
      </c>
      <c r="O71">
        <v>41746</v>
      </c>
      <c r="P71">
        <v>839</v>
      </c>
      <c r="Q71">
        <v>9</v>
      </c>
      <c r="R71" s="3">
        <f t="shared" si="12"/>
        <v>2.0313323432185119E-2</v>
      </c>
      <c r="S71">
        <v>27</v>
      </c>
      <c r="T71" t="str">
        <f t="shared" si="13"/>
        <v>Short</v>
      </c>
    </row>
    <row r="72" spans="1:20" ht="18.75" customHeight="1" x14ac:dyDescent="0.35">
      <c r="A72" t="s">
        <v>298</v>
      </c>
      <c r="B72" t="s">
        <v>2450</v>
      </c>
      <c r="C72" t="s">
        <v>2967</v>
      </c>
      <c r="D72" s="2" t="s">
        <v>299</v>
      </c>
      <c r="E72" s="2">
        <f t="shared" si="8"/>
        <v>45569</v>
      </c>
      <c r="F72" s="4">
        <f t="shared" si="9"/>
        <v>2024</v>
      </c>
      <c r="G72" t="str">
        <f t="shared" si="10"/>
        <v>October</v>
      </c>
      <c r="H72" t="str">
        <f t="shared" si="11"/>
        <v>2024-10</v>
      </c>
      <c r="I72" s="4">
        <f t="shared" ca="1" si="7"/>
        <v>355</v>
      </c>
      <c r="J72" t="s">
        <v>185</v>
      </c>
      <c r="K72" t="s">
        <v>186</v>
      </c>
      <c r="L72" t="s">
        <v>300</v>
      </c>
      <c r="M72">
        <v>28</v>
      </c>
      <c r="N72" t="str">
        <f>VLOOKUP(M72, CategoryMap!$A$2:$B$100, 2, FALSE)</f>
        <v>Science &amp; Technology</v>
      </c>
      <c r="O72">
        <v>4592845</v>
      </c>
      <c r="P72">
        <v>389715</v>
      </c>
      <c r="Q72">
        <v>237</v>
      </c>
      <c r="R72" s="3">
        <f t="shared" si="12"/>
        <v>8.4904236916333989E-2</v>
      </c>
      <c r="S72">
        <v>25</v>
      </c>
      <c r="T72" t="str">
        <f t="shared" si="13"/>
        <v>Short</v>
      </c>
    </row>
    <row r="73" spans="1:20" ht="18.75" customHeight="1" x14ac:dyDescent="0.35">
      <c r="A73" t="s">
        <v>301</v>
      </c>
      <c r="B73" t="s">
        <v>2465</v>
      </c>
      <c r="C73" t="s">
        <v>302</v>
      </c>
      <c r="D73" s="2" t="s">
        <v>303</v>
      </c>
      <c r="E73" s="2">
        <f t="shared" si="8"/>
        <v>45719</v>
      </c>
      <c r="F73" s="4">
        <f t="shared" si="9"/>
        <v>2025</v>
      </c>
      <c r="G73" t="str">
        <f t="shared" si="10"/>
        <v>March</v>
      </c>
      <c r="H73" t="str">
        <f t="shared" si="11"/>
        <v>2025-03</v>
      </c>
      <c r="I73" s="4">
        <f t="shared" ca="1" si="7"/>
        <v>205</v>
      </c>
      <c r="J73" t="s">
        <v>304</v>
      </c>
      <c r="K73" t="s">
        <v>305</v>
      </c>
      <c r="L73" t="s">
        <v>29</v>
      </c>
      <c r="M73">
        <v>26</v>
      </c>
      <c r="N73" t="str">
        <f>VLOOKUP(M73, CategoryMap!$A$2:$B$100, 2, FALSE)</f>
        <v>Howto &amp; Style</v>
      </c>
      <c r="O73">
        <v>3496154</v>
      </c>
      <c r="P73">
        <v>31935</v>
      </c>
      <c r="Q73">
        <v>1213</v>
      </c>
      <c r="R73" s="3">
        <f t="shared" si="12"/>
        <v>9.4812757103949086E-3</v>
      </c>
      <c r="S73">
        <v>20</v>
      </c>
      <c r="T73" t="str">
        <f t="shared" si="13"/>
        <v>Short</v>
      </c>
    </row>
    <row r="74" spans="1:20" ht="18.75" customHeight="1" x14ac:dyDescent="0.35">
      <c r="A74" t="s">
        <v>306</v>
      </c>
      <c r="B74" t="s">
        <v>2466</v>
      </c>
      <c r="C74" t="s">
        <v>11</v>
      </c>
      <c r="D74" s="2" t="s">
        <v>307</v>
      </c>
      <c r="E74" s="2">
        <f t="shared" si="8"/>
        <v>45687</v>
      </c>
      <c r="F74" s="4">
        <f t="shared" si="9"/>
        <v>2025</v>
      </c>
      <c r="G74" t="str">
        <f t="shared" si="10"/>
        <v>January</v>
      </c>
      <c r="H74" t="str">
        <f t="shared" si="11"/>
        <v>2025-01</v>
      </c>
      <c r="I74" s="4">
        <f t="shared" ca="1" si="7"/>
        <v>237</v>
      </c>
      <c r="J74" t="s">
        <v>308</v>
      </c>
      <c r="K74" t="s">
        <v>309</v>
      </c>
      <c r="L74" t="s">
        <v>29</v>
      </c>
      <c r="M74">
        <v>23</v>
      </c>
      <c r="N74" t="str">
        <f>VLOOKUP(M74, CategoryMap!$A$2:$B$100, 2, FALSE)</f>
        <v>Comedy</v>
      </c>
      <c r="O74">
        <v>10412054</v>
      </c>
      <c r="P74">
        <v>407264</v>
      </c>
      <c r="Q74">
        <v>1819</v>
      </c>
      <c r="R74" s="3">
        <f t="shared" si="12"/>
        <v>3.9289365959876886E-2</v>
      </c>
      <c r="S74">
        <v>21</v>
      </c>
      <c r="T74" t="str">
        <f t="shared" si="13"/>
        <v>Short</v>
      </c>
    </row>
    <row r="75" spans="1:20" ht="18.75" customHeight="1" x14ac:dyDescent="0.35">
      <c r="A75" t="s">
        <v>310</v>
      </c>
      <c r="B75" t="s">
        <v>2467</v>
      </c>
      <c r="C75" t="s">
        <v>2978</v>
      </c>
      <c r="D75" s="2" t="s">
        <v>311</v>
      </c>
      <c r="E75" s="2">
        <f t="shared" si="8"/>
        <v>45078</v>
      </c>
      <c r="F75" s="4">
        <f t="shared" si="9"/>
        <v>2023</v>
      </c>
      <c r="G75" t="str">
        <f t="shared" si="10"/>
        <v>June</v>
      </c>
      <c r="H75" t="str">
        <f t="shared" si="11"/>
        <v>2023-06</v>
      </c>
      <c r="I75" s="4">
        <f t="shared" ca="1" si="7"/>
        <v>846</v>
      </c>
      <c r="J75" t="s">
        <v>312</v>
      </c>
      <c r="K75" t="s">
        <v>313</v>
      </c>
      <c r="L75" t="s">
        <v>314</v>
      </c>
      <c r="M75">
        <v>25</v>
      </c>
      <c r="N75" t="str">
        <f>VLOOKUP(M75, CategoryMap!$A$2:$B$100, 2, FALSE)</f>
        <v>News &amp; Politics</v>
      </c>
      <c r="O75">
        <v>2712975</v>
      </c>
      <c r="P75">
        <v>132273</v>
      </c>
      <c r="Q75">
        <v>6316</v>
      </c>
      <c r="R75" s="3">
        <f t="shared" si="12"/>
        <v>5.1083773348445896E-2</v>
      </c>
      <c r="S75">
        <v>53</v>
      </c>
      <c r="T75" t="str">
        <f t="shared" si="13"/>
        <v>Short</v>
      </c>
    </row>
    <row r="76" spans="1:20" ht="18.75" customHeight="1" x14ac:dyDescent="0.35">
      <c r="A76" t="s">
        <v>315</v>
      </c>
      <c r="B76" t="s">
        <v>2468</v>
      </c>
      <c r="C76" t="s">
        <v>2979</v>
      </c>
      <c r="D76" s="2" t="s">
        <v>316</v>
      </c>
      <c r="E76" s="2">
        <f t="shared" si="8"/>
        <v>45797</v>
      </c>
      <c r="F76" s="4">
        <f t="shared" si="9"/>
        <v>2025</v>
      </c>
      <c r="G76" t="str">
        <f t="shared" si="10"/>
        <v>May</v>
      </c>
      <c r="H76" t="str">
        <f t="shared" si="11"/>
        <v>2025-05</v>
      </c>
      <c r="I76" s="4">
        <f t="shared" ca="1" si="7"/>
        <v>127</v>
      </c>
      <c r="J76" t="s">
        <v>317</v>
      </c>
      <c r="K76" t="s">
        <v>318</v>
      </c>
      <c r="L76" t="s">
        <v>319</v>
      </c>
      <c r="M76">
        <v>22</v>
      </c>
      <c r="N76" t="str">
        <f>VLOOKUP(M76, CategoryMap!$A$2:$B$100, 2, FALSE)</f>
        <v>People &amp; Blogs</v>
      </c>
      <c r="O76">
        <v>2106553</v>
      </c>
      <c r="P76">
        <v>217464.60837887001</v>
      </c>
      <c r="Q76">
        <v>22</v>
      </c>
      <c r="R76" s="3">
        <f t="shared" si="12"/>
        <v>0.103242884645613</v>
      </c>
      <c r="S76">
        <v>15</v>
      </c>
      <c r="T76" t="str">
        <f t="shared" si="13"/>
        <v>Short</v>
      </c>
    </row>
    <row r="77" spans="1:20" ht="18.75" customHeight="1" x14ac:dyDescent="0.35">
      <c r="A77" t="s">
        <v>320</v>
      </c>
      <c r="B77" t="s">
        <v>2469</v>
      </c>
      <c r="C77" t="s">
        <v>2980</v>
      </c>
      <c r="D77" s="2" t="s">
        <v>321</v>
      </c>
      <c r="E77" s="2">
        <f t="shared" si="8"/>
        <v>45746</v>
      </c>
      <c r="F77" s="4">
        <f t="shared" si="9"/>
        <v>2025</v>
      </c>
      <c r="G77" t="str">
        <f t="shared" si="10"/>
        <v>March</v>
      </c>
      <c r="H77" t="str">
        <f t="shared" si="11"/>
        <v>2025-03</v>
      </c>
      <c r="I77" s="4">
        <f t="shared" ca="1" si="7"/>
        <v>178</v>
      </c>
      <c r="J77" t="s">
        <v>322</v>
      </c>
      <c r="K77" t="s">
        <v>323</v>
      </c>
      <c r="L77" t="s">
        <v>29</v>
      </c>
      <c r="M77">
        <v>29</v>
      </c>
      <c r="N77" t="str">
        <f>VLOOKUP(M77, CategoryMap!$A$2:$B$100, 2, FALSE)</f>
        <v>Nonprofits &amp; Activism</v>
      </c>
      <c r="O77">
        <v>1468238</v>
      </c>
      <c r="P77">
        <v>25812</v>
      </c>
      <c r="Q77">
        <v>307</v>
      </c>
      <c r="R77" s="3">
        <f t="shared" si="12"/>
        <v>1.7789350227960316E-2</v>
      </c>
      <c r="S77">
        <v>13</v>
      </c>
      <c r="T77" t="str">
        <f t="shared" si="13"/>
        <v>Short</v>
      </c>
    </row>
    <row r="78" spans="1:20" ht="18.75" customHeight="1" x14ac:dyDescent="0.35">
      <c r="A78" t="s">
        <v>324</v>
      </c>
      <c r="B78" t="s">
        <v>2470</v>
      </c>
      <c r="C78" t="s">
        <v>2981</v>
      </c>
      <c r="D78" s="2" t="s">
        <v>325</v>
      </c>
      <c r="E78" s="2">
        <f t="shared" si="8"/>
        <v>45058</v>
      </c>
      <c r="F78" s="4">
        <f t="shared" si="9"/>
        <v>2023</v>
      </c>
      <c r="G78" t="str">
        <f t="shared" si="10"/>
        <v>May</v>
      </c>
      <c r="H78" t="str">
        <f t="shared" si="11"/>
        <v>2023-05</v>
      </c>
      <c r="I78" s="4">
        <f t="shared" ca="1" si="7"/>
        <v>866</v>
      </c>
      <c r="J78" t="s">
        <v>326</v>
      </c>
      <c r="K78" t="s">
        <v>327</v>
      </c>
      <c r="L78" t="s">
        <v>328</v>
      </c>
      <c r="M78">
        <v>28</v>
      </c>
      <c r="N78" t="str">
        <f>VLOOKUP(M78, CategoryMap!$A$2:$B$100, 2, FALSE)</f>
        <v>Science &amp; Technology</v>
      </c>
      <c r="O78">
        <v>13524982</v>
      </c>
      <c r="P78">
        <v>525169</v>
      </c>
      <c r="Q78">
        <v>1146</v>
      </c>
      <c r="R78" s="3">
        <f t="shared" si="12"/>
        <v>3.8914284691839149E-2</v>
      </c>
      <c r="S78">
        <v>12</v>
      </c>
      <c r="T78" t="str">
        <f t="shared" si="13"/>
        <v>Short</v>
      </c>
    </row>
    <row r="79" spans="1:20" ht="18.75" customHeight="1" x14ac:dyDescent="0.35">
      <c r="A79" t="s">
        <v>329</v>
      </c>
      <c r="B79" t="s">
        <v>2471</v>
      </c>
      <c r="C79" t="s">
        <v>2982</v>
      </c>
      <c r="D79" s="2" t="s">
        <v>330</v>
      </c>
      <c r="E79" s="2">
        <f t="shared" si="8"/>
        <v>45583</v>
      </c>
      <c r="F79" s="4">
        <f t="shared" si="9"/>
        <v>2024</v>
      </c>
      <c r="G79" t="str">
        <f t="shared" si="10"/>
        <v>October</v>
      </c>
      <c r="H79" t="str">
        <f t="shared" si="11"/>
        <v>2024-10</v>
      </c>
      <c r="I79" s="4">
        <f t="shared" ca="1" si="7"/>
        <v>341</v>
      </c>
      <c r="J79" t="s">
        <v>331</v>
      </c>
      <c r="K79" t="s">
        <v>332</v>
      </c>
      <c r="L79" t="s">
        <v>333</v>
      </c>
      <c r="M79">
        <v>27</v>
      </c>
      <c r="N79" t="str">
        <f>VLOOKUP(M79, CategoryMap!$A$2:$B$100, 2, FALSE)</f>
        <v>Education</v>
      </c>
      <c r="O79">
        <v>194707</v>
      </c>
      <c r="P79">
        <v>2629</v>
      </c>
      <c r="Q79">
        <v>28</v>
      </c>
      <c r="R79" s="3">
        <f t="shared" si="12"/>
        <v>1.364614523360742E-2</v>
      </c>
      <c r="S79">
        <v>11</v>
      </c>
      <c r="T79" t="str">
        <f t="shared" si="13"/>
        <v>Short</v>
      </c>
    </row>
    <row r="80" spans="1:20" ht="18.75" customHeight="1" x14ac:dyDescent="0.35">
      <c r="A80" t="s">
        <v>334</v>
      </c>
      <c r="B80" t="s">
        <v>2472</v>
      </c>
      <c r="C80" t="s">
        <v>2983</v>
      </c>
      <c r="D80" s="2" t="s">
        <v>335</v>
      </c>
      <c r="E80" s="2">
        <f t="shared" si="8"/>
        <v>45729</v>
      </c>
      <c r="F80" s="4">
        <f t="shared" si="9"/>
        <v>2025</v>
      </c>
      <c r="G80" t="str">
        <f t="shared" si="10"/>
        <v>March</v>
      </c>
      <c r="H80" t="str">
        <f t="shared" si="11"/>
        <v>2025-03</v>
      </c>
      <c r="I80" s="4">
        <f t="shared" ca="1" si="7"/>
        <v>195</v>
      </c>
      <c r="J80" t="s">
        <v>336</v>
      </c>
      <c r="K80" t="s">
        <v>337</v>
      </c>
      <c r="L80" t="s">
        <v>338</v>
      </c>
      <c r="M80">
        <v>28</v>
      </c>
      <c r="N80" t="str">
        <f>VLOOKUP(M80, CategoryMap!$A$2:$B$100, 2, FALSE)</f>
        <v>Science &amp; Technology</v>
      </c>
      <c r="O80">
        <v>13314168</v>
      </c>
      <c r="P80">
        <v>217464.60837887001</v>
      </c>
      <c r="Q80">
        <v>4250</v>
      </c>
      <c r="R80" s="3">
        <f t="shared" si="12"/>
        <v>1.6652531977880254E-2</v>
      </c>
      <c r="S80">
        <v>6</v>
      </c>
      <c r="T80" t="str">
        <f t="shared" si="13"/>
        <v>Short</v>
      </c>
    </row>
    <row r="81" spans="1:20" ht="18.75" customHeight="1" x14ac:dyDescent="0.35">
      <c r="A81" t="s">
        <v>339</v>
      </c>
      <c r="B81" t="s">
        <v>2473</v>
      </c>
      <c r="C81" t="s">
        <v>2984</v>
      </c>
      <c r="D81" s="2" t="s">
        <v>340</v>
      </c>
      <c r="E81" s="2">
        <f t="shared" si="8"/>
        <v>45044</v>
      </c>
      <c r="F81" s="4">
        <f t="shared" si="9"/>
        <v>2023</v>
      </c>
      <c r="G81" t="str">
        <f t="shared" si="10"/>
        <v>April</v>
      </c>
      <c r="H81" t="str">
        <f t="shared" si="11"/>
        <v>2023-04</v>
      </c>
      <c r="I81" s="4">
        <f t="shared" ca="1" si="7"/>
        <v>880</v>
      </c>
      <c r="J81" t="s">
        <v>326</v>
      </c>
      <c r="K81" t="s">
        <v>327</v>
      </c>
      <c r="L81" t="s">
        <v>328</v>
      </c>
      <c r="M81">
        <v>28</v>
      </c>
      <c r="N81" t="str">
        <f>VLOOKUP(M81, CategoryMap!$A$2:$B$100, 2, FALSE)</f>
        <v>Science &amp; Technology</v>
      </c>
      <c r="O81">
        <v>161748042</v>
      </c>
      <c r="P81">
        <v>4421091</v>
      </c>
      <c r="Q81">
        <v>8794</v>
      </c>
      <c r="R81" s="3">
        <f t="shared" si="12"/>
        <v>2.738756491407791E-2</v>
      </c>
      <c r="S81">
        <v>15</v>
      </c>
      <c r="T81" t="str">
        <f t="shared" si="13"/>
        <v>Short</v>
      </c>
    </row>
    <row r="82" spans="1:20" ht="18.75" customHeight="1" x14ac:dyDescent="0.35">
      <c r="A82" t="s">
        <v>341</v>
      </c>
      <c r="B82" t="s">
        <v>342</v>
      </c>
      <c r="C82" t="s">
        <v>2985</v>
      </c>
      <c r="D82" s="2" t="s">
        <v>343</v>
      </c>
      <c r="E82" s="2">
        <f t="shared" si="8"/>
        <v>45021</v>
      </c>
      <c r="F82" s="4">
        <f t="shared" si="9"/>
        <v>2023</v>
      </c>
      <c r="G82" t="str">
        <f t="shared" si="10"/>
        <v>April</v>
      </c>
      <c r="H82" t="str">
        <f t="shared" si="11"/>
        <v>2023-04</v>
      </c>
      <c r="I82" s="4">
        <f t="shared" ca="1" si="7"/>
        <v>903</v>
      </c>
      <c r="J82" t="s">
        <v>344</v>
      </c>
      <c r="K82" t="s">
        <v>345</v>
      </c>
      <c r="L82" t="s">
        <v>346</v>
      </c>
      <c r="M82">
        <v>22</v>
      </c>
      <c r="N82" t="str">
        <f>VLOOKUP(M82, CategoryMap!$A$2:$B$100, 2, FALSE)</f>
        <v>People &amp; Blogs</v>
      </c>
      <c r="O82">
        <v>37548519</v>
      </c>
      <c r="P82">
        <v>1926556</v>
      </c>
      <c r="Q82">
        <v>10002</v>
      </c>
      <c r="R82" s="3">
        <f t="shared" si="12"/>
        <v>5.1574817105303143E-2</v>
      </c>
      <c r="S82">
        <v>42</v>
      </c>
      <c r="T82" t="str">
        <f t="shared" si="13"/>
        <v>Short</v>
      </c>
    </row>
    <row r="83" spans="1:20" ht="18.75" customHeight="1" x14ac:dyDescent="0.35">
      <c r="A83" t="s">
        <v>347</v>
      </c>
      <c r="B83" t="s">
        <v>2474</v>
      </c>
      <c r="C83" t="s">
        <v>2986</v>
      </c>
      <c r="D83" s="2" t="s">
        <v>348</v>
      </c>
      <c r="E83" s="2">
        <f t="shared" si="8"/>
        <v>45474</v>
      </c>
      <c r="F83" s="4">
        <f t="shared" si="9"/>
        <v>2024</v>
      </c>
      <c r="G83" t="str">
        <f t="shared" si="10"/>
        <v>July</v>
      </c>
      <c r="H83" t="str">
        <f t="shared" si="11"/>
        <v>2024-07</v>
      </c>
      <c r="I83" s="4">
        <f t="shared" ca="1" si="7"/>
        <v>450</v>
      </c>
      <c r="J83" t="s">
        <v>284</v>
      </c>
      <c r="K83" t="s">
        <v>285</v>
      </c>
      <c r="L83" t="s">
        <v>29</v>
      </c>
      <c r="M83">
        <v>22</v>
      </c>
      <c r="N83" t="str">
        <f>VLOOKUP(M83, CategoryMap!$A$2:$B$100, 2, FALSE)</f>
        <v>People &amp; Blogs</v>
      </c>
      <c r="O83">
        <v>22065014</v>
      </c>
      <c r="P83">
        <v>830841</v>
      </c>
      <c r="Q83">
        <v>9376</v>
      </c>
      <c r="R83" s="3">
        <f t="shared" si="12"/>
        <v>3.8079151003484524E-2</v>
      </c>
      <c r="S83">
        <v>18</v>
      </c>
      <c r="T83" t="str">
        <f t="shared" si="13"/>
        <v>Short</v>
      </c>
    </row>
    <row r="84" spans="1:20" ht="18.75" customHeight="1" x14ac:dyDescent="0.35">
      <c r="A84" t="s">
        <v>349</v>
      </c>
      <c r="B84" t="s">
        <v>2475</v>
      </c>
      <c r="C84" t="s">
        <v>2987</v>
      </c>
      <c r="D84" s="2" t="s">
        <v>350</v>
      </c>
      <c r="E84" s="2">
        <f t="shared" si="8"/>
        <v>45771</v>
      </c>
      <c r="F84" s="4">
        <f t="shared" si="9"/>
        <v>2025</v>
      </c>
      <c r="G84" t="str">
        <f t="shared" si="10"/>
        <v>April</v>
      </c>
      <c r="H84" t="str">
        <f t="shared" si="11"/>
        <v>2025-04</v>
      </c>
      <c r="I84" s="4">
        <f t="shared" ca="1" si="7"/>
        <v>153</v>
      </c>
      <c r="J84" t="s">
        <v>351</v>
      </c>
      <c r="K84" t="s">
        <v>352</v>
      </c>
      <c r="L84" t="s">
        <v>353</v>
      </c>
      <c r="M84">
        <v>22</v>
      </c>
      <c r="N84" t="str">
        <f>VLOOKUP(M84, CategoryMap!$A$2:$B$100, 2, FALSE)</f>
        <v>People &amp; Blogs</v>
      </c>
      <c r="O84">
        <v>1936475</v>
      </c>
      <c r="P84">
        <v>27459</v>
      </c>
      <c r="Q84">
        <v>106</v>
      </c>
      <c r="R84" s="3">
        <f t="shared" si="12"/>
        <v>1.4234627351243884E-2</v>
      </c>
      <c r="S84">
        <v>46</v>
      </c>
      <c r="T84" t="str">
        <f t="shared" si="13"/>
        <v>Short</v>
      </c>
    </row>
    <row r="85" spans="1:20" ht="18.75" customHeight="1" x14ac:dyDescent="0.35">
      <c r="A85" t="s">
        <v>354</v>
      </c>
      <c r="B85" t="s">
        <v>2476</v>
      </c>
      <c r="C85" t="s">
        <v>11</v>
      </c>
      <c r="D85" s="2" t="s">
        <v>355</v>
      </c>
      <c r="E85" s="2">
        <f t="shared" si="8"/>
        <v>45592</v>
      </c>
      <c r="F85" s="4">
        <f t="shared" si="9"/>
        <v>2024</v>
      </c>
      <c r="G85" t="str">
        <f t="shared" si="10"/>
        <v>October</v>
      </c>
      <c r="H85" t="str">
        <f t="shared" si="11"/>
        <v>2024-10</v>
      </c>
      <c r="I85" s="4">
        <f t="shared" ca="1" si="7"/>
        <v>332</v>
      </c>
      <c r="J85" t="s">
        <v>356</v>
      </c>
      <c r="K85" t="s">
        <v>357</v>
      </c>
      <c r="L85" t="s">
        <v>358</v>
      </c>
      <c r="M85">
        <v>27</v>
      </c>
      <c r="N85" t="str">
        <f>VLOOKUP(M85, CategoryMap!$A$2:$B$100, 2, FALSE)</f>
        <v>Education</v>
      </c>
      <c r="O85">
        <v>184577</v>
      </c>
      <c r="P85">
        <v>14952</v>
      </c>
      <c r="Q85">
        <v>893</v>
      </c>
      <c r="R85" s="3">
        <f t="shared" si="12"/>
        <v>8.5844931925429496E-2</v>
      </c>
      <c r="S85">
        <v>32</v>
      </c>
      <c r="T85" t="str">
        <f t="shared" si="13"/>
        <v>Short</v>
      </c>
    </row>
    <row r="86" spans="1:20" ht="18.75" customHeight="1" x14ac:dyDescent="0.35">
      <c r="A86" t="s">
        <v>359</v>
      </c>
      <c r="B86" t="s">
        <v>2477</v>
      </c>
      <c r="C86" t="s">
        <v>2988</v>
      </c>
      <c r="D86" s="2" t="s">
        <v>360</v>
      </c>
      <c r="E86" s="2">
        <f t="shared" si="8"/>
        <v>45576</v>
      </c>
      <c r="F86" s="4">
        <f t="shared" si="9"/>
        <v>2024</v>
      </c>
      <c r="G86" t="str">
        <f t="shared" si="10"/>
        <v>October</v>
      </c>
      <c r="H86" t="str">
        <f t="shared" si="11"/>
        <v>2024-10</v>
      </c>
      <c r="I86" s="4">
        <f t="shared" ca="1" si="7"/>
        <v>348</v>
      </c>
      <c r="J86" t="s">
        <v>117</v>
      </c>
      <c r="K86" t="s">
        <v>118</v>
      </c>
      <c r="L86" t="s">
        <v>361</v>
      </c>
      <c r="M86">
        <v>27</v>
      </c>
      <c r="N86" t="str">
        <f>VLOOKUP(M86, CategoryMap!$A$2:$B$100, 2, FALSE)</f>
        <v>Education</v>
      </c>
      <c r="O86">
        <v>3402520</v>
      </c>
      <c r="P86">
        <v>217464.60837887001</v>
      </c>
      <c r="Q86">
        <v>35487</v>
      </c>
      <c r="R86" s="3">
        <f t="shared" si="12"/>
        <v>7.434243101550321E-2</v>
      </c>
      <c r="S86">
        <v>31</v>
      </c>
      <c r="T86" t="str">
        <f t="shared" si="13"/>
        <v>Short</v>
      </c>
    </row>
    <row r="87" spans="1:20" ht="18.75" customHeight="1" x14ac:dyDescent="0.35">
      <c r="A87" t="s">
        <v>362</v>
      </c>
      <c r="B87" t="s">
        <v>2478</v>
      </c>
      <c r="C87" t="s">
        <v>2989</v>
      </c>
      <c r="D87" s="2" t="s">
        <v>363</v>
      </c>
      <c r="E87" s="2">
        <f t="shared" si="8"/>
        <v>45461</v>
      </c>
      <c r="F87" s="4">
        <f t="shared" si="9"/>
        <v>2024</v>
      </c>
      <c r="G87" t="str">
        <f t="shared" si="10"/>
        <v>June</v>
      </c>
      <c r="H87" t="str">
        <f t="shared" si="11"/>
        <v>2024-06</v>
      </c>
      <c r="I87" s="4">
        <f t="shared" ca="1" si="7"/>
        <v>463</v>
      </c>
      <c r="J87" t="s">
        <v>364</v>
      </c>
      <c r="K87" t="s">
        <v>365</v>
      </c>
      <c r="L87" t="s">
        <v>29</v>
      </c>
      <c r="M87">
        <v>28</v>
      </c>
      <c r="N87" t="str">
        <f>VLOOKUP(M87, CategoryMap!$A$2:$B$100, 2, FALSE)</f>
        <v>Science &amp; Technology</v>
      </c>
      <c r="O87">
        <v>228906</v>
      </c>
      <c r="P87">
        <v>4884</v>
      </c>
      <c r="Q87">
        <v>458</v>
      </c>
      <c r="R87" s="3">
        <f t="shared" si="12"/>
        <v>2.3337090334023574E-2</v>
      </c>
      <c r="S87">
        <v>23</v>
      </c>
      <c r="T87" t="str">
        <f t="shared" si="13"/>
        <v>Short</v>
      </c>
    </row>
    <row r="88" spans="1:20" ht="18.75" customHeight="1" x14ac:dyDescent="0.35">
      <c r="A88" t="s">
        <v>366</v>
      </c>
      <c r="B88" t="s">
        <v>2479</v>
      </c>
      <c r="C88" t="s">
        <v>2990</v>
      </c>
      <c r="D88" s="2" t="s">
        <v>367</v>
      </c>
      <c r="E88" s="2">
        <f t="shared" si="8"/>
        <v>45746</v>
      </c>
      <c r="F88" s="4">
        <f t="shared" si="9"/>
        <v>2025</v>
      </c>
      <c r="G88" t="str">
        <f t="shared" si="10"/>
        <v>March</v>
      </c>
      <c r="H88" t="str">
        <f t="shared" si="11"/>
        <v>2025-03</v>
      </c>
      <c r="I88" s="4">
        <f t="shared" ca="1" si="7"/>
        <v>178</v>
      </c>
      <c r="J88" t="s">
        <v>368</v>
      </c>
      <c r="K88" t="s">
        <v>369</v>
      </c>
      <c r="L88" t="s">
        <v>370</v>
      </c>
      <c r="M88">
        <v>28</v>
      </c>
      <c r="N88" t="str">
        <f>VLOOKUP(M88, CategoryMap!$A$2:$B$100, 2, FALSE)</f>
        <v>Science &amp; Technology</v>
      </c>
      <c r="O88">
        <v>1884696</v>
      </c>
      <c r="P88">
        <v>20970</v>
      </c>
      <c r="Q88">
        <v>106</v>
      </c>
      <c r="R88" s="3">
        <f t="shared" si="12"/>
        <v>1.118270532754354E-2</v>
      </c>
      <c r="S88">
        <v>14</v>
      </c>
      <c r="T88" t="str">
        <f t="shared" si="13"/>
        <v>Short</v>
      </c>
    </row>
    <row r="89" spans="1:20" ht="18.75" customHeight="1" x14ac:dyDescent="0.35">
      <c r="A89" t="s">
        <v>371</v>
      </c>
      <c r="B89" t="s">
        <v>2480</v>
      </c>
      <c r="C89" t="s">
        <v>2991</v>
      </c>
      <c r="D89" s="2" t="s">
        <v>372</v>
      </c>
      <c r="E89" s="2">
        <f t="shared" si="8"/>
        <v>45696</v>
      </c>
      <c r="F89" s="4">
        <f t="shared" si="9"/>
        <v>2025</v>
      </c>
      <c r="G89" t="str">
        <f t="shared" si="10"/>
        <v>February</v>
      </c>
      <c r="H89" t="str">
        <f t="shared" si="11"/>
        <v>2025-02</v>
      </c>
      <c r="I89" s="4">
        <f t="shared" ca="1" si="7"/>
        <v>228</v>
      </c>
      <c r="J89" t="s">
        <v>373</v>
      </c>
      <c r="K89" t="s">
        <v>374</v>
      </c>
      <c r="L89" t="s">
        <v>375</v>
      </c>
      <c r="M89">
        <v>28</v>
      </c>
      <c r="N89" t="str">
        <f>VLOOKUP(M89, CategoryMap!$A$2:$B$100, 2, FALSE)</f>
        <v>Science &amp; Technology</v>
      </c>
      <c r="O89">
        <v>99420</v>
      </c>
      <c r="P89">
        <v>1711</v>
      </c>
      <c r="Q89">
        <v>103</v>
      </c>
      <c r="R89" s="3">
        <f t="shared" si="12"/>
        <v>1.8245825789579562E-2</v>
      </c>
      <c r="S89">
        <v>3264</v>
      </c>
      <c r="T89" t="str">
        <f t="shared" si="13"/>
        <v>Long</v>
      </c>
    </row>
    <row r="90" spans="1:20" ht="18.75" customHeight="1" x14ac:dyDescent="0.35">
      <c r="A90" t="s">
        <v>376</v>
      </c>
      <c r="B90" t="s">
        <v>2481</v>
      </c>
      <c r="C90" t="s">
        <v>2992</v>
      </c>
      <c r="D90" s="2" t="s">
        <v>377</v>
      </c>
      <c r="E90" s="2">
        <f t="shared" si="8"/>
        <v>45802</v>
      </c>
      <c r="F90" s="4">
        <f t="shared" si="9"/>
        <v>2025</v>
      </c>
      <c r="G90" t="str">
        <f t="shared" si="10"/>
        <v>May</v>
      </c>
      <c r="H90" t="str">
        <f t="shared" si="11"/>
        <v>2025-05</v>
      </c>
      <c r="I90" s="4">
        <f t="shared" ca="1" si="7"/>
        <v>122</v>
      </c>
      <c r="J90" t="s">
        <v>317</v>
      </c>
      <c r="K90" t="s">
        <v>318</v>
      </c>
      <c r="L90" t="s">
        <v>378</v>
      </c>
      <c r="M90">
        <v>22</v>
      </c>
      <c r="N90" t="str">
        <f>VLOOKUP(M90, CategoryMap!$A$2:$B$100, 2, FALSE)</f>
        <v>People &amp; Blogs</v>
      </c>
      <c r="O90">
        <v>2210812</v>
      </c>
      <c r="P90">
        <v>18552</v>
      </c>
      <c r="Q90">
        <v>60</v>
      </c>
      <c r="R90" s="3">
        <f t="shared" si="12"/>
        <v>8.418626278489532E-3</v>
      </c>
      <c r="S90">
        <v>19</v>
      </c>
      <c r="T90" t="str">
        <f t="shared" si="13"/>
        <v>Short</v>
      </c>
    </row>
    <row r="91" spans="1:20" ht="18.75" customHeight="1" x14ac:dyDescent="0.35">
      <c r="A91" t="s">
        <v>379</v>
      </c>
      <c r="B91" t="s">
        <v>2482</v>
      </c>
      <c r="C91" t="s">
        <v>2993</v>
      </c>
      <c r="D91" s="2" t="s">
        <v>380</v>
      </c>
      <c r="E91" s="2">
        <f t="shared" si="8"/>
        <v>45792</v>
      </c>
      <c r="F91" s="4">
        <f t="shared" si="9"/>
        <v>2025</v>
      </c>
      <c r="G91" t="str">
        <f t="shared" si="10"/>
        <v>May</v>
      </c>
      <c r="H91" t="str">
        <f t="shared" si="11"/>
        <v>2025-05</v>
      </c>
      <c r="I91" s="4">
        <f t="shared" ca="1" si="7"/>
        <v>132</v>
      </c>
      <c r="J91" t="s">
        <v>13</v>
      </c>
      <c r="K91" t="s">
        <v>14</v>
      </c>
      <c r="L91" t="s">
        <v>381</v>
      </c>
      <c r="M91">
        <v>28</v>
      </c>
      <c r="N91" t="str">
        <f>VLOOKUP(M91, CategoryMap!$A$2:$B$100, 2, FALSE)</f>
        <v>Science &amp; Technology</v>
      </c>
      <c r="O91">
        <v>5274622</v>
      </c>
      <c r="P91">
        <v>131194</v>
      </c>
      <c r="Q91">
        <v>4661</v>
      </c>
      <c r="R91" s="3">
        <f t="shared" si="12"/>
        <v>2.5756348037830959E-2</v>
      </c>
      <c r="S91">
        <v>2185</v>
      </c>
      <c r="T91" t="str">
        <f t="shared" si="13"/>
        <v>Long</v>
      </c>
    </row>
    <row r="92" spans="1:20" ht="18.75" customHeight="1" x14ac:dyDescent="0.35">
      <c r="A92" t="s">
        <v>382</v>
      </c>
      <c r="B92" t="s">
        <v>2483</v>
      </c>
      <c r="C92" t="s">
        <v>2994</v>
      </c>
      <c r="D92" s="2" t="s">
        <v>383</v>
      </c>
      <c r="E92" s="2">
        <f t="shared" si="8"/>
        <v>45750</v>
      </c>
      <c r="F92" s="4">
        <f t="shared" si="9"/>
        <v>2025</v>
      </c>
      <c r="G92" t="str">
        <f t="shared" si="10"/>
        <v>April</v>
      </c>
      <c r="H92" t="str">
        <f t="shared" si="11"/>
        <v>2025-04</v>
      </c>
      <c r="I92" s="4">
        <f t="shared" ca="1" si="7"/>
        <v>174</v>
      </c>
      <c r="J92" t="s">
        <v>384</v>
      </c>
      <c r="K92" t="s">
        <v>385</v>
      </c>
      <c r="L92" t="s">
        <v>386</v>
      </c>
      <c r="M92">
        <v>23</v>
      </c>
      <c r="N92" t="str">
        <f>VLOOKUP(M92, CategoryMap!$A$2:$B$100, 2, FALSE)</f>
        <v>Comedy</v>
      </c>
      <c r="O92">
        <v>1709718</v>
      </c>
      <c r="P92">
        <v>20528</v>
      </c>
      <c r="Q92">
        <v>214</v>
      </c>
      <c r="R92" s="3">
        <f t="shared" si="12"/>
        <v>1.2131825248374294E-2</v>
      </c>
      <c r="S92">
        <v>44</v>
      </c>
      <c r="T92" t="str">
        <f t="shared" si="13"/>
        <v>Short</v>
      </c>
    </row>
    <row r="93" spans="1:20" ht="18.75" customHeight="1" x14ac:dyDescent="0.35">
      <c r="A93" t="s">
        <v>387</v>
      </c>
      <c r="B93" t="s">
        <v>2484</v>
      </c>
      <c r="C93" t="s">
        <v>11</v>
      </c>
      <c r="D93" s="2" t="s">
        <v>388</v>
      </c>
      <c r="E93" s="2">
        <f t="shared" si="8"/>
        <v>45566</v>
      </c>
      <c r="F93" s="4">
        <f t="shared" si="9"/>
        <v>2024</v>
      </c>
      <c r="G93" t="str">
        <f t="shared" si="10"/>
        <v>October</v>
      </c>
      <c r="H93" t="str">
        <f t="shared" si="11"/>
        <v>2024-10</v>
      </c>
      <c r="I93" s="4">
        <f t="shared" ca="1" si="7"/>
        <v>358</v>
      </c>
      <c r="J93" t="s">
        <v>389</v>
      </c>
      <c r="K93" t="s">
        <v>390</v>
      </c>
      <c r="L93" t="s">
        <v>29</v>
      </c>
      <c r="M93">
        <v>22</v>
      </c>
      <c r="N93" t="str">
        <f>VLOOKUP(M93, CategoryMap!$A$2:$B$100, 2, FALSE)</f>
        <v>People &amp; Blogs</v>
      </c>
      <c r="O93">
        <v>12426075</v>
      </c>
      <c r="P93">
        <v>595278</v>
      </c>
      <c r="Q93">
        <v>6160</v>
      </c>
      <c r="R93" s="3">
        <f t="shared" si="12"/>
        <v>4.8401285200676804E-2</v>
      </c>
      <c r="S93">
        <v>31</v>
      </c>
      <c r="T93" t="str">
        <f t="shared" si="13"/>
        <v>Short</v>
      </c>
    </row>
    <row r="94" spans="1:20" ht="18.75" customHeight="1" x14ac:dyDescent="0.35">
      <c r="A94" t="s">
        <v>391</v>
      </c>
      <c r="B94" t="s">
        <v>2485</v>
      </c>
      <c r="C94" t="s">
        <v>2995</v>
      </c>
      <c r="D94" s="2" t="s">
        <v>392</v>
      </c>
      <c r="E94" s="2">
        <f t="shared" si="8"/>
        <v>45700</v>
      </c>
      <c r="F94" s="4">
        <f t="shared" si="9"/>
        <v>2025</v>
      </c>
      <c r="G94" t="str">
        <f t="shared" si="10"/>
        <v>February</v>
      </c>
      <c r="H94" t="str">
        <f t="shared" si="11"/>
        <v>2025-02</v>
      </c>
      <c r="I94" s="4">
        <f t="shared" ca="1" si="7"/>
        <v>224</v>
      </c>
      <c r="J94" t="s">
        <v>393</v>
      </c>
      <c r="K94" t="s">
        <v>394</v>
      </c>
      <c r="L94" t="s">
        <v>395</v>
      </c>
      <c r="M94">
        <v>27</v>
      </c>
      <c r="N94" t="str">
        <f>VLOOKUP(M94, CategoryMap!$A$2:$B$100, 2, FALSE)</f>
        <v>Education</v>
      </c>
      <c r="O94">
        <v>69677</v>
      </c>
      <c r="P94">
        <v>350</v>
      </c>
      <c r="Q94">
        <v>9</v>
      </c>
      <c r="R94" s="3">
        <f t="shared" si="12"/>
        <v>5.1523458243035725E-3</v>
      </c>
      <c r="S94">
        <v>6</v>
      </c>
      <c r="T94" t="str">
        <f t="shared" si="13"/>
        <v>Short</v>
      </c>
    </row>
    <row r="95" spans="1:20" ht="18.75" customHeight="1" x14ac:dyDescent="0.35">
      <c r="A95" t="s">
        <v>396</v>
      </c>
      <c r="B95" t="s">
        <v>2486</v>
      </c>
      <c r="C95" t="s">
        <v>11</v>
      </c>
      <c r="D95" s="2" t="s">
        <v>397</v>
      </c>
      <c r="E95" s="2">
        <f t="shared" si="8"/>
        <v>45529</v>
      </c>
      <c r="F95" s="4">
        <f t="shared" si="9"/>
        <v>2024</v>
      </c>
      <c r="G95" t="str">
        <f t="shared" si="10"/>
        <v>August</v>
      </c>
      <c r="H95" t="str">
        <f t="shared" si="11"/>
        <v>2024-08</v>
      </c>
      <c r="I95" s="4">
        <f t="shared" ca="1" si="7"/>
        <v>395</v>
      </c>
      <c r="J95" t="s">
        <v>398</v>
      </c>
      <c r="K95" t="s">
        <v>399</v>
      </c>
      <c r="L95" t="s">
        <v>29</v>
      </c>
      <c r="M95">
        <v>24</v>
      </c>
      <c r="N95" t="str">
        <f>VLOOKUP(M95, CategoryMap!$A$2:$B$100, 2, FALSE)</f>
        <v>Entertainment</v>
      </c>
      <c r="O95">
        <v>7733646</v>
      </c>
      <c r="P95">
        <v>430329</v>
      </c>
      <c r="Q95">
        <v>4734</v>
      </c>
      <c r="R95" s="3">
        <f t="shared" si="12"/>
        <v>5.6255872068620677E-2</v>
      </c>
      <c r="S95">
        <v>54</v>
      </c>
      <c r="T95" t="str">
        <f t="shared" si="13"/>
        <v>Short</v>
      </c>
    </row>
    <row r="96" spans="1:20" ht="18.75" customHeight="1" x14ac:dyDescent="0.35">
      <c r="A96" t="s">
        <v>400</v>
      </c>
      <c r="B96" t="s">
        <v>2487</v>
      </c>
      <c r="C96" t="s">
        <v>2996</v>
      </c>
      <c r="D96" s="2" t="s">
        <v>401</v>
      </c>
      <c r="E96" s="2">
        <f t="shared" si="8"/>
        <v>45323</v>
      </c>
      <c r="F96" s="4">
        <f t="shared" si="9"/>
        <v>2024</v>
      </c>
      <c r="G96" t="str">
        <f t="shared" si="10"/>
        <v>February</v>
      </c>
      <c r="H96" t="str">
        <f t="shared" si="11"/>
        <v>2024-02</v>
      </c>
      <c r="I96" s="4">
        <f t="shared" ca="1" si="7"/>
        <v>601</v>
      </c>
      <c r="J96" t="s">
        <v>402</v>
      </c>
      <c r="K96" t="s">
        <v>403</v>
      </c>
      <c r="L96" t="s">
        <v>404</v>
      </c>
      <c r="M96">
        <v>28</v>
      </c>
      <c r="N96" t="str">
        <f>VLOOKUP(M96, CategoryMap!$A$2:$B$100, 2, FALSE)</f>
        <v>Science &amp; Technology</v>
      </c>
      <c r="O96">
        <v>79665463</v>
      </c>
      <c r="P96">
        <v>426407</v>
      </c>
      <c r="Q96">
        <v>981</v>
      </c>
      <c r="R96" s="3">
        <f t="shared" si="12"/>
        <v>5.3647839842467246E-3</v>
      </c>
      <c r="S96">
        <v>10</v>
      </c>
      <c r="T96" t="str">
        <f t="shared" si="13"/>
        <v>Short</v>
      </c>
    </row>
    <row r="97" spans="1:20" ht="18.75" customHeight="1" x14ac:dyDescent="0.35">
      <c r="A97" t="s">
        <v>405</v>
      </c>
      <c r="B97" t="s">
        <v>406</v>
      </c>
      <c r="C97" t="s">
        <v>11</v>
      </c>
      <c r="D97" s="2" t="s">
        <v>407</v>
      </c>
      <c r="E97" s="2">
        <f t="shared" si="8"/>
        <v>45424</v>
      </c>
      <c r="F97" s="4">
        <f t="shared" si="9"/>
        <v>2024</v>
      </c>
      <c r="G97" t="str">
        <f t="shared" si="10"/>
        <v>May</v>
      </c>
      <c r="H97" t="str">
        <f t="shared" si="11"/>
        <v>2024-05</v>
      </c>
      <c r="I97" s="4">
        <f t="shared" ca="1" si="7"/>
        <v>500</v>
      </c>
      <c r="J97" t="s">
        <v>408</v>
      </c>
      <c r="K97" t="s">
        <v>409</v>
      </c>
      <c r="L97" t="s">
        <v>29</v>
      </c>
      <c r="M97">
        <v>22</v>
      </c>
      <c r="N97" t="str">
        <f>VLOOKUP(M97, CategoryMap!$A$2:$B$100, 2, FALSE)</f>
        <v>People &amp; Blogs</v>
      </c>
      <c r="O97">
        <v>13576683</v>
      </c>
      <c r="P97">
        <v>351168</v>
      </c>
      <c r="Q97">
        <v>3067</v>
      </c>
      <c r="R97" s="3">
        <f t="shared" si="12"/>
        <v>2.6091424540147252E-2</v>
      </c>
      <c r="S97">
        <v>60</v>
      </c>
      <c r="T97" t="str">
        <f t="shared" si="13"/>
        <v>Short</v>
      </c>
    </row>
    <row r="98" spans="1:20" ht="18.75" customHeight="1" x14ac:dyDescent="0.35">
      <c r="A98" t="s">
        <v>410</v>
      </c>
      <c r="B98" t="s">
        <v>2488</v>
      </c>
      <c r="C98" t="s">
        <v>2997</v>
      </c>
      <c r="D98" s="2" t="s">
        <v>411</v>
      </c>
      <c r="E98" s="2">
        <f t="shared" si="8"/>
        <v>45568</v>
      </c>
      <c r="F98" s="4">
        <f t="shared" si="9"/>
        <v>2024</v>
      </c>
      <c r="G98" t="str">
        <f t="shared" si="10"/>
        <v>October</v>
      </c>
      <c r="H98" t="str">
        <f t="shared" si="11"/>
        <v>2024-10</v>
      </c>
      <c r="I98" s="4">
        <f t="shared" ca="1" si="7"/>
        <v>356</v>
      </c>
      <c r="J98" t="s">
        <v>412</v>
      </c>
      <c r="K98" t="s">
        <v>413</v>
      </c>
      <c r="L98" t="s">
        <v>29</v>
      </c>
      <c r="M98">
        <v>28</v>
      </c>
      <c r="N98" t="str">
        <f>VLOOKUP(M98, CategoryMap!$A$2:$B$100, 2, FALSE)</f>
        <v>Science &amp; Technology</v>
      </c>
      <c r="O98">
        <v>1884583</v>
      </c>
      <c r="P98">
        <v>60952</v>
      </c>
      <c r="Q98">
        <v>218</v>
      </c>
      <c r="R98" s="3">
        <f t="shared" si="12"/>
        <v>3.24581087699507E-2</v>
      </c>
      <c r="S98">
        <v>19</v>
      </c>
      <c r="T98" t="str">
        <f t="shared" si="13"/>
        <v>Short</v>
      </c>
    </row>
    <row r="99" spans="1:20" ht="18.75" customHeight="1" x14ac:dyDescent="0.35">
      <c r="A99" t="s">
        <v>414</v>
      </c>
      <c r="B99" t="s">
        <v>2489</v>
      </c>
      <c r="C99" t="s">
        <v>2998</v>
      </c>
      <c r="D99" s="2" t="s">
        <v>415</v>
      </c>
      <c r="E99" s="2">
        <f t="shared" si="8"/>
        <v>45477</v>
      </c>
      <c r="F99" s="4">
        <f t="shared" si="9"/>
        <v>2024</v>
      </c>
      <c r="G99" t="str">
        <f t="shared" si="10"/>
        <v>July</v>
      </c>
      <c r="H99" t="str">
        <f t="shared" si="11"/>
        <v>2024-07</v>
      </c>
      <c r="I99" s="4">
        <f t="shared" ca="1" si="7"/>
        <v>447</v>
      </c>
      <c r="J99" t="s">
        <v>13</v>
      </c>
      <c r="K99" t="s">
        <v>14</v>
      </c>
      <c r="L99" t="s">
        <v>416</v>
      </c>
      <c r="M99">
        <v>28</v>
      </c>
      <c r="N99" t="str">
        <f>VLOOKUP(M99, CategoryMap!$A$2:$B$100, 2, FALSE)</f>
        <v>Science &amp; Technology</v>
      </c>
      <c r="O99">
        <v>10072210</v>
      </c>
      <c r="P99">
        <v>204457</v>
      </c>
      <c r="Q99">
        <v>7660</v>
      </c>
      <c r="R99" s="3">
        <f t="shared" si="12"/>
        <v>2.1059628423156389E-2</v>
      </c>
      <c r="S99">
        <v>2394</v>
      </c>
      <c r="T99" t="str">
        <f t="shared" si="13"/>
        <v>Long</v>
      </c>
    </row>
    <row r="100" spans="1:20" ht="18.75" customHeight="1" x14ac:dyDescent="0.35">
      <c r="A100" t="s">
        <v>417</v>
      </c>
      <c r="B100" t="s">
        <v>2490</v>
      </c>
      <c r="C100" t="s">
        <v>2999</v>
      </c>
      <c r="D100" s="2" t="s">
        <v>418</v>
      </c>
      <c r="E100" s="2">
        <f t="shared" si="8"/>
        <v>45828</v>
      </c>
      <c r="F100" s="4">
        <f t="shared" si="9"/>
        <v>2025</v>
      </c>
      <c r="G100" t="str">
        <f t="shared" si="10"/>
        <v>June</v>
      </c>
      <c r="H100" t="str">
        <f t="shared" si="11"/>
        <v>2025-06</v>
      </c>
      <c r="I100" s="4">
        <f t="shared" ca="1" si="7"/>
        <v>96</v>
      </c>
      <c r="J100" t="s">
        <v>419</v>
      </c>
      <c r="K100" t="s">
        <v>420</v>
      </c>
      <c r="L100" t="s">
        <v>29</v>
      </c>
      <c r="M100">
        <v>22</v>
      </c>
      <c r="N100" t="str">
        <f>VLOOKUP(M100, CategoryMap!$A$2:$B$100, 2, FALSE)</f>
        <v>People &amp; Blogs</v>
      </c>
      <c r="O100">
        <v>4236</v>
      </c>
      <c r="P100">
        <v>217464.60837887001</v>
      </c>
      <c r="Q100">
        <v>1</v>
      </c>
      <c r="R100" s="3">
        <f t="shared" si="12"/>
        <v>51.33749017442635</v>
      </c>
      <c r="S100">
        <v>10</v>
      </c>
      <c r="T100" t="str">
        <f t="shared" si="13"/>
        <v>Short</v>
      </c>
    </row>
    <row r="101" spans="1:20" ht="18.75" customHeight="1" x14ac:dyDescent="0.35">
      <c r="A101" t="s">
        <v>421</v>
      </c>
      <c r="B101" t="s">
        <v>2491</v>
      </c>
      <c r="C101" t="s">
        <v>3000</v>
      </c>
      <c r="D101" s="2" t="s">
        <v>422</v>
      </c>
      <c r="E101" s="2">
        <f t="shared" si="8"/>
        <v>45804</v>
      </c>
      <c r="F101" s="4">
        <f t="shared" si="9"/>
        <v>2025</v>
      </c>
      <c r="G101" t="str">
        <f t="shared" si="10"/>
        <v>May</v>
      </c>
      <c r="H101" t="str">
        <f t="shared" si="11"/>
        <v>2025-05</v>
      </c>
      <c r="I101" s="4">
        <f t="shared" ca="1" si="7"/>
        <v>120</v>
      </c>
      <c r="J101" t="s">
        <v>107</v>
      </c>
      <c r="K101" t="s">
        <v>108</v>
      </c>
      <c r="L101" t="s">
        <v>29</v>
      </c>
      <c r="M101">
        <v>28</v>
      </c>
      <c r="N101" t="str">
        <f>VLOOKUP(M101, CategoryMap!$A$2:$B$100, 2, FALSE)</f>
        <v>Science &amp; Technology</v>
      </c>
      <c r="O101">
        <v>1247810</v>
      </c>
      <c r="P101">
        <v>58563</v>
      </c>
      <c r="Q101">
        <v>6742</v>
      </c>
      <c r="R101" s="3">
        <f t="shared" si="12"/>
        <v>5.2335692132616345E-2</v>
      </c>
      <c r="S101">
        <v>2027</v>
      </c>
      <c r="T101" t="str">
        <f t="shared" si="13"/>
        <v>Long</v>
      </c>
    </row>
    <row r="102" spans="1:20" ht="18.75" customHeight="1" x14ac:dyDescent="0.35">
      <c r="A102" t="s">
        <v>423</v>
      </c>
      <c r="B102" t="s">
        <v>2492</v>
      </c>
      <c r="C102" t="s">
        <v>11</v>
      </c>
      <c r="D102" s="2" t="s">
        <v>424</v>
      </c>
      <c r="E102" s="2">
        <f t="shared" si="8"/>
        <v>45301</v>
      </c>
      <c r="F102" s="4">
        <f t="shared" si="9"/>
        <v>2024</v>
      </c>
      <c r="G102" t="str">
        <f t="shared" si="10"/>
        <v>January</v>
      </c>
      <c r="H102" t="str">
        <f t="shared" si="11"/>
        <v>2024-01</v>
      </c>
      <c r="I102" s="4">
        <f t="shared" ca="1" si="7"/>
        <v>623</v>
      </c>
      <c r="J102" t="s">
        <v>178</v>
      </c>
      <c r="K102" t="s">
        <v>179</v>
      </c>
      <c r="L102" t="s">
        <v>29</v>
      </c>
      <c r="M102">
        <v>28</v>
      </c>
      <c r="N102" t="str">
        <f>VLOOKUP(M102, CategoryMap!$A$2:$B$100, 2, FALSE)</f>
        <v>Science &amp; Technology</v>
      </c>
      <c r="O102">
        <v>13129243</v>
      </c>
      <c r="P102">
        <v>611573</v>
      </c>
      <c r="Q102">
        <v>3670</v>
      </c>
      <c r="R102" s="3">
        <f t="shared" si="12"/>
        <v>4.6860508256264283E-2</v>
      </c>
      <c r="S102">
        <v>58</v>
      </c>
      <c r="T102" t="str">
        <f t="shared" si="13"/>
        <v>Short</v>
      </c>
    </row>
    <row r="103" spans="1:20" ht="18.75" customHeight="1" x14ac:dyDescent="0.35">
      <c r="A103" t="s">
        <v>425</v>
      </c>
      <c r="B103" t="s">
        <v>2493</v>
      </c>
      <c r="C103" t="s">
        <v>3001</v>
      </c>
      <c r="D103" s="2" t="s">
        <v>426</v>
      </c>
      <c r="E103" s="2">
        <f t="shared" si="8"/>
        <v>45425</v>
      </c>
      <c r="F103" s="4">
        <f t="shared" si="9"/>
        <v>2024</v>
      </c>
      <c r="G103" t="str">
        <f t="shared" si="10"/>
        <v>May</v>
      </c>
      <c r="H103" t="str">
        <f t="shared" si="11"/>
        <v>2024-05</v>
      </c>
      <c r="I103" s="4">
        <f t="shared" ca="1" si="7"/>
        <v>499</v>
      </c>
      <c r="J103" t="s">
        <v>289</v>
      </c>
      <c r="K103" t="s">
        <v>290</v>
      </c>
      <c r="L103" t="s">
        <v>427</v>
      </c>
      <c r="M103">
        <v>27</v>
      </c>
      <c r="N103" t="str">
        <f>VLOOKUP(M103, CategoryMap!$A$2:$B$100, 2, FALSE)</f>
        <v>Education</v>
      </c>
      <c r="O103">
        <v>4825219</v>
      </c>
      <c r="P103">
        <v>63899</v>
      </c>
      <c r="Q103">
        <v>84</v>
      </c>
      <c r="R103" s="3">
        <f t="shared" si="12"/>
        <v>1.3260123530144436E-2</v>
      </c>
      <c r="S103">
        <v>19</v>
      </c>
      <c r="T103" t="str">
        <f t="shared" si="13"/>
        <v>Short</v>
      </c>
    </row>
    <row r="104" spans="1:20" ht="18.75" customHeight="1" x14ac:dyDescent="0.35">
      <c r="A104" t="s">
        <v>428</v>
      </c>
      <c r="B104" t="s">
        <v>429</v>
      </c>
      <c r="C104" t="s">
        <v>3002</v>
      </c>
      <c r="D104" s="2" t="s">
        <v>430</v>
      </c>
      <c r="E104" s="2">
        <f t="shared" si="8"/>
        <v>39902</v>
      </c>
      <c r="F104" s="4">
        <f t="shared" si="9"/>
        <v>2009</v>
      </c>
      <c r="G104" t="str">
        <f t="shared" si="10"/>
        <v>March</v>
      </c>
      <c r="H104" t="str">
        <f t="shared" si="11"/>
        <v>2009-03</v>
      </c>
      <c r="I104" s="4">
        <f t="shared" ca="1" si="7"/>
        <v>6022</v>
      </c>
      <c r="J104" t="s">
        <v>431</v>
      </c>
      <c r="K104" t="s">
        <v>432</v>
      </c>
      <c r="L104" t="s">
        <v>433</v>
      </c>
      <c r="M104">
        <v>10</v>
      </c>
      <c r="N104" t="str">
        <f>VLOOKUP(M104, CategoryMap!$A$2:$B$100, 2, FALSE)</f>
        <v>Music</v>
      </c>
      <c r="O104">
        <v>20393151</v>
      </c>
      <c r="P104">
        <v>77842</v>
      </c>
      <c r="Q104">
        <v>4682</v>
      </c>
      <c r="R104" s="3">
        <f t="shared" si="12"/>
        <v>4.0466527217888001E-3</v>
      </c>
      <c r="S104">
        <v>219</v>
      </c>
      <c r="T104" t="str">
        <f t="shared" si="13"/>
        <v>Long</v>
      </c>
    </row>
    <row r="105" spans="1:20" ht="18.75" customHeight="1" x14ac:dyDescent="0.35">
      <c r="A105" t="s">
        <v>434</v>
      </c>
      <c r="B105" t="s">
        <v>435</v>
      </c>
      <c r="C105" t="s">
        <v>3003</v>
      </c>
      <c r="D105" s="2" t="s">
        <v>436</v>
      </c>
      <c r="E105" s="2">
        <f t="shared" si="8"/>
        <v>44694</v>
      </c>
      <c r="F105" s="4">
        <f t="shared" si="9"/>
        <v>2022</v>
      </c>
      <c r="G105" t="str">
        <f t="shared" si="10"/>
        <v>May</v>
      </c>
      <c r="H105" t="str">
        <f t="shared" si="11"/>
        <v>2022-05</v>
      </c>
      <c r="I105" s="4">
        <f t="shared" ca="1" si="7"/>
        <v>1230</v>
      </c>
      <c r="J105" t="s">
        <v>437</v>
      </c>
      <c r="K105" t="s">
        <v>438</v>
      </c>
      <c r="L105" t="s">
        <v>29</v>
      </c>
      <c r="M105">
        <v>22</v>
      </c>
      <c r="N105" t="str">
        <f>VLOOKUP(M105, CategoryMap!$A$2:$B$100, 2, FALSE)</f>
        <v>People &amp; Blogs</v>
      </c>
      <c r="O105">
        <v>649418</v>
      </c>
      <c r="P105">
        <v>4785</v>
      </c>
      <c r="Q105">
        <v>36</v>
      </c>
      <c r="R105" s="3">
        <f t="shared" si="12"/>
        <v>7.4235700273167669E-3</v>
      </c>
      <c r="S105">
        <v>16</v>
      </c>
      <c r="T105" t="str">
        <f t="shared" si="13"/>
        <v>Short</v>
      </c>
    </row>
    <row r="106" spans="1:20" ht="18.75" customHeight="1" x14ac:dyDescent="0.35">
      <c r="A106" t="s">
        <v>439</v>
      </c>
      <c r="B106" t="s">
        <v>440</v>
      </c>
      <c r="C106" t="s">
        <v>3004</v>
      </c>
      <c r="D106" s="2" t="s">
        <v>441</v>
      </c>
      <c r="E106" s="2">
        <f t="shared" si="8"/>
        <v>45626</v>
      </c>
      <c r="F106" s="4">
        <f t="shared" si="9"/>
        <v>2024</v>
      </c>
      <c r="G106" t="str">
        <f t="shared" si="10"/>
        <v>November</v>
      </c>
      <c r="H106" t="str">
        <f t="shared" si="11"/>
        <v>2024-11</v>
      </c>
      <c r="I106" s="4">
        <f t="shared" ca="1" si="7"/>
        <v>298</v>
      </c>
      <c r="J106" t="s">
        <v>442</v>
      </c>
      <c r="K106" t="s">
        <v>443</v>
      </c>
      <c r="L106" t="s">
        <v>29</v>
      </c>
      <c r="M106">
        <v>22</v>
      </c>
      <c r="N106" t="str">
        <f>VLOOKUP(M106, CategoryMap!$A$2:$B$100, 2, FALSE)</f>
        <v>People &amp; Blogs</v>
      </c>
      <c r="O106">
        <v>3001394</v>
      </c>
      <c r="P106">
        <v>82329</v>
      </c>
      <c r="Q106">
        <v>2077</v>
      </c>
      <c r="R106" s="3">
        <f t="shared" si="12"/>
        <v>2.8122265853799934E-2</v>
      </c>
      <c r="S106">
        <v>34</v>
      </c>
      <c r="T106" t="str">
        <f t="shared" si="13"/>
        <v>Short</v>
      </c>
    </row>
    <row r="107" spans="1:20" ht="18.75" customHeight="1" x14ac:dyDescent="0.35">
      <c r="A107" t="s">
        <v>444</v>
      </c>
      <c r="B107" t="s">
        <v>2494</v>
      </c>
      <c r="C107" t="s">
        <v>3005</v>
      </c>
      <c r="D107" s="2" t="s">
        <v>445</v>
      </c>
      <c r="E107" s="2">
        <f t="shared" si="8"/>
        <v>45770</v>
      </c>
      <c r="F107" s="4">
        <f t="shared" si="9"/>
        <v>2025</v>
      </c>
      <c r="G107" t="str">
        <f t="shared" si="10"/>
        <v>April</v>
      </c>
      <c r="H107" t="str">
        <f t="shared" si="11"/>
        <v>2025-04</v>
      </c>
      <c r="I107" s="4">
        <f t="shared" ca="1" si="7"/>
        <v>154</v>
      </c>
      <c r="J107" t="s">
        <v>317</v>
      </c>
      <c r="K107" t="s">
        <v>318</v>
      </c>
      <c r="L107" t="s">
        <v>446</v>
      </c>
      <c r="M107">
        <v>22</v>
      </c>
      <c r="N107" t="str">
        <f>VLOOKUP(M107, CategoryMap!$A$2:$B$100, 2, FALSE)</f>
        <v>People &amp; Blogs</v>
      </c>
      <c r="O107">
        <v>36946939</v>
      </c>
      <c r="P107">
        <v>396141</v>
      </c>
      <c r="Q107">
        <v>525</v>
      </c>
      <c r="R107" s="3">
        <f t="shared" si="12"/>
        <v>1.0736099139363074E-2</v>
      </c>
      <c r="S107">
        <v>20</v>
      </c>
      <c r="T107" t="str">
        <f t="shared" si="13"/>
        <v>Short</v>
      </c>
    </row>
    <row r="108" spans="1:20" ht="18.75" customHeight="1" x14ac:dyDescent="0.35">
      <c r="A108" t="s">
        <v>447</v>
      </c>
      <c r="B108" t="s">
        <v>2483</v>
      </c>
      <c r="C108" t="s">
        <v>3006</v>
      </c>
      <c r="D108" s="2" t="s">
        <v>448</v>
      </c>
      <c r="E108" s="2">
        <f t="shared" si="8"/>
        <v>45745</v>
      </c>
      <c r="F108" s="4">
        <f t="shared" si="9"/>
        <v>2025</v>
      </c>
      <c r="G108" t="str">
        <f t="shared" si="10"/>
        <v>March</v>
      </c>
      <c r="H108" t="str">
        <f t="shared" si="11"/>
        <v>2025-03</v>
      </c>
      <c r="I108" s="4">
        <f t="shared" ca="1" si="7"/>
        <v>179</v>
      </c>
      <c r="J108" t="s">
        <v>449</v>
      </c>
      <c r="K108" t="s">
        <v>450</v>
      </c>
      <c r="L108" t="s">
        <v>451</v>
      </c>
      <c r="M108">
        <v>23</v>
      </c>
      <c r="N108" t="str">
        <f>VLOOKUP(M108, CategoryMap!$A$2:$B$100, 2, FALSE)</f>
        <v>Comedy</v>
      </c>
      <c r="O108">
        <v>1507871</v>
      </c>
      <c r="P108">
        <v>16690</v>
      </c>
      <c r="Q108">
        <v>44</v>
      </c>
      <c r="R108" s="3">
        <f t="shared" si="12"/>
        <v>1.1097766320859013E-2</v>
      </c>
      <c r="S108">
        <v>19</v>
      </c>
      <c r="T108" t="str">
        <f t="shared" si="13"/>
        <v>Short</v>
      </c>
    </row>
    <row r="109" spans="1:20" ht="18.75" customHeight="1" x14ac:dyDescent="0.35">
      <c r="A109" t="s">
        <v>452</v>
      </c>
      <c r="B109" t="s">
        <v>2495</v>
      </c>
      <c r="C109" t="s">
        <v>11</v>
      </c>
      <c r="D109" s="2" t="s">
        <v>453</v>
      </c>
      <c r="E109" s="2">
        <f t="shared" si="8"/>
        <v>45682</v>
      </c>
      <c r="F109" s="4">
        <f t="shared" si="9"/>
        <v>2025</v>
      </c>
      <c r="G109" t="str">
        <f t="shared" si="10"/>
        <v>January</v>
      </c>
      <c r="H109" t="str">
        <f t="shared" si="11"/>
        <v>2025-01</v>
      </c>
      <c r="I109" s="4">
        <f t="shared" ca="1" si="7"/>
        <v>242</v>
      </c>
      <c r="J109" t="s">
        <v>454</v>
      </c>
      <c r="K109" t="s">
        <v>455</v>
      </c>
      <c r="L109" t="s">
        <v>29</v>
      </c>
      <c r="M109">
        <v>19</v>
      </c>
      <c r="N109" t="str">
        <f>VLOOKUP(M109, CategoryMap!$A$2:$B$100, 2, FALSE)</f>
        <v>Travel &amp; Events</v>
      </c>
      <c r="O109">
        <v>8380253</v>
      </c>
      <c r="P109">
        <v>443946</v>
      </c>
      <c r="Q109">
        <v>1875</v>
      </c>
      <c r="R109" s="3">
        <f t="shared" si="12"/>
        <v>5.3198990531670105E-2</v>
      </c>
      <c r="S109">
        <v>24</v>
      </c>
      <c r="T109" t="str">
        <f t="shared" si="13"/>
        <v>Short</v>
      </c>
    </row>
    <row r="110" spans="1:20" ht="18.75" customHeight="1" x14ac:dyDescent="0.35">
      <c r="A110" t="s">
        <v>456</v>
      </c>
      <c r="B110" t="s">
        <v>2496</v>
      </c>
      <c r="C110" t="s">
        <v>3007</v>
      </c>
      <c r="D110" s="2" t="s">
        <v>457</v>
      </c>
      <c r="E110" s="2">
        <f t="shared" si="8"/>
        <v>45243</v>
      </c>
      <c r="F110" s="4">
        <f t="shared" si="9"/>
        <v>2023</v>
      </c>
      <c r="G110" t="str">
        <f t="shared" si="10"/>
        <v>November</v>
      </c>
      <c r="H110" t="str">
        <f t="shared" si="11"/>
        <v>2023-11</v>
      </c>
      <c r="I110" s="4">
        <f t="shared" ca="1" si="7"/>
        <v>681</v>
      </c>
      <c r="J110" t="s">
        <v>458</v>
      </c>
      <c r="K110" t="s">
        <v>459</v>
      </c>
      <c r="L110" t="s">
        <v>460</v>
      </c>
      <c r="M110">
        <v>28</v>
      </c>
      <c r="N110" t="str">
        <f>VLOOKUP(M110, CategoryMap!$A$2:$B$100, 2, FALSE)</f>
        <v>Science &amp; Technology</v>
      </c>
      <c r="O110">
        <v>3845024</v>
      </c>
      <c r="P110">
        <v>271383</v>
      </c>
      <c r="Q110">
        <v>352</v>
      </c>
      <c r="R110" s="3">
        <f t="shared" si="12"/>
        <v>7.0671860565759803E-2</v>
      </c>
      <c r="S110">
        <v>54</v>
      </c>
      <c r="T110" t="str">
        <f t="shared" si="13"/>
        <v>Short</v>
      </c>
    </row>
    <row r="111" spans="1:20" ht="18.75" customHeight="1" x14ac:dyDescent="0.35">
      <c r="A111" t="s">
        <v>461</v>
      </c>
      <c r="B111" t="s">
        <v>2497</v>
      </c>
      <c r="C111" t="s">
        <v>3008</v>
      </c>
      <c r="D111" s="2" t="s">
        <v>462</v>
      </c>
      <c r="E111" s="2">
        <f t="shared" si="8"/>
        <v>45796</v>
      </c>
      <c r="F111" s="4">
        <f t="shared" si="9"/>
        <v>2025</v>
      </c>
      <c r="G111" t="str">
        <f t="shared" si="10"/>
        <v>May</v>
      </c>
      <c r="H111" t="str">
        <f t="shared" si="11"/>
        <v>2025-05</v>
      </c>
      <c r="I111" s="4">
        <f t="shared" ca="1" si="7"/>
        <v>128</v>
      </c>
      <c r="J111" t="s">
        <v>463</v>
      </c>
      <c r="K111" t="s">
        <v>464</v>
      </c>
      <c r="L111" t="s">
        <v>29</v>
      </c>
      <c r="M111">
        <v>28</v>
      </c>
      <c r="N111" t="str">
        <f>VLOOKUP(M111, CategoryMap!$A$2:$B$100, 2, FALSE)</f>
        <v>Science &amp; Technology</v>
      </c>
      <c r="O111">
        <v>785916</v>
      </c>
      <c r="P111">
        <v>9116</v>
      </c>
      <c r="Q111">
        <v>346</v>
      </c>
      <c r="R111" s="3">
        <f t="shared" si="12"/>
        <v>1.2039454598201334E-2</v>
      </c>
      <c r="S111">
        <v>14</v>
      </c>
      <c r="T111" t="str">
        <f t="shared" si="13"/>
        <v>Short</v>
      </c>
    </row>
    <row r="112" spans="1:20" ht="18.75" customHeight="1" x14ac:dyDescent="0.35">
      <c r="A112" t="s">
        <v>465</v>
      </c>
      <c r="B112" t="s">
        <v>2415</v>
      </c>
      <c r="C112" t="s">
        <v>2929</v>
      </c>
      <c r="D112" s="2" t="s">
        <v>466</v>
      </c>
      <c r="E112" s="2">
        <f t="shared" si="8"/>
        <v>45530</v>
      </c>
      <c r="F112" s="4">
        <f t="shared" si="9"/>
        <v>2024</v>
      </c>
      <c r="G112" t="str">
        <f t="shared" si="10"/>
        <v>August</v>
      </c>
      <c r="H112" t="str">
        <f t="shared" si="11"/>
        <v>2024-08</v>
      </c>
      <c r="I112" s="4">
        <f t="shared" ca="1" si="7"/>
        <v>394</v>
      </c>
      <c r="J112" t="s">
        <v>64</v>
      </c>
      <c r="K112" t="s">
        <v>65</v>
      </c>
      <c r="L112" t="s">
        <v>29</v>
      </c>
      <c r="M112">
        <v>28</v>
      </c>
      <c r="N112" t="str">
        <f>VLOOKUP(M112, CategoryMap!$A$2:$B$100, 2, FALSE)</f>
        <v>Science &amp; Technology</v>
      </c>
      <c r="O112">
        <v>25841034</v>
      </c>
      <c r="P112">
        <v>434811</v>
      </c>
      <c r="Q112">
        <v>489</v>
      </c>
      <c r="R112" s="3">
        <f t="shared" si="12"/>
        <v>1.6845301159388593E-2</v>
      </c>
      <c r="S112">
        <v>15</v>
      </c>
      <c r="T112" t="str">
        <f t="shared" si="13"/>
        <v>Short</v>
      </c>
    </row>
    <row r="113" spans="1:20" ht="18.75" customHeight="1" x14ac:dyDescent="0.35">
      <c r="A113" t="s">
        <v>467</v>
      </c>
      <c r="B113" t="s">
        <v>468</v>
      </c>
      <c r="C113" t="s">
        <v>3009</v>
      </c>
      <c r="D113" s="2" t="s">
        <v>469</v>
      </c>
      <c r="E113" s="2">
        <f t="shared" si="8"/>
        <v>45495</v>
      </c>
      <c r="F113" s="4">
        <f t="shared" si="9"/>
        <v>2024</v>
      </c>
      <c r="G113" t="str">
        <f t="shared" si="10"/>
        <v>July</v>
      </c>
      <c r="H113" t="str">
        <f t="shared" si="11"/>
        <v>2024-07</v>
      </c>
      <c r="I113" s="4">
        <f t="shared" ca="1" si="7"/>
        <v>429</v>
      </c>
      <c r="J113" t="s">
        <v>470</v>
      </c>
      <c r="K113" t="s">
        <v>471</v>
      </c>
      <c r="L113" t="s">
        <v>472</v>
      </c>
      <c r="M113">
        <v>23</v>
      </c>
      <c r="N113" t="str">
        <f>VLOOKUP(M113, CategoryMap!$A$2:$B$100, 2, FALSE)</f>
        <v>Comedy</v>
      </c>
      <c r="O113">
        <v>3520073</v>
      </c>
      <c r="P113">
        <v>217464.60837887001</v>
      </c>
      <c r="Q113">
        <v>114</v>
      </c>
      <c r="R113" s="3">
        <f t="shared" si="12"/>
        <v>6.181082278091108E-2</v>
      </c>
      <c r="S113">
        <v>23</v>
      </c>
      <c r="T113" t="str">
        <f t="shared" si="13"/>
        <v>Short</v>
      </c>
    </row>
    <row r="114" spans="1:20" ht="18.75" customHeight="1" x14ac:dyDescent="0.35">
      <c r="A114" t="s">
        <v>473</v>
      </c>
      <c r="B114" t="s">
        <v>2498</v>
      </c>
      <c r="C114" t="s">
        <v>3010</v>
      </c>
      <c r="D114" s="2" t="s">
        <v>474</v>
      </c>
      <c r="E114" s="2">
        <f t="shared" si="8"/>
        <v>45444</v>
      </c>
      <c r="F114" s="4">
        <f t="shared" si="9"/>
        <v>2024</v>
      </c>
      <c r="G114" t="str">
        <f t="shared" si="10"/>
        <v>June</v>
      </c>
      <c r="H114" t="str">
        <f t="shared" si="11"/>
        <v>2024-06</v>
      </c>
      <c r="I114" s="4">
        <f t="shared" ca="1" si="7"/>
        <v>480</v>
      </c>
      <c r="J114" t="s">
        <v>475</v>
      </c>
      <c r="K114" t="s">
        <v>476</v>
      </c>
      <c r="L114" t="s">
        <v>477</v>
      </c>
      <c r="M114">
        <v>24</v>
      </c>
      <c r="N114" t="str">
        <f>VLOOKUP(M114, CategoryMap!$A$2:$B$100, 2, FALSE)</f>
        <v>Entertainment</v>
      </c>
      <c r="O114">
        <v>19147160</v>
      </c>
      <c r="P114">
        <v>660682</v>
      </c>
      <c r="Q114">
        <v>642</v>
      </c>
      <c r="R114" s="3">
        <f t="shared" si="12"/>
        <v>3.4539012574188545E-2</v>
      </c>
      <c r="S114">
        <v>19</v>
      </c>
      <c r="T114" t="str">
        <f t="shared" si="13"/>
        <v>Short</v>
      </c>
    </row>
    <row r="115" spans="1:20" ht="18.75" customHeight="1" x14ac:dyDescent="0.35">
      <c r="A115" t="s">
        <v>478</v>
      </c>
      <c r="B115" t="s">
        <v>2499</v>
      </c>
      <c r="C115" t="s">
        <v>11</v>
      </c>
      <c r="D115" s="2" t="s">
        <v>479</v>
      </c>
      <c r="E115" s="2">
        <f t="shared" si="8"/>
        <v>45745</v>
      </c>
      <c r="F115" s="4">
        <f t="shared" si="9"/>
        <v>2025</v>
      </c>
      <c r="G115" t="str">
        <f t="shared" si="10"/>
        <v>March</v>
      </c>
      <c r="H115" t="str">
        <f t="shared" si="11"/>
        <v>2025-03</v>
      </c>
      <c r="I115" s="4">
        <f t="shared" ca="1" si="7"/>
        <v>179</v>
      </c>
      <c r="J115" t="s">
        <v>480</v>
      </c>
      <c r="K115" t="s">
        <v>481</v>
      </c>
      <c r="L115" t="s">
        <v>29</v>
      </c>
      <c r="M115">
        <v>22</v>
      </c>
      <c r="N115" t="str">
        <f>VLOOKUP(M115, CategoryMap!$A$2:$B$100, 2, FALSE)</f>
        <v>People &amp; Blogs</v>
      </c>
      <c r="O115">
        <v>1867549</v>
      </c>
      <c r="P115">
        <v>13624</v>
      </c>
      <c r="Q115">
        <v>55</v>
      </c>
      <c r="R115" s="3">
        <f t="shared" si="12"/>
        <v>7.3245735453259858E-3</v>
      </c>
      <c r="S115">
        <v>11</v>
      </c>
      <c r="T115" t="str">
        <f t="shared" si="13"/>
        <v>Short</v>
      </c>
    </row>
    <row r="116" spans="1:20" ht="18.75" customHeight="1" x14ac:dyDescent="0.35">
      <c r="A116" t="s">
        <v>482</v>
      </c>
      <c r="B116" t="s">
        <v>2500</v>
      </c>
      <c r="C116" t="s">
        <v>11</v>
      </c>
      <c r="D116" s="2" t="s">
        <v>483</v>
      </c>
      <c r="E116" s="2">
        <f t="shared" si="8"/>
        <v>45812</v>
      </c>
      <c r="F116" s="4">
        <f t="shared" si="9"/>
        <v>2025</v>
      </c>
      <c r="G116" t="str">
        <f t="shared" si="10"/>
        <v>June</v>
      </c>
      <c r="H116" t="str">
        <f t="shared" si="11"/>
        <v>2025-06</v>
      </c>
      <c r="I116" s="4">
        <f t="shared" ca="1" si="7"/>
        <v>112</v>
      </c>
      <c r="J116" t="s">
        <v>484</v>
      </c>
      <c r="K116" t="s">
        <v>485</v>
      </c>
      <c r="L116" t="s">
        <v>29</v>
      </c>
      <c r="M116">
        <v>24</v>
      </c>
      <c r="N116" t="str">
        <f>VLOOKUP(M116, CategoryMap!$A$2:$B$100, 2, FALSE)</f>
        <v>Entertainment</v>
      </c>
      <c r="O116">
        <v>1905679</v>
      </c>
      <c r="P116">
        <v>3469</v>
      </c>
      <c r="Q116">
        <v>5</v>
      </c>
      <c r="R116" s="3">
        <f t="shared" si="12"/>
        <v>1.8229722844193591E-3</v>
      </c>
      <c r="S116">
        <v>6</v>
      </c>
      <c r="T116" t="str">
        <f t="shared" si="13"/>
        <v>Short</v>
      </c>
    </row>
    <row r="117" spans="1:20" ht="18.75" customHeight="1" x14ac:dyDescent="0.35">
      <c r="A117" t="s">
        <v>486</v>
      </c>
      <c r="B117" t="s">
        <v>2501</v>
      </c>
      <c r="C117" t="s">
        <v>3011</v>
      </c>
      <c r="D117" s="2" t="s">
        <v>487</v>
      </c>
      <c r="E117" s="2">
        <f t="shared" si="8"/>
        <v>45475</v>
      </c>
      <c r="F117" s="4">
        <f t="shared" si="9"/>
        <v>2024</v>
      </c>
      <c r="G117" t="str">
        <f t="shared" si="10"/>
        <v>July</v>
      </c>
      <c r="H117" t="str">
        <f t="shared" si="11"/>
        <v>2024-07</v>
      </c>
      <c r="I117" s="4">
        <f t="shared" ca="1" si="7"/>
        <v>449</v>
      </c>
      <c r="J117" t="s">
        <v>488</v>
      </c>
      <c r="K117" t="s">
        <v>489</v>
      </c>
      <c r="L117" t="s">
        <v>490</v>
      </c>
      <c r="M117">
        <v>24</v>
      </c>
      <c r="N117" t="str">
        <f>VLOOKUP(M117, CategoryMap!$A$2:$B$100, 2, FALSE)</f>
        <v>Entertainment</v>
      </c>
      <c r="O117">
        <v>246762</v>
      </c>
      <c r="P117">
        <v>6322</v>
      </c>
      <c r="Q117">
        <v>71</v>
      </c>
      <c r="R117" s="3">
        <f t="shared" si="12"/>
        <v>2.5907554647798283E-2</v>
      </c>
      <c r="S117">
        <v>44</v>
      </c>
      <c r="T117" t="str">
        <f t="shared" si="13"/>
        <v>Short</v>
      </c>
    </row>
    <row r="118" spans="1:20" ht="18.75" customHeight="1" x14ac:dyDescent="0.35">
      <c r="A118" t="s">
        <v>491</v>
      </c>
      <c r="B118" t="s">
        <v>2502</v>
      </c>
      <c r="C118" t="s">
        <v>3012</v>
      </c>
      <c r="D118" s="2" t="s">
        <v>492</v>
      </c>
      <c r="E118" s="2">
        <f t="shared" si="8"/>
        <v>45779</v>
      </c>
      <c r="F118" s="4">
        <f t="shared" si="9"/>
        <v>2025</v>
      </c>
      <c r="G118" t="str">
        <f t="shared" si="10"/>
        <v>May</v>
      </c>
      <c r="H118" t="str">
        <f t="shared" si="11"/>
        <v>2025-05</v>
      </c>
      <c r="I118" s="4">
        <f t="shared" ca="1" si="7"/>
        <v>145</v>
      </c>
      <c r="J118" t="s">
        <v>493</v>
      </c>
      <c r="K118" t="s">
        <v>494</v>
      </c>
      <c r="L118" t="s">
        <v>495</v>
      </c>
      <c r="M118">
        <v>24</v>
      </c>
      <c r="N118" t="str">
        <f>VLOOKUP(M118, CategoryMap!$A$2:$B$100, 2, FALSE)</f>
        <v>Entertainment</v>
      </c>
      <c r="O118">
        <v>3759266</v>
      </c>
      <c r="P118">
        <v>45572</v>
      </c>
      <c r="Q118">
        <v>105</v>
      </c>
      <c r="R118" s="3">
        <f t="shared" si="12"/>
        <v>1.2150510232582637E-2</v>
      </c>
      <c r="S118">
        <v>44</v>
      </c>
      <c r="T118" t="str">
        <f t="shared" si="13"/>
        <v>Short</v>
      </c>
    </row>
    <row r="119" spans="1:20" ht="18.75" customHeight="1" x14ac:dyDescent="0.35">
      <c r="A119" t="s">
        <v>496</v>
      </c>
      <c r="B119" t="s">
        <v>2503</v>
      </c>
      <c r="C119" t="s">
        <v>11</v>
      </c>
      <c r="D119" s="2" t="s">
        <v>497</v>
      </c>
      <c r="E119" s="2">
        <f t="shared" si="8"/>
        <v>45604</v>
      </c>
      <c r="F119" s="4">
        <f t="shared" si="9"/>
        <v>2024</v>
      </c>
      <c r="G119" t="str">
        <f t="shared" si="10"/>
        <v>November</v>
      </c>
      <c r="H119" t="str">
        <f t="shared" si="11"/>
        <v>2024-11</v>
      </c>
      <c r="I119" s="4">
        <f t="shared" ca="1" si="7"/>
        <v>320</v>
      </c>
      <c r="J119" t="s">
        <v>498</v>
      </c>
      <c r="K119" t="s">
        <v>499</v>
      </c>
      <c r="L119" t="s">
        <v>29</v>
      </c>
      <c r="M119">
        <v>22</v>
      </c>
      <c r="N119" t="str">
        <f>VLOOKUP(M119, CategoryMap!$A$2:$B$100, 2, FALSE)</f>
        <v>People &amp; Blogs</v>
      </c>
      <c r="O119">
        <v>31760428</v>
      </c>
      <c r="P119">
        <v>396698</v>
      </c>
      <c r="Q119">
        <v>1904</v>
      </c>
      <c r="R119" s="3">
        <f t="shared" si="12"/>
        <v>1.2550271677699053E-2</v>
      </c>
      <c r="S119">
        <v>11</v>
      </c>
      <c r="T119" t="str">
        <f t="shared" si="13"/>
        <v>Short</v>
      </c>
    </row>
    <row r="120" spans="1:20" ht="18.75" customHeight="1" x14ac:dyDescent="0.35">
      <c r="A120" t="s">
        <v>500</v>
      </c>
      <c r="B120" t="s">
        <v>2504</v>
      </c>
      <c r="C120" t="s">
        <v>11</v>
      </c>
      <c r="D120" s="2" t="s">
        <v>501</v>
      </c>
      <c r="E120" s="2">
        <f t="shared" si="8"/>
        <v>45669</v>
      </c>
      <c r="F120" s="4">
        <f t="shared" si="9"/>
        <v>2025</v>
      </c>
      <c r="G120" t="str">
        <f t="shared" si="10"/>
        <v>January</v>
      </c>
      <c r="H120" t="str">
        <f t="shared" si="11"/>
        <v>2025-01</v>
      </c>
      <c r="I120" s="4">
        <f t="shared" ca="1" si="7"/>
        <v>255</v>
      </c>
      <c r="J120" t="s">
        <v>502</v>
      </c>
      <c r="K120" t="s">
        <v>503</v>
      </c>
      <c r="L120" t="s">
        <v>29</v>
      </c>
      <c r="M120">
        <v>24</v>
      </c>
      <c r="N120" t="str">
        <f>VLOOKUP(M120, CategoryMap!$A$2:$B$100, 2, FALSE)</f>
        <v>Entertainment</v>
      </c>
      <c r="O120">
        <v>4733689</v>
      </c>
      <c r="P120">
        <v>59412</v>
      </c>
      <c r="Q120">
        <v>1904</v>
      </c>
      <c r="R120" s="3">
        <f t="shared" si="12"/>
        <v>1.2953111199320445E-2</v>
      </c>
      <c r="S120">
        <v>22</v>
      </c>
      <c r="T120" t="str">
        <f t="shared" si="13"/>
        <v>Short</v>
      </c>
    </row>
    <row r="121" spans="1:20" ht="18.75" customHeight="1" x14ac:dyDescent="0.35">
      <c r="A121" t="s">
        <v>504</v>
      </c>
      <c r="B121" t="s">
        <v>505</v>
      </c>
      <c r="C121" t="s">
        <v>506</v>
      </c>
      <c r="D121" s="2" t="s">
        <v>507</v>
      </c>
      <c r="E121" s="2">
        <f t="shared" si="8"/>
        <v>45575</v>
      </c>
      <c r="F121" s="4">
        <f t="shared" si="9"/>
        <v>2024</v>
      </c>
      <c r="G121" t="str">
        <f t="shared" si="10"/>
        <v>October</v>
      </c>
      <c r="H121" t="str">
        <f t="shared" si="11"/>
        <v>2024-10</v>
      </c>
      <c r="I121" s="4">
        <f t="shared" ca="1" si="7"/>
        <v>349</v>
      </c>
      <c r="J121" t="s">
        <v>508</v>
      </c>
      <c r="K121" t="s">
        <v>509</v>
      </c>
      <c r="L121" t="s">
        <v>510</v>
      </c>
      <c r="M121">
        <v>28</v>
      </c>
      <c r="N121" t="str">
        <f>VLOOKUP(M121, CategoryMap!$A$2:$B$100, 2, FALSE)</f>
        <v>Science &amp; Technology</v>
      </c>
      <c r="O121">
        <v>14214147</v>
      </c>
      <c r="P121">
        <v>217464.60837887001</v>
      </c>
      <c r="Q121">
        <v>619</v>
      </c>
      <c r="R121" s="3">
        <f t="shared" si="12"/>
        <v>1.5342715139984834E-2</v>
      </c>
      <c r="S121">
        <v>54</v>
      </c>
      <c r="T121" t="str">
        <f t="shared" si="13"/>
        <v>Short</v>
      </c>
    </row>
    <row r="122" spans="1:20" ht="18.75" customHeight="1" x14ac:dyDescent="0.35">
      <c r="A122" t="s">
        <v>511</v>
      </c>
      <c r="B122" t="s">
        <v>2505</v>
      </c>
      <c r="C122" t="s">
        <v>11</v>
      </c>
      <c r="D122" s="2" t="s">
        <v>512</v>
      </c>
      <c r="E122" s="2">
        <f t="shared" si="8"/>
        <v>45828</v>
      </c>
      <c r="F122" s="4">
        <f t="shared" si="9"/>
        <v>2025</v>
      </c>
      <c r="G122" t="str">
        <f t="shared" si="10"/>
        <v>June</v>
      </c>
      <c r="H122" t="str">
        <f t="shared" si="11"/>
        <v>2025-06</v>
      </c>
      <c r="I122" s="4">
        <f t="shared" ca="1" si="7"/>
        <v>96</v>
      </c>
      <c r="J122" t="s">
        <v>513</v>
      </c>
      <c r="K122" t="s">
        <v>514</v>
      </c>
      <c r="L122" t="s">
        <v>29</v>
      </c>
      <c r="M122">
        <v>28</v>
      </c>
      <c r="N122" t="str">
        <f>VLOOKUP(M122, CategoryMap!$A$2:$B$100, 2, FALSE)</f>
        <v>Science &amp; Technology</v>
      </c>
      <c r="O122">
        <v>29109</v>
      </c>
      <c r="P122">
        <v>1584</v>
      </c>
      <c r="Q122">
        <v>79</v>
      </c>
      <c r="R122" s="3">
        <f t="shared" si="12"/>
        <v>5.7130097220790821E-2</v>
      </c>
      <c r="S122">
        <v>107</v>
      </c>
      <c r="T122" t="str">
        <f t="shared" si="13"/>
        <v>Long</v>
      </c>
    </row>
    <row r="123" spans="1:20" ht="18.75" customHeight="1" x14ac:dyDescent="0.35">
      <c r="A123" t="s">
        <v>515</v>
      </c>
      <c r="B123" t="s">
        <v>2506</v>
      </c>
      <c r="C123" t="s">
        <v>3013</v>
      </c>
      <c r="D123" s="2" t="s">
        <v>516</v>
      </c>
      <c r="E123" s="2">
        <f t="shared" si="8"/>
        <v>45600</v>
      </c>
      <c r="F123" s="4">
        <f t="shared" si="9"/>
        <v>2024</v>
      </c>
      <c r="G123" t="str">
        <f t="shared" si="10"/>
        <v>November</v>
      </c>
      <c r="H123" t="str">
        <f t="shared" si="11"/>
        <v>2024-11</v>
      </c>
      <c r="I123" s="4">
        <f t="shared" ca="1" si="7"/>
        <v>324</v>
      </c>
      <c r="J123" t="s">
        <v>517</v>
      </c>
      <c r="K123" t="s">
        <v>518</v>
      </c>
      <c r="L123" t="s">
        <v>29</v>
      </c>
      <c r="M123">
        <v>27</v>
      </c>
      <c r="N123" t="str">
        <f>VLOOKUP(M123, CategoryMap!$A$2:$B$100, 2, FALSE)</f>
        <v>Education</v>
      </c>
      <c r="O123">
        <v>127549</v>
      </c>
      <c r="P123">
        <v>7635</v>
      </c>
      <c r="Q123">
        <v>32</v>
      </c>
      <c r="R123" s="3">
        <f t="shared" si="12"/>
        <v>6.0110232146077192E-2</v>
      </c>
      <c r="S123">
        <v>54</v>
      </c>
      <c r="T123" t="str">
        <f t="shared" si="13"/>
        <v>Short</v>
      </c>
    </row>
    <row r="124" spans="1:20" ht="18.75" customHeight="1" x14ac:dyDescent="0.35">
      <c r="A124" t="s">
        <v>519</v>
      </c>
      <c r="B124" t="s">
        <v>2507</v>
      </c>
      <c r="C124" t="s">
        <v>3014</v>
      </c>
      <c r="D124" s="2" t="s">
        <v>520</v>
      </c>
      <c r="E124" s="2">
        <f t="shared" si="8"/>
        <v>45760</v>
      </c>
      <c r="F124" s="4">
        <f t="shared" si="9"/>
        <v>2025</v>
      </c>
      <c r="G124" t="str">
        <f t="shared" si="10"/>
        <v>April</v>
      </c>
      <c r="H124" t="str">
        <f t="shared" si="11"/>
        <v>2025-04</v>
      </c>
      <c r="I124" s="4">
        <f t="shared" ca="1" si="7"/>
        <v>164</v>
      </c>
      <c r="J124" t="s">
        <v>317</v>
      </c>
      <c r="K124" t="s">
        <v>318</v>
      </c>
      <c r="L124" t="s">
        <v>521</v>
      </c>
      <c r="M124">
        <v>22</v>
      </c>
      <c r="N124" t="str">
        <f>VLOOKUP(M124, CategoryMap!$A$2:$B$100, 2, FALSE)</f>
        <v>People &amp; Blogs</v>
      </c>
      <c r="O124">
        <v>29678964</v>
      </c>
      <c r="P124">
        <v>425888</v>
      </c>
      <c r="Q124">
        <v>667</v>
      </c>
      <c r="R124" s="3">
        <f t="shared" si="12"/>
        <v>1.4372300866027534E-2</v>
      </c>
      <c r="S124">
        <v>17</v>
      </c>
      <c r="T124" t="str">
        <f t="shared" si="13"/>
        <v>Short</v>
      </c>
    </row>
    <row r="125" spans="1:20" ht="18.75" customHeight="1" x14ac:dyDescent="0.35">
      <c r="A125" t="s">
        <v>522</v>
      </c>
      <c r="B125" t="s">
        <v>2508</v>
      </c>
      <c r="C125" t="s">
        <v>3015</v>
      </c>
      <c r="D125" s="2" t="s">
        <v>523</v>
      </c>
      <c r="E125" s="2">
        <f t="shared" si="8"/>
        <v>45437</v>
      </c>
      <c r="F125" s="4">
        <f t="shared" si="9"/>
        <v>2024</v>
      </c>
      <c r="G125" t="str">
        <f t="shared" si="10"/>
        <v>May</v>
      </c>
      <c r="H125" t="str">
        <f t="shared" si="11"/>
        <v>2024-05</v>
      </c>
      <c r="I125" s="4">
        <f t="shared" ca="1" si="7"/>
        <v>487</v>
      </c>
      <c r="J125" t="s">
        <v>524</v>
      </c>
      <c r="K125" t="s">
        <v>525</v>
      </c>
      <c r="L125" t="s">
        <v>526</v>
      </c>
      <c r="M125">
        <v>28</v>
      </c>
      <c r="N125" t="str">
        <f>VLOOKUP(M125, CategoryMap!$A$2:$B$100, 2, FALSE)</f>
        <v>Science &amp; Technology</v>
      </c>
      <c r="O125">
        <v>4381536</v>
      </c>
      <c r="P125">
        <v>287051</v>
      </c>
      <c r="Q125">
        <v>2664</v>
      </c>
      <c r="R125" s="3">
        <f t="shared" si="12"/>
        <v>6.6121789253814192E-2</v>
      </c>
      <c r="S125">
        <v>51</v>
      </c>
      <c r="T125" t="str">
        <f t="shared" si="13"/>
        <v>Short</v>
      </c>
    </row>
    <row r="126" spans="1:20" ht="18.75" customHeight="1" x14ac:dyDescent="0.35">
      <c r="A126" t="s">
        <v>527</v>
      </c>
      <c r="B126" t="s">
        <v>2509</v>
      </c>
      <c r="C126" t="s">
        <v>11</v>
      </c>
      <c r="D126" s="2" t="s">
        <v>528</v>
      </c>
      <c r="E126" s="2">
        <f t="shared" si="8"/>
        <v>45784</v>
      </c>
      <c r="F126" s="4">
        <f t="shared" si="9"/>
        <v>2025</v>
      </c>
      <c r="G126" t="str">
        <f t="shared" si="10"/>
        <v>May</v>
      </c>
      <c r="H126" t="str">
        <f t="shared" si="11"/>
        <v>2025-05</v>
      </c>
      <c r="I126" s="4">
        <f t="shared" ca="1" si="7"/>
        <v>140</v>
      </c>
      <c r="J126" t="s">
        <v>529</v>
      </c>
      <c r="K126" t="s">
        <v>530</v>
      </c>
      <c r="L126" t="s">
        <v>531</v>
      </c>
      <c r="M126">
        <v>22</v>
      </c>
      <c r="N126" t="str">
        <f>VLOOKUP(M126, CategoryMap!$A$2:$B$100, 2, FALSE)</f>
        <v>People &amp; Blogs</v>
      </c>
      <c r="O126">
        <v>346999</v>
      </c>
      <c r="P126">
        <v>5174</v>
      </c>
      <c r="Q126">
        <v>26</v>
      </c>
      <c r="R126" s="3">
        <f t="shared" si="12"/>
        <v>1.498563396436301E-2</v>
      </c>
      <c r="S126">
        <v>39</v>
      </c>
      <c r="T126" t="str">
        <f t="shared" si="13"/>
        <v>Short</v>
      </c>
    </row>
    <row r="127" spans="1:20" ht="18.75" customHeight="1" x14ac:dyDescent="0.35">
      <c r="A127" t="s">
        <v>532</v>
      </c>
      <c r="B127" t="s">
        <v>2510</v>
      </c>
      <c r="C127" t="s">
        <v>3016</v>
      </c>
      <c r="D127" s="2" t="s">
        <v>533</v>
      </c>
      <c r="E127" s="2">
        <f t="shared" si="8"/>
        <v>43085</v>
      </c>
      <c r="F127" s="4">
        <f t="shared" si="9"/>
        <v>2017</v>
      </c>
      <c r="G127" t="str">
        <f t="shared" si="10"/>
        <v>December</v>
      </c>
      <c r="H127" t="str">
        <f t="shared" si="11"/>
        <v>2017-12</v>
      </c>
      <c r="I127" s="4">
        <f t="shared" ca="1" si="7"/>
        <v>2839</v>
      </c>
      <c r="J127" t="s">
        <v>534</v>
      </c>
      <c r="K127" t="s">
        <v>535</v>
      </c>
      <c r="L127" t="s">
        <v>536</v>
      </c>
      <c r="M127">
        <v>24</v>
      </c>
      <c r="N127" t="str">
        <f>VLOOKUP(M127, CategoryMap!$A$2:$B$100, 2, FALSE)</f>
        <v>Entertainment</v>
      </c>
      <c r="O127">
        <v>1494602</v>
      </c>
      <c r="P127">
        <v>8306</v>
      </c>
      <c r="Q127">
        <v>409</v>
      </c>
      <c r="R127" s="3">
        <f t="shared" si="12"/>
        <v>5.8309837669158742E-3</v>
      </c>
      <c r="S127">
        <v>310</v>
      </c>
      <c r="T127" t="str">
        <f t="shared" si="13"/>
        <v>Long</v>
      </c>
    </row>
    <row r="128" spans="1:20" ht="18.75" customHeight="1" x14ac:dyDescent="0.35">
      <c r="A128" t="s">
        <v>537</v>
      </c>
      <c r="B128" t="s">
        <v>538</v>
      </c>
      <c r="C128" t="s">
        <v>539</v>
      </c>
      <c r="D128" s="2" t="s">
        <v>540</v>
      </c>
      <c r="E128" s="2">
        <f t="shared" si="8"/>
        <v>44502</v>
      </c>
      <c r="F128" s="4">
        <f t="shared" si="9"/>
        <v>2021</v>
      </c>
      <c r="G128" t="str">
        <f t="shared" si="10"/>
        <v>November</v>
      </c>
      <c r="H128" t="str">
        <f t="shared" si="11"/>
        <v>2021-11</v>
      </c>
      <c r="I128" s="4">
        <f t="shared" ca="1" si="7"/>
        <v>1422</v>
      </c>
      <c r="J128" t="s">
        <v>508</v>
      </c>
      <c r="K128" t="s">
        <v>509</v>
      </c>
      <c r="L128" t="s">
        <v>541</v>
      </c>
      <c r="M128">
        <v>28</v>
      </c>
      <c r="N128" t="str">
        <f>VLOOKUP(M128, CategoryMap!$A$2:$B$100, 2, FALSE)</f>
        <v>Science &amp; Technology</v>
      </c>
      <c r="O128">
        <v>20034444</v>
      </c>
      <c r="P128">
        <v>1431608</v>
      </c>
      <c r="Q128">
        <v>933</v>
      </c>
      <c r="R128" s="3">
        <f t="shared" si="12"/>
        <v>7.1503905973133067E-2</v>
      </c>
      <c r="S128">
        <v>53</v>
      </c>
      <c r="T128" t="str">
        <f t="shared" si="13"/>
        <v>Short</v>
      </c>
    </row>
    <row r="129" spans="1:20" ht="18.75" customHeight="1" x14ac:dyDescent="0.35">
      <c r="A129" t="s">
        <v>542</v>
      </c>
      <c r="B129" t="s">
        <v>2511</v>
      </c>
      <c r="C129" t="s">
        <v>11</v>
      </c>
      <c r="D129" s="2" t="s">
        <v>543</v>
      </c>
      <c r="E129" s="2">
        <f t="shared" si="8"/>
        <v>44950</v>
      </c>
      <c r="F129" s="4">
        <f t="shared" si="9"/>
        <v>2023</v>
      </c>
      <c r="G129" t="str">
        <f t="shared" si="10"/>
        <v>January</v>
      </c>
      <c r="H129" t="str">
        <f t="shared" si="11"/>
        <v>2023-01</v>
      </c>
      <c r="I129" s="4">
        <f t="shared" ca="1" si="7"/>
        <v>974</v>
      </c>
      <c r="J129" t="s">
        <v>544</v>
      </c>
      <c r="K129" t="s">
        <v>545</v>
      </c>
      <c r="L129" t="s">
        <v>29</v>
      </c>
      <c r="M129">
        <v>28</v>
      </c>
      <c r="N129" t="str">
        <f>VLOOKUP(M129, CategoryMap!$A$2:$B$100, 2, FALSE)</f>
        <v>Science &amp; Technology</v>
      </c>
      <c r="O129">
        <v>20356669</v>
      </c>
      <c r="P129">
        <v>741078</v>
      </c>
      <c r="Q129">
        <v>466</v>
      </c>
      <c r="R129" s="3">
        <f t="shared" si="12"/>
        <v>3.6427570738611512E-2</v>
      </c>
      <c r="S129">
        <v>28</v>
      </c>
      <c r="T129" t="str">
        <f t="shared" si="13"/>
        <v>Short</v>
      </c>
    </row>
    <row r="130" spans="1:20" ht="18.75" customHeight="1" x14ac:dyDescent="0.35">
      <c r="A130" t="s">
        <v>546</v>
      </c>
      <c r="B130" t="s">
        <v>2512</v>
      </c>
      <c r="C130" t="s">
        <v>3017</v>
      </c>
      <c r="D130" s="2" t="s">
        <v>547</v>
      </c>
      <c r="E130" s="2">
        <f t="shared" si="8"/>
        <v>45291</v>
      </c>
      <c r="F130" s="4">
        <f t="shared" si="9"/>
        <v>2023</v>
      </c>
      <c r="G130" t="str">
        <f t="shared" si="10"/>
        <v>December</v>
      </c>
      <c r="H130" t="str">
        <f t="shared" si="11"/>
        <v>2023-12</v>
      </c>
      <c r="I130" s="4">
        <f t="shared" ref="I130:I193" ca="1" si="14">TODAY() - DATEVALUE(LEFT(D130,10))</f>
        <v>633</v>
      </c>
      <c r="J130" t="s">
        <v>548</v>
      </c>
      <c r="K130" t="s">
        <v>549</v>
      </c>
      <c r="L130" t="s">
        <v>550</v>
      </c>
      <c r="M130">
        <v>28</v>
      </c>
      <c r="N130" t="str">
        <f>VLOOKUP(M130, CategoryMap!$A$2:$B$100, 2, FALSE)</f>
        <v>Science &amp; Technology</v>
      </c>
      <c r="O130">
        <v>1772777</v>
      </c>
      <c r="P130">
        <v>10587</v>
      </c>
      <c r="Q130">
        <v>445</v>
      </c>
      <c r="R130" s="3">
        <f t="shared" si="12"/>
        <v>6.2230049239131602E-3</v>
      </c>
      <c r="S130">
        <v>1722</v>
      </c>
      <c r="T130" t="str">
        <f t="shared" si="13"/>
        <v>Long</v>
      </c>
    </row>
    <row r="131" spans="1:20" ht="18.75" customHeight="1" x14ac:dyDescent="0.35">
      <c r="A131" t="s">
        <v>551</v>
      </c>
      <c r="B131" t="s">
        <v>2513</v>
      </c>
      <c r="C131" t="s">
        <v>3018</v>
      </c>
      <c r="D131" s="2" t="s">
        <v>552</v>
      </c>
      <c r="E131" s="2">
        <f t="shared" ref="E131:E194" si="15">DATEVALUE(LEFT(D131,10))</f>
        <v>45816</v>
      </c>
      <c r="F131" s="4">
        <f t="shared" ref="F131:F194" si="16">YEAR(E131)</f>
        <v>2025</v>
      </c>
      <c r="G131" t="str">
        <f t="shared" ref="G131:G194" si="17">TEXT(E131,"MMMM")</f>
        <v>June</v>
      </c>
      <c r="H131" t="str">
        <f t="shared" ref="H131:H194" si="18">TEXT(E131,"YYYY-MM")</f>
        <v>2025-06</v>
      </c>
      <c r="I131" s="4">
        <f t="shared" ca="1" si="14"/>
        <v>108</v>
      </c>
      <c r="J131" t="s">
        <v>553</v>
      </c>
      <c r="K131" t="s">
        <v>554</v>
      </c>
      <c r="L131" t="s">
        <v>29</v>
      </c>
      <c r="M131">
        <v>28</v>
      </c>
      <c r="N131" t="str">
        <f>VLOOKUP(M131, CategoryMap!$A$2:$B$100, 2, FALSE)</f>
        <v>Science &amp; Technology</v>
      </c>
      <c r="O131">
        <v>206940</v>
      </c>
      <c r="P131">
        <v>2132</v>
      </c>
      <c r="Q131">
        <v>5</v>
      </c>
      <c r="R131" s="3">
        <f t="shared" ref="R131:R194" si="19">IF(O131=0, 0, (P131 + Q131) / O131)</f>
        <v>1.0326664733739247E-2</v>
      </c>
      <c r="S131">
        <v>38</v>
      </c>
      <c r="T131" t="str">
        <f t="shared" ref="T131:T194" si="20">IF(S131&lt;=60, "Short", "Long")</f>
        <v>Short</v>
      </c>
    </row>
    <row r="132" spans="1:20" ht="18.75" customHeight="1" x14ac:dyDescent="0.35">
      <c r="A132" t="s">
        <v>555</v>
      </c>
      <c r="B132" t="s">
        <v>2514</v>
      </c>
      <c r="C132" t="s">
        <v>3019</v>
      </c>
      <c r="D132" s="2" t="s">
        <v>556</v>
      </c>
      <c r="E132" s="2">
        <f t="shared" si="15"/>
        <v>45637</v>
      </c>
      <c r="F132" s="4">
        <f t="shared" si="16"/>
        <v>2024</v>
      </c>
      <c r="G132" t="str">
        <f t="shared" si="17"/>
        <v>December</v>
      </c>
      <c r="H132" t="str">
        <f t="shared" si="18"/>
        <v>2024-12</v>
      </c>
      <c r="I132" s="4">
        <f t="shared" ca="1" si="14"/>
        <v>287</v>
      </c>
      <c r="J132" t="s">
        <v>284</v>
      </c>
      <c r="K132" t="s">
        <v>285</v>
      </c>
      <c r="L132" t="s">
        <v>286</v>
      </c>
      <c r="M132">
        <v>22</v>
      </c>
      <c r="N132" t="str">
        <f>VLOOKUP(M132, CategoryMap!$A$2:$B$100, 2, FALSE)</f>
        <v>People &amp; Blogs</v>
      </c>
      <c r="O132">
        <v>10096619</v>
      </c>
      <c r="P132">
        <v>364764</v>
      </c>
      <c r="Q132">
        <v>6964</v>
      </c>
      <c r="R132" s="3">
        <f t="shared" si="19"/>
        <v>3.6817077082932415E-2</v>
      </c>
      <c r="S132">
        <v>18</v>
      </c>
      <c r="T132" t="str">
        <f t="shared" si="20"/>
        <v>Short</v>
      </c>
    </row>
    <row r="133" spans="1:20" ht="18.75" customHeight="1" x14ac:dyDescent="0.35">
      <c r="A133" t="s">
        <v>557</v>
      </c>
      <c r="B133" t="s">
        <v>2515</v>
      </c>
      <c r="C133" t="s">
        <v>3020</v>
      </c>
      <c r="D133" s="2" t="s">
        <v>558</v>
      </c>
      <c r="E133" s="2">
        <f t="shared" si="15"/>
        <v>45734</v>
      </c>
      <c r="F133" s="4">
        <f t="shared" si="16"/>
        <v>2025</v>
      </c>
      <c r="G133" t="str">
        <f t="shared" si="17"/>
        <v>March</v>
      </c>
      <c r="H133" t="str">
        <f t="shared" si="18"/>
        <v>2025-03</v>
      </c>
      <c r="I133" s="4">
        <f t="shared" ca="1" si="14"/>
        <v>190</v>
      </c>
      <c r="J133" t="s">
        <v>559</v>
      </c>
      <c r="K133" t="s">
        <v>560</v>
      </c>
      <c r="L133" t="s">
        <v>561</v>
      </c>
      <c r="M133">
        <v>28</v>
      </c>
      <c r="N133" t="str">
        <f>VLOOKUP(M133, CategoryMap!$A$2:$B$100, 2, FALSE)</f>
        <v>Science &amp; Technology</v>
      </c>
      <c r="O133">
        <v>2501266</v>
      </c>
      <c r="P133">
        <v>40228</v>
      </c>
      <c r="Q133">
        <v>177</v>
      </c>
      <c r="R133" s="3">
        <f t="shared" si="19"/>
        <v>1.6153819705701032E-2</v>
      </c>
      <c r="S133">
        <v>22</v>
      </c>
      <c r="T133" t="str">
        <f t="shared" si="20"/>
        <v>Short</v>
      </c>
    </row>
    <row r="134" spans="1:20" ht="18.75" customHeight="1" x14ac:dyDescent="0.35">
      <c r="A134" t="s">
        <v>562</v>
      </c>
      <c r="B134" t="s">
        <v>2516</v>
      </c>
      <c r="C134" t="s">
        <v>3021</v>
      </c>
      <c r="D134" s="2" t="s">
        <v>563</v>
      </c>
      <c r="E134" s="2">
        <f t="shared" si="15"/>
        <v>45546</v>
      </c>
      <c r="F134" s="4">
        <f t="shared" si="16"/>
        <v>2024</v>
      </c>
      <c r="G134" t="str">
        <f t="shared" si="17"/>
        <v>September</v>
      </c>
      <c r="H134" t="str">
        <f t="shared" si="18"/>
        <v>2024-09</v>
      </c>
      <c r="I134" s="4">
        <f t="shared" ca="1" si="14"/>
        <v>378</v>
      </c>
      <c r="J134" t="s">
        <v>564</v>
      </c>
      <c r="K134" t="s">
        <v>565</v>
      </c>
      <c r="L134" t="s">
        <v>566</v>
      </c>
      <c r="M134">
        <v>27</v>
      </c>
      <c r="N134" t="str">
        <f>VLOOKUP(M134, CategoryMap!$A$2:$B$100, 2, FALSE)</f>
        <v>Education</v>
      </c>
      <c r="O134">
        <v>492744</v>
      </c>
      <c r="P134">
        <v>15665</v>
      </c>
      <c r="Q134">
        <v>667</v>
      </c>
      <c r="R134" s="3">
        <f t="shared" si="19"/>
        <v>3.3145000243534166E-2</v>
      </c>
      <c r="S134">
        <v>49</v>
      </c>
      <c r="T134" t="str">
        <f t="shared" si="20"/>
        <v>Short</v>
      </c>
    </row>
    <row r="135" spans="1:20" ht="18.75" customHeight="1" x14ac:dyDescent="0.35">
      <c r="A135" t="s">
        <v>567</v>
      </c>
      <c r="B135" t="s">
        <v>568</v>
      </c>
      <c r="C135" t="s">
        <v>11</v>
      </c>
      <c r="D135" s="2" t="s">
        <v>569</v>
      </c>
      <c r="E135" s="2">
        <f t="shared" si="15"/>
        <v>45749</v>
      </c>
      <c r="F135" s="4">
        <f t="shared" si="16"/>
        <v>2025</v>
      </c>
      <c r="G135" t="str">
        <f t="shared" si="17"/>
        <v>April</v>
      </c>
      <c r="H135" t="str">
        <f t="shared" si="18"/>
        <v>2025-04</v>
      </c>
      <c r="I135" s="4">
        <f t="shared" ca="1" si="14"/>
        <v>175</v>
      </c>
      <c r="J135" t="s">
        <v>570</v>
      </c>
      <c r="K135" t="s">
        <v>571</v>
      </c>
      <c r="L135" t="s">
        <v>29</v>
      </c>
      <c r="M135">
        <v>28</v>
      </c>
      <c r="N135" t="str">
        <f>VLOOKUP(M135, CategoryMap!$A$2:$B$100, 2, FALSE)</f>
        <v>Science &amp; Technology</v>
      </c>
      <c r="O135">
        <v>1134613</v>
      </c>
      <c r="P135">
        <v>27936</v>
      </c>
      <c r="Q135">
        <v>167</v>
      </c>
      <c r="R135" s="3">
        <f t="shared" si="19"/>
        <v>2.4768797819168298E-2</v>
      </c>
      <c r="S135">
        <v>13</v>
      </c>
      <c r="T135" t="str">
        <f t="shared" si="20"/>
        <v>Short</v>
      </c>
    </row>
    <row r="136" spans="1:20" ht="18.75" customHeight="1" x14ac:dyDescent="0.35">
      <c r="A136" t="s">
        <v>572</v>
      </c>
      <c r="B136" t="s">
        <v>2517</v>
      </c>
      <c r="C136" t="s">
        <v>3022</v>
      </c>
      <c r="D136" s="2" t="s">
        <v>573</v>
      </c>
      <c r="E136" s="2">
        <f t="shared" si="15"/>
        <v>45752</v>
      </c>
      <c r="F136" s="4">
        <f t="shared" si="16"/>
        <v>2025</v>
      </c>
      <c r="G136" t="str">
        <f t="shared" si="17"/>
        <v>April</v>
      </c>
      <c r="H136" t="str">
        <f t="shared" si="18"/>
        <v>2025-04</v>
      </c>
      <c r="I136" s="4">
        <f t="shared" ca="1" si="14"/>
        <v>172</v>
      </c>
      <c r="J136" t="s">
        <v>574</v>
      </c>
      <c r="K136" t="s">
        <v>575</v>
      </c>
      <c r="L136" t="s">
        <v>576</v>
      </c>
      <c r="M136">
        <v>20</v>
      </c>
      <c r="N136" t="str">
        <f>VLOOKUP(M136, CategoryMap!$A$2:$B$100, 2, FALSE)</f>
        <v>Gaming</v>
      </c>
      <c r="O136">
        <v>273285</v>
      </c>
      <c r="P136">
        <v>3580</v>
      </c>
      <c r="Q136">
        <v>5</v>
      </c>
      <c r="R136" s="3">
        <f t="shared" si="19"/>
        <v>1.3118173335528843E-2</v>
      </c>
      <c r="S136">
        <v>17</v>
      </c>
      <c r="T136" t="str">
        <f t="shared" si="20"/>
        <v>Short</v>
      </c>
    </row>
    <row r="137" spans="1:20" ht="18.75" customHeight="1" x14ac:dyDescent="0.35">
      <c r="A137" t="s">
        <v>577</v>
      </c>
      <c r="B137" t="s">
        <v>2518</v>
      </c>
      <c r="C137" t="s">
        <v>3023</v>
      </c>
      <c r="D137" s="2" t="s">
        <v>578</v>
      </c>
      <c r="E137" s="2">
        <f t="shared" si="15"/>
        <v>45755</v>
      </c>
      <c r="F137" s="4">
        <f t="shared" si="16"/>
        <v>2025</v>
      </c>
      <c r="G137" t="str">
        <f t="shared" si="17"/>
        <v>April</v>
      </c>
      <c r="H137" t="str">
        <f t="shared" si="18"/>
        <v>2025-04</v>
      </c>
      <c r="I137" s="4">
        <f t="shared" ca="1" si="14"/>
        <v>169</v>
      </c>
      <c r="J137" t="s">
        <v>579</v>
      </c>
      <c r="K137" t="s">
        <v>580</v>
      </c>
      <c r="L137" t="s">
        <v>29</v>
      </c>
      <c r="M137">
        <v>23</v>
      </c>
      <c r="N137" t="str">
        <f>VLOOKUP(M137, CategoryMap!$A$2:$B$100, 2, FALSE)</f>
        <v>Comedy</v>
      </c>
      <c r="O137">
        <v>1124660</v>
      </c>
      <c r="P137">
        <v>10039</v>
      </c>
      <c r="Q137">
        <v>41</v>
      </c>
      <c r="R137" s="3">
        <f t="shared" si="19"/>
        <v>8.962708729749436E-3</v>
      </c>
      <c r="S137">
        <v>17</v>
      </c>
      <c r="T137" t="str">
        <f t="shared" si="20"/>
        <v>Short</v>
      </c>
    </row>
    <row r="138" spans="1:20" ht="18.75" customHeight="1" x14ac:dyDescent="0.35">
      <c r="A138" t="s">
        <v>581</v>
      </c>
      <c r="B138" t="s">
        <v>2519</v>
      </c>
      <c r="C138" t="s">
        <v>11</v>
      </c>
      <c r="D138" s="2" t="s">
        <v>582</v>
      </c>
      <c r="E138" s="2">
        <f t="shared" si="15"/>
        <v>45828</v>
      </c>
      <c r="F138" s="4">
        <f t="shared" si="16"/>
        <v>2025</v>
      </c>
      <c r="G138" t="str">
        <f t="shared" si="17"/>
        <v>June</v>
      </c>
      <c r="H138" t="str">
        <f t="shared" si="18"/>
        <v>2025-06</v>
      </c>
      <c r="I138" s="4">
        <f t="shared" ca="1" si="14"/>
        <v>96</v>
      </c>
      <c r="J138" t="s">
        <v>583</v>
      </c>
      <c r="K138" t="s">
        <v>584</v>
      </c>
      <c r="L138" t="s">
        <v>29</v>
      </c>
      <c r="M138">
        <v>22</v>
      </c>
      <c r="N138" t="str">
        <f>VLOOKUP(M138, CategoryMap!$A$2:$B$100, 2, FALSE)</f>
        <v>People &amp; Blogs</v>
      </c>
      <c r="O138">
        <v>4728</v>
      </c>
      <c r="P138">
        <v>304</v>
      </c>
      <c r="Q138">
        <v>18</v>
      </c>
      <c r="R138" s="3">
        <f t="shared" si="19"/>
        <v>6.8104906937394252E-2</v>
      </c>
      <c r="S138">
        <v>30</v>
      </c>
      <c r="T138" t="str">
        <f t="shared" si="20"/>
        <v>Short</v>
      </c>
    </row>
    <row r="139" spans="1:20" ht="18.75" customHeight="1" x14ac:dyDescent="0.35">
      <c r="A139" t="s">
        <v>585</v>
      </c>
      <c r="B139" t="s">
        <v>2520</v>
      </c>
      <c r="C139" t="s">
        <v>3024</v>
      </c>
      <c r="D139" s="2" t="s">
        <v>586</v>
      </c>
      <c r="E139" s="2">
        <f t="shared" si="15"/>
        <v>45724</v>
      </c>
      <c r="F139" s="4">
        <f t="shared" si="16"/>
        <v>2025</v>
      </c>
      <c r="G139" t="str">
        <f t="shared" si="17"/>
        <v>March</v>
      </c>
      <c r="H139" t="str">
        <f t="shared" si="18"/>
        <v>2025-03</v>
      </c>
      <c r="I139" s="4">
        <f t="shared" ca="1" si="14"/>
        <v>200</v>
      </c>
      <c r="J139" t="s">
        <v>587</v>
      </c>
      <c r="K139" t="s">
        <v>588</v>
      </c>
      <c r="L139" t="s">
        <v>589</v>
      </c>
      <c r="M139">
        <v>27</v>
      </c>
      <c r="N139" t="str">
        <f>VLOOKUP(M139, CategoryMap!$A$2:$B$100, 2, FALSE)</f>
        <v>Education</v>
      </c>
      <c r="O139">
        <v>192921</v>
      </c>
      <c r="P139">
        <v>217464.60837887001</v>
      </c>
      <c r="Q139">
        <v>70</v>
      </c>
      <c r="R139" s="3">
        <f t="shared" si="19"/>
        <v>1.1275838730820906</v>
      </c>
      <c r="S139">
        <v>19</v>
      </c>
      <c r="T139" t="str">
        <f t="shared" si="20"/>
        <v>Short</v>
      </c>
    </row>
    <row r="140" spans="1:20" ht="18.75" customHeight="1" x14ac:dyDescent="0.35">
      <c r="A140" t="s">
        <v>590</v>
      </c>
      <c r="B140" t="s">
        <v>2521</v>
      </c>
      <c r="C140" t="s">
        <v>11</v>
      </c>
      <c r="D140" s="2" t="s">
        <v>591</v>
      </c>
      <c r="E140" s="2">
        <f t="shared" si="15"/>
        <v>45695</v>
      </c>
      <c r="F140" s="4">
        <f t="shared" si="16"/>
        <v>2025</v>
      </c>
      <c r="G140" t="str">
        <f t="shared" si="17"/>
        <v>February</v>
      </c>
      <c r="H140" t="str">
        <f t="shared" si="18"/>
        <v>2025-02</v>
      </c>
      <c r="I140" s="4">
        <f t="shared" ca="1" si="14"/>
        <v>229</v>
      </c>
      <c r="J140" t="s">
        <v>454</v>
      </c>
      <c r="K140" t="s">
        <v>455</v>
      </c>
      <c r="L140" t="s">
        <v>29</v>
      </c>
      <c r="M140">
        <v>19</v>
      </c>
      <c r="N140" t="str">
        <f>VLOOKUP(M140, CategoryMap!$A$2:$B$100, 2, FALSE)</f>
        <v>Travel &amp; Events</v>
      </c>
      <c r="O140">
        <v>3451818</v>
      </c>
      <c r="P140">
        <v>114935</v>
      </c>
      <c r="Q140">
        <v>598</v>
      </c>
      <c r="R140" s="3">
        <f t="shared" si="19"/>
        <v>3.3470188752709441E-2</v>
      </c>
      <c r="S140">
        <v>31</v>
      </c>
      <c r="T140" t="str">
        <f t="shared" si="20"/>
        <v>Short</v>
      </c>
    </row>
    <row r="141" spans="1:20" ht="18.75" customHeight="1" x14ac:dyDescent="0.35">
      <c r="A141" t="s">
        <v>592</v>
      </c>
      <c r="B141" t="s">
        <v>2522</v>
      </c>
      <c r="C141" t="s">
        <v>3025</v>
      </c>
      <c r="D141" s="2" t="s">
        <v>593</v>
      </c>
      <c r="E141" s="2">
        <f t="shared" si="15"/>
        <v>45535</v>
      </c>
      <c r="F141" s="4">
        <f t="shared" si="16"/>
        <v>2024</v>
      </c>
      <c r="G141" t="str">
        <f t="shared" si="17"/>
        <v>August</v>
      </c>
      <c r="H141" t="str">
        <f t="shared" si="18"/>
        <v>2024-08</v>
      </c>
      <c r="I141" s="4">
        <f t="shared" ca="1" si="14"/>
        <v>389</v>
      </c>
      <c r="J141" t="s">
        <v>594</v>
      </c>
      <c r="K141" t="s">
        <v>595</v>
      </c>
      <c r="L141" t="s">
        <v>596</v>
      </c>
      <c r="M141">
        <v>27</v>
      </c>
      <c r="N141" t="str">
        <f>VLOOKUP(M141, CategoryMap!$A$2:$B$100, 2, FALSE)</f>
        <v>Education</v>
      </c>
      <c r="O141">
        <v>89638</v>
      </c>
      <c r="P141">
        <v>1625</v>
      </c>
      <c r="Q141">
        <v>15</v>
      </c>
      <c r="R141" s="3">
        <f t="shared" si="19"/>
        <v>1.8295812043999198E-2</v>
      </c>
      <c r="S141">
        <v>23</v>
      </c>
      <c r="T141" t="str">
        <f t="shared" si="20"/>
        <v>Short</v>
      </c>
    </row>
    <row r="142" spans="1:20" ht="18.75" customHeight="1" x14ac:dyDescent="0.35">
      <c r="A142" t="s">
        <v>597</v>
      </c>
      <c r="B142" t="s">
        <v>2523</v>
      </c>
      <c r="C142" t="s">
        <v>3026</v>
      </c>
      <c r="D142" s="2" t="s">
        <v>598</v>
      </c>
      <c r="E142" s="2">
        <f t="shared" si="15"/>
        <v>45806</v>
      </c>
      <c r="F142" s="4">
        <f t="shared" si="16"/>
        <v>2025</v>
      </c>
      <c r="G142" t="str">
        <f t="shared" si="17"/>
        <v>May</v>
      </c>
      <c r="H142" t="str">
        <f t="shared" si="18"/>
        <v>2025-05</v>
      </c>
      <c r="I142" s="4">
        <f t="shared" ca="1" si="14"/>
        <v>118</v>
      </c>
      <c r="J142" t="s">
        <v>599</v>
      </c>
      <c r="K142" t="s">
        <v>600</v>
      </c>
      <c r="L142" t="s">
        <v>601</v>
      </c>
      <c r="M142">
        <v>20</v>
      </c>
      <c r="N142" t="str">
        <f>VLOOKUP(M142, CategoryMap!$A$2:$B$100, 2, FALSE)</f>
        <v>Gaming</v>
      </c>
      <c r="O142">
        <v>68956</v>
      </c>
      <c r="P142">
        <v>904</v>
      </c>
      <c r="Q142">
        <v>16</v>
      </c>
      <c r="R142" s="3">
        <f t="shared" si="19"/>
        <v>1.3341841174082023E-2</v>
      </c>
      <c r="S142">
        <v>15</v>
      </c>
      <c r="T142" t="str">
        <f t="shared" si="20"/>
        <v>Short</v>
      </c>
    </row>
    <row r="143" spans="1:20" ht="18.75" customHeight="1" x14ac:dyDescent="0.35">
      <c r="A143" t="s">
        <v>602</v>
      </c>
      <c r="B143" t="s">
        <v>2524</v>
      </c>
      <c r="C143" t="s">
        <v>3027</v>
      </c>
      <c r="D143" s="2" t="s">
        <v>603</v>
      </c>
      <c r="E143" s="2">
        <f t="shared" si="15"/>
        <v>45738</v>
      </c>
      <c r="F143" s="4">
        <f t="shared" si="16"/>
        <v>2025</v>
      </c>
      <c r="G143" t="str">
        <f t="shared" si="17"/>
        <v>March</v>
      </c>
      <c r="H143" t="str">
        <f t="shared" si="18"/>
        <v>2025-03</v>
      </c>
      <c r="I143" s="4">
        <f t="shared" ca="1" si="14"/>
        <v>186</v>
      </c>
      <c r="J143" t="s">
        <v>604</v>
      </c>
      <c r="K143" t="s">
        <v>605</v>
      </c>
      <c r="L143" t="s">
        <v>606</v>
      </c>
      <c r="M143">
        <v>23</v>
      </c>
      <c r="N143" t="str">
        <f>VLOOKUP(M143, CategoryMap!$A$2:$B$100, 2, FALSE)</f>
        <v>Comedy</v>
      </c>
      <c r="O143">
        <v>791733</v>
      </c>
      <c r="P143">
        <v>10469</v>
      </c>
      <c r="Q143">
        <v>123</v>
      </c>
      <c r="R143" s="3">
        <f t="shared" si="19"/>
        <v>1.3378247464738743E-2</v>
      </c>
      <c r="S143">
        <v>13</v>
      </c>
      <c r="T143" t="str">
        <f t="shared" si="20"/>
        <v>Short</v>
      </c>
    </row>
    <row r="144" spans="1:20" ht="18.75" customHeight="1" x14ac:dyDescent="0.35">
      <c r="A144" t="s">
        <v>607</v>
      </c>
      <c r="B144" t="s">
        <v>2525</v>
      </c>
      <c r="C144" t="s">
        <v>3028</v>
      </c>
      <c r="D144" s="2" t="s">
        <v>608</v>
      </c>
      <c r="E144" s="2">
        <f t="shared" si="15"/>
        <v>45805</v>
      </c>
      <c r="F144" s="4">
        <f t="shared" si="16"/>
        <v>2025</v>
      </c>
      <c r="G144" t="str">
        <f t="shared" si="17"/>
        <v>May</v>
      </c>
      <c r="H144" t="str">
        <f t="shared" si="18"/>
        <v>2025-05</v>
      </c>
      <c r="I144" s="4">
        <f t="shared" ca="1" si="14"/>
        <v>119</v>
      </c>
      <c r="J144" t="s">
        <v>609</v>
      </c>
      <c r="K144" t="s">
        <v>610</v>
      </c>
      <c r="L144" t="s">
        <v>611</v>
      </c>
      <c r="M144">
        <v>20</v>
      </c>
      <c r="N144" t="str">
        <f>VLOOKUP(M144, CategoryMap!$A$2:$B$100, 2, FALSE)</f>
        <v>Gaming</v>
      </c>
      <c r="O144">
        <v>65123</v>
      </c>
      <c r="P144">
        <v>941</v>
      </c>
      <c r="Q144">
        <v>16</v>
      </c>
      <c r="R144" s="3">
        <f t="shared" si="19"/>
        <v>1.4695268952597393E-2</v>
      </c>
      <c r="S144">
        <v>15</v>
      </c>
      <c r="T144" t="str">
        <f t="shared" si="20"/>
        <v>Short</v>
      </c>
    </row>
    <row r="145" spans="1:20" ht="18.75" customHeight="1" x14ac:dyDescent="0.35">
      <c r="A145" t="s">
        <v>612</v>
      </c>
      <c r="B145" t="s">
        <v>2526</v>
      </c>
      <c r="C145" t="s">
        <v>3029</v>
      </c>
      <c r="D145" s="2" t="s">
        <v>613</v>
      </c>
      <c r="E145" s="2">
        <f t="shared" si="15"/>
        <v>45812</v>
      </c>
      <c r="F145" s="4">
        <f t="shared" si="16"/>
        <v>2025</v>
      </c>
      <c r="G145" t="str">
        <f t="shared" si="17"/>
        <v>June</v>
      </c>
      <c r="H145" t="str">
        <f t="shared" si="18"/>
        <v>2025-06</v>
      </c>
      <c r="I145" s="4">
        <f t="shared" ca="1" si="14"/>
        <v>112</v>
      </c>
      <c r="J145" t="s">
        <v>317</v>
      </c>
      <c r="K145" t="s">
        <v>318</v>
      </c>
      <c r="L145" t="s">
        <v>614</v>
      </c>
      <c r="M145">
        <v>22</v>
      </c>
      <c r="N145" t="str">
        <f>VLOOKUP(M145, CategoryMap!$A$2:$B$100, 2, FALSE)</f>
        <v>People &amp; Blogs</v>
      </c>
      <c r="O145">
        <v>81955</v>
      </c>
      <c r="P145">
        <v>217464.60837887001</v>
      </c>
      <c r="Q145">
        <v>5</v>
      </c>
      <c r="R145" s="3">
        <f t="shared" si="19"/>
        <v>2.6535245973872246</v>
      </c>
      <c r="S145">
        <v>26</v>
      </c>
      <c r="T145" t="str">
        <f t="shared" si="20"/>
        <v>Short</v>
      </c>
    </row>
    <row r="146" spans="1:20" ht="18.75" customHeight="1" x14ac:dyDescent="0.35">
      <c r="A146" t="s">
        <v>615</v>
      </c>
      <c r="B146" t="s">
        <v>2527</v>
      </c>
      <c r="C146" t="s">
        <v>3030</v>
      </c>
      <c r="D146" s="2" t="s">
        <v>616</v>
      </c>
      <c r="E146" s="2">
        <f t="shared" si="15"/>
        <v>45347</v>
      </c>
      <c r="F146" s="4">
        <f t="shared" si="16"/>
        <v>2024</v>
      </c>
      <c r="G146" t="str">
        <f t="shared" si="17"/>
        <v>February</v>
      </c>
      <c r="H146" t="str">
        <f t="shared" si="18"/>
        <v>2024-02</v>
      </c>
      <c r="I146" s="4">
        <f t="shared" ca="1" si="14"/>
        <v>577</v>
      </c>
      <c r="J146" t="s">
        <v>13</v>
      </c>
      <c r="K146" t="s">
        <v>14</v>
      </c>
      <c r="L146" t="s">
        <v>617</v>
      </c>
      <c r="M146">
        <v>28</v>
      </c>
      <c r="N146" t="str">
        <f>VLOOKUP(M146, CategoryMap!$A$2:$B$100, 2, FALSE)</f>
        <v>Science &amp; Technology</v>
      </c>
      <c r="O146">
        <v>14267731</v>
      </c>
      <c r="P146">
        <v>431709</v>
      </c>
      <c r="Q146">
        <v>16619</v>
      </c>
      <c r="R146" s="3">
        <f t="shared" si="19"/>
        <v>3.1422515605319445E-2</v>
      </c>
      <c r="S146">
        <v>2269</v>
      </c>
      <c r="T146" t="str">
        <f t="shared" si="20"/>
        <v>Long</v>
      </c>
    </row>
    <row r="147" spans="1:20" ht="18.75" customHeight="1" x14ac:dyDescent="0.35">
      <c r="A147" t="s">
        <v>618</v>
      </c>
      <c r="B147" t="s">
        <v>2528</v>
      </c>
      <c r="C147" t="s">
        <v>3031</v>
      </c>
      <c r="D147" s="2" t="s">
        <v>619</v>
      </c>
      <c r="E147" s="2">
        <f t="shared" si="15"/>
        <v>45561</v>
      </c>
      <c r="F147" s="4">
        <f t="shared" si="16"/>
        <v>2024</v>
      </c>
      <c r="G147" t="str">
        <f t="shared" si="17"/>
        <v>September</v>
      </c>
      <c r="H147" t="str">
        <f t="shared" si="18"/>
        <v>2024-09</v>
      </c>
      <c r="I147" s="4">
        <f t="shared" ca="1" si="14"/>
        <v>363</v>
      </c>
      <c r="J147" t="s">
        <v>620</v>
      </c>
      <c r="K147" t="s">
        <v>621</v>
      </c>
      <c r="L147" t="s">
        <v>622</v>
      </c>
      <c r="M147">
        <v>27</v>
      </c>
      <c r="N147" t="str">
        <f>VLOOKUP(M147, CategoryMap!$A$2:$B$100, 2, FALSE)</f>
        <v>Education</v>
      </c>
      <c r="O147">
        <v>2772526</v>
      </c>
      <c r="P147">
        <v>217464.60837887001</v>
      </c>
      <c r="Q147">
        <v>12</v>
      </c>
      <c r="R147" s="3">
        <f t="shared" si="19"/>
        <v>7.8439880592236111E-2</v>
      </c>
      <c r="S147">
        <v>22</v>
      </c>
      <c r="T147" t="str">
        <f t="shared" si="20"/>
        <v>Short</v>
      </c>
    </row>
    <row r="148" spans="1:20" ht="18.75" customHeight="1" x14ac:dyDescent="0.35">
      <c r="A148" t="s">
        <v>623</v>
      </c>
      <c r="B148" t="s">
        <v>624</v>
      </c>
      <c r="C148" t="s">
        <v>3032</v>
      </c>
      <c r="D148" s="2" t="s">
        <v>625</v>
      </c>
      <c r="E148" s="2">
        <f t="shared" si="15"/>
        <v>45805</v>
      </c>
      <c r="F148" s="4">
        <f t="shared" si="16"/>
        <v>2025</v>
      </c>
      <c r="G148" t="str">
        <f t="shared" si="17"/>
        <v>May</v>
      </c>
      <c r="H148" t="str">
        <f t="shared" si="18"/>
        <v>2025-05</v>
      </c>
      <c r="I148" s="4">
        <f t="shared" ca="1" si="14"/>
        <v>119</v>
      </c>
      <c r="J148" t="s">
        <v>626</v>
      </c>
      <c r="K148" t="s">
        <v>627</v>
      </c>
      <c r="L148" t="s">
        <v>628</v>
      </c>
      <c r="M148">
        <v>24</v>
      </c>
      <c r="N148" t="str">
        <f>VLOOKUP(M148, CategoryMap!$A$2:$B$100, 2, FALSE)</f>
        <v>Entertainment</v>
      </c>
      <c r="O148">
        <v>3080092</v>
      </c>
      <c r="P148">
        <v>171939</v>
      </c>
      <c r="Q148">
        <v>1896</v>
      </c>
      <c r="R148" s="3">
        <f t="shared" si="19"/>
        <v>5.6438249247100412E-2</v>
      </c>
      <c r="S148">
        <v>69</v>
      </c>
      <c r="T148" t="str">
        <f t="shared" si="20"/>
        <v>Long</v>
      </c>
    </row>
    <row r="149" spans="1:20" ht="18.75" customHeight="1" x14ac:dyDescent="0.35">
      <c r="A149" t="s">
        <v>629</v>
      </c>
      <c r="B149" t="s">
        <v>2529</v>
      </c>
      <c r="C149" t="s">
        <v>3033</v>
      </c>
      <c r="D149" s="2" t="s">
        <v>630</v>
      </c>
      <c r="E149" s="2">
        <f t="shared" si="15"/>
        <v>45825</v>
      </c>
      <c r="F149" s="4">
        <f t="shared" si="16"/>
        <v>2025</v>
      </c>
      <c r="G149" t="str">
        <f t="shared" si="17"/>
        <v>June</v>
      </c>
      <c r="H149" t="str">
        <f t="shared" si="18"/>
        <v>2025-06</v>
      </c>
      <c r="I149" s="4">
        <f t="shared" ca="1" si="14"/>
        <v>99</v>
      </c>
      <c r="J149" t="s">
        <v>631</v>
      </c>
      <c r="K149" t="s">
        <v>632</v>
      </c>
      <c r="L149" t="s">
        <v>633</v>
      </c>
      <c r="M149">
        <v>20</v>
      </c>
      <c r="N149" t="str">
        <f>VLOOKUP(M149, CategoryMap!$A$2:$B$100, 2, FALSE)</f>
        <v>Gaming</v>
      </c>
      <c r="O149">
        <v>639988</v>
      </c>
      <c r="P149">
        <v>18150</v>
      </c>
      <c r="Q149">
        <v>4513</v>
      </c>
      <c r="R149" s="3">
        <f t="shared" si="19"/>
        <v>3.5411601467527518E-2</v>
      </c>
      <c r="S149">
        <v>2238</v>
      </c>
      <c r="T149" t="str">
        <f t="shared" si="20"/>
        <v>Long</v>
      </c>
    </row>
    <row r="150" spans="1:20" ht="18.75" customHeight="1" x14ac:dyDescent="0.35">
      <c r="A150" t="s">
        <v>634</v>
      </c>
      <c r="B150" t="s">
        <v>2530</v>
      </c>
      <c r="C150" t="s">
        <v>3034</v>
      </c>
      <c r="D150" s="2" t="s">
        <v>635</v>
      </c>
      <c r="E150" s="2">
        <f t="shared" si="15"/>
        <v>45771</v>
      </c>
      <c r="F150" s="4">
        <f t="shared" si="16"/>
        <v>2025</v>
      </c>
      <c r="G150" t="str">
        <f t="shared" si="17"/>
        <v>April</v>
      </c>
      <c r="H150" t="str">
        <f t="shared" si="18"/>
        <v>2025-04</v>
      </c>
      <c r="I150" s="4">
        <f t="shared" ca="1" si="14"/>
        <v>153</v>
      </c>
      <c r="J150" t="s">
        <v>559</v>
      </c>
      <c r="K150" t="s">
        <v>560</v>
      </c>
      <c r="L150" t="s">
        <v>636</v>
      </c>
      <c r="M150">
        <v>28</v>
      </c>
      <c r="N150" t="str">
        <f>VLOOKUP(M150, CategoryMap!$A$2:$B$100, 2, FALSE)</f>
        <v>Science &amp; Technology</v>
      </c>
      <c r="O150">
        <v>9787251</v>
      </c>
      <c r="P150">
        <v>84217</v>
      </c>
      <c r="Q150">
        <v>551</v>
      </c>
      <c r="R150" s="3">
        <f t="shared" si="19"/>
        <v>8.6610632546360571E-3</v>
      </c>
      <c r="S150">
        <v>59</v>
      </c>
      <c r="T150" t="str">
        <f t="shared" si="20"/>
        <v>Short</v>
      </c>
    </row>
    <row r="151" spans="1:20" ht="18.75" customHeight="1" x14ac:dyDescent="0.35">
      <c r="A151" t="s">
        <v>637</v>
      </c>
      <c r="B151" t="s">
        <v>2531</v>
      </c>
      <c r="C151" t="s">
        <v>638</v>
      </c>
      <c r="D151" s="2" t="s">
        <v>639</v>
      </c>
      <c r="E151" s="2">
        <f t="shared" si="15"/>
        <v>45749</v>
      </c>
      <c r="F151" s="4">
        <f t="shared" si="16"/>
        <v>2025</v>
      </c>
      <c r="G151" t="str">
        <f t="shared" si="17"/>
        <v>April</v>
      </c>
      <c r="H151" t="str">
        <f t="shared" si="18"/>
        <v>2025-04</v>
      </c>
      <c r="I151" s="4">
        <f t="shared" ca="1" si="14"/>
        <v>175</v>
      </c>
      <c r="J151" t="s">
        <v>640</v>
      </c>
      <c r="K151" t="s">
        <v>641</v>
      </c>
      <c r="L151" t="s">
        <v>29</v>
      </c>
      <c r="M151">
        <v>24</v>
      </c>
      <c r="N151" t="str">
        <f>VLOOKUP(M151, CategoryMap!$A$2:$B$100, 2, FALSE)</f>
        <v>Entertainment</v>
      </c>
      <c r="O151">
        <v>1372747</v>
      </c>
      <c r="P151">
        <v>27529</v>
      </c>
      <c r="Q151">
        <v>310</v>
      </c>
      <c r="R151" s="3">
        <f t="shared" si="19"/>
        <v>2.0279774787342459E-2</v>
      </c>
      <c r="S151">
        <v>21</v>
      </c>
      <c r="T151" t="str">
        <f t="shared" si="20"/>
        <v>Short</v>
      </c>
    </row>
    <row r="152" spans="1:20" ht="18.75" customHeight="1" x14ac:dyDescent="0.35">
      <c r="A152" t="s">
        <v>642</v>
      </c>
      <c r="B152" t="s">
        <v>2532</v>
      </c>
      <c r="C152" t="s">
        <v>11</v>
      </c>
      <c r="D152" s="2" t="s">
        <v>643</v>
      </c>
      <c r="E152" s="2">
        <f t="shared" si="15"/>
        <v>45730</v>
      </c>
      <c r="F152" s="4">
        <f t="shared" si="16"/>
        <v>2025</v>
      </c>
      <c r="G152" t="str">
        <f t="shared" si="17"/>
        <v>March</v>
      </c>
      <c r="H152" t="str">
        <f t="shared" si="18"/>
        <v>2025-03</v>
      </c>
      <c r="I152" s="4">
        <f t="shared" ca="1" si="14"/>
        <v>194</v>
      </c>
      <c r="J152" t="s">
        <v>644</v>
      </c>
      <c r="K152" t="s">
        <v>645</v>
      </c>
      <c r="L152" t="s">
        <v>29</v>
      </c>
      <c r="M152">
        <v>24</v>
      </c>
      <c r="N152" t="str">
        <f>VLOOKUP(M152, CategoryMap!$A$2:$B$100, 2, FALSE)</f>
        <v>Entertainment</v>
      </c>
      <c r="O152">
        <v>607445</v>
      </c>
      <c r="P152">
        <v>3029</v>
      </c>
      <c r="Q152">
        <v>29</v>
      </c>
      <c r="R152" s="3">
        <f t="shared" si="19"/>
        <v>5.0342006272172789E-3</v>
      </c>
      <c r="S152">
        <v>8</v>
      </c>
      <c r="T152" t="str">
        <f t="shared" si="20"/>
        <v>Short</v>
      </c>
    </row>
    <row r="153" spans="1:20" ht="18.75" customHeight="1" x14ac:dyDescent="0.35">
      <c r="A153" t="s">
        <v>646</v>
      </c>
      <c r="B153" t="s">
        <v>2533</v>
      </c>
      <c r="C153" t="s">
        <v>11</v>
      </c>
      <c r="D153" s="2" t="s">
        <v>647</v>
      </c>
      <c r="E153" s="2">
        <f t="shared" si="15"/>
        <v>45429</v>
      </c>
      <c r="F153" s="4">
        <f t="shared" si="16"/>
        <v>2024</v>
      </c>
      <c r="G153" t="str">
        <f t="shared" si="17"/>
        <v>May</v>
      </c>
      <c r="H153" t="str">
        <f t="shared" si="18"/>
        <v>2024-05</v>
      </c>
      <c r="I153" s="4">
        <f t="shared" ca="1" si="14"/>
        <v>495</v>
      </c>
      <c r="J153" t="s">
        <v>648</v>
      </c>
      <c r="K153" t="s">
        <v>649</v>
      </c>
      <c r="L153" t="s">
        <v>29</v>
      </c>
      <c r="M153">
        <v>29</v>
      </c>
      <c r="N153" t="str">
        <f>VLOOKUP(M153, CategoryMap!$A$2:$B$100, 2, FALSE)</f>
        <v>Nonprofits &amp; Activism</v>
      </c>
      <c r="O153">
        <v>20409479</v>
      </c>
      <c r="P153">
        <v>1021308</v>
      </c>
      <c r="Q153">
        <v>3204</v>
      </c>
      <c r="R153" s="3">
        <f t="shared" si="19"/>
        <v>5.0197851694303415E-2</v>
      </c>
      <c r="S153">
        <v>11</v>
      </c>
      <c r="T153" t="str">
        <f t="shared" si="20"/>
        <v>Short</v>
      </c>
    </row>
    <row r="154" spans="1:20" ht="18.75" customHeight="1" x14ac:dyDescent="0.35">
      <c r="A154" t="s">
        <v>650</v>
      </c>
      <c r="B154" t="s">
        <v>2534</v>
      </c>
      <c r="C154" t="s">
        <v>3035</v>
      </c>
      <c r="D154" s="2" t="s">
        <v>651</v>
      </c>
      <c r="E154" s="2">
        <f t="shared" si="15"/>
        <v>45767</v>
      </c>
      <c r="F154" s="4">
        <f t="shared" si="16"/>
        <v>2025</v>
      </c>
      <c r="G154" t="str">
        <f t="shared" si="17"/>
        <v>April</v>
      </c>
      <c r="H154" t="str">
        <f t="shared" si="18"/>
        <v>2025-04</v>
      </c>
      <c r="I154" s="4">
        <f t="shared" ca="1" si="14"/>
        <v>157</v>
      </c>
      <c r="J154" t="s">
        <v>449</v>
      </c>
      <c r="K154" t="s">
        <v>450</v>
      </c>
      <c r="L154" t="s">
        <v>652</v>
      </c>
      <c r="M154">
        <v>23</v>
      </c>
      <c r="N154" t="str">
        <f>VLOOKUP(M154, CategoryMap!$A$2:$B$100, 2, FALSE)</f>
        <v>Comedy</v>
      </c>
      <c r="O154">
        <v>101995</v>
      </c>
      <c r="P154">
        <v>882</v>
      </c>
      <c r="Q154">
        <v>13</v>
      </c>
      <c r="R154" s="3">
        <f t="shared" si="19"/>
        <v>8.774939948036669E-3</v>
      </c>
      <c r="S154">
        <v>19</v>
      </c>
      <c r="T154" t="str">
        <f t="shared" si="20"/>
        <v>Short</v>
      </c>
    </row>
    <row r="155" spans="1:20" ht="18.75" customHeight="1" x14ac:dyDescent="0.35">
      <c r="A155" t="s">
        <v>653</v>
      </c>
      <c r="B155" t="s">
        <v>654</v>
      </c>
      <c r="C155" t="s">
        <v>3036</v>
      </c>
      <c r="D155" s="2" t="s">
        <v>655</v>
      </c>
      <c r="E155" s="2">
        <f t="shared" si="15"/>
        <v>45058</v>
      </c>
      <c r="F155" s="4">
        <f t="shared" si="16"/>
        <v>2023</v>
      </c>
      <c r="G155" t="str">
        <f t="shared" si="17"/>
        <v>May</v>
      </c>
      <c r="H155" t="str">
        <f t="shared" si="18"/>
        <v>2023-05</v>
      </c>
      <c r="I155" s="4">
        <f t="shared" ca="1" si="14"/>
        <v>866</v>
      </c>
      <c r="J155" t="s">
        <v>656</v>
      </c>
      <c r="K155" t="s">
        <v>657</v>
      </c>
      <c r="L155" t="s">
        <v>29</v>
      </c>
      <c r="M155">
        <v>22</v>
      </c>
      <c r="N155" t="str">
        <f>VLOOKUP(M155, CategoryMap!$A$2:$B$100, 2, FALSE)</f>
        <v>People &amp; Blogs</v>
      </c>
      <c r="O155">
        <v>14569890</v>
      </c>
      <c r="P155">
        <v>350833</v>
      </c>
      <c r="Q155">
        <v>7727</v>
      </c>
      <c r="R155" s="3">
        <f t="shared" si="19"/>
        <v>2.4609657313816372E-2</v>
      </c>
      <c r="S155">
        <v>34</v>
      </c>
      <c r="T155" t="str">
        <f t="shared" si="20"/>
        <v>Short</v>
      </c>
    </row>
    <row r="156" spans="1:20" ht="18.75" customHeight="1" x14ac:dyDescent="0.35">
      <c r="A156" t="s">
        <v>658</v>
      </c>
      <c r="B156" t="s">
        <v>2535</v>
      </c>
      <c r="C156" t="s">
        <v>11</v>
      </c>
      <c r="D156" s="2" t="s">
        <v>659</v>
      </c>
      <c r="E156" s="2">
        <f t="shared" si="15"/>
        <v>45762</v>
      </c>
      <c r="F156" s="4">
        <f t="shared" si="16"/>
        <v>2025</v>
      </c>
      <c r="G156" t="str">
        <f t="shared" si="17"/>
        <v>April</v>
      </c>
      <c r="H156" t="str">
        <f t="shared" si="18"/>
        <v>2025-04</v>
      </c>
      <c r="I156" s="4">
        <f t="shared" ca="1" si="14"/>
        <v>162</v>
      </c>
      <c r="J156" t="s">
        <v>660</v>
      </c>
      <c r="K156" t="s">
        <v>661</v>
      </c>
      <c r="L156" t="s">
        <v>29</v>
      </c>
      <c r="M156">
        <v>28</v>
      </c>
      <c r="N156" t="str">
        <f>VLOOKUP(M156, CategoryMap!$A$2:$B$100, 2, FALSE)</f>
        <v>Science &amp; Technology</v>
      </c>
      <c r="O156">
        <v>422480</v>
      </c>
      <c r="P156">
        <v>2442</v>
      </c>
      <c r="Q156">
        <v>7</v>
      </c>
      <c r="R156" s="3">
        <f t="shared" si="19"/>
        <v>5.79672410528309E-3</v>
      </c>
      <c r="S156">
        <v>8</v>
      </c>
      <c r="T156" t="str">
        <f t="shared" si="20"/>
        <v>Short</v>
      </c>
    </row>
    <row r="157" spans="1:20" ht="18.75" customHeight="1" x14ac:dyDescent="0.35">
      <c r="A157" t="s">
        <v>662</v>
      </c>
      <c r="B157" t="s">
        <v>2536</v>
      </c>
      <c r="C157" t="s">
        <v>3037</v>
      </c>
      <c r="D157" s="2" t="s">
        <v>663</v>
      </c>
      <c r="E157" s="2">
        <f t="shared" si="15"/>
        <v>45623</v>
      </c>
      <c r="F157" s="4">
        <f t="shared" si="16"/>
        <v>2024</v>
      </c>
      <c r="G157" t="str">
        <f t="shared" si="17"/>
        <v>November</v>
      </c>
      <c r="H157" t="str">
        <f t="shared" si="18"/>
        <v>2024-11</v>
      </c>
      <c r="I157" s="4">
        <f t="shared" ca="1" si="14"/>
        <v>301</v>
      </c>
      <c r="J157" t="s">
        <v>664</v>
      </c>
      <c r="K157" t="s">
        <v>665</v>
      </c>
      <c r="L157" t="s">
        <v>666</v>
      </c>
      <c r="M157">
        <v>28</v>
      </c>
      <c r="N157" t="str">
        <f>VLOOKUP(M157, CategoryMap!$A$2:$B$100, 2, FALSE)</f>
        <v>Science &amp; Technology</v>
      </c>
      <c r="O157">
        <v>550310</v>
      </c>
      <c r="P157">
        <v>8211</v>
      </c>
      <c r="Q157">
        <v>286</v>
      </c>
      <c r="R157" s="3">
        <f t="shared" si="19"/>
        <v>1.5440388144863804E-2</v>
      </c>
      <c r="S157">
        <v>802</v>
      </c>
      <c r="T157" t="str">
        <f t="shared" si="20"/>
        <v>Long</v>
      </c>
    </row>
    <row r="158" spans="1:20" ht="18.75" customHeight="1" x14ac:dyDescent="0.35">
      <c r="A158" t="s">
        <v>667</v>
      </c>
      <c r="B158" t="s">
        <v>2537</v>
      </c>
      <c r="C158" t="s">
        <v>3038</v>
      </c>
      <c r="D158" s="2" t="s">
        <v>668</v>
      </c>
      <c r="E158" s="2">
        <f t="shared" si="15"/>
        <v>45564</v>
      </c>
      <c r="F158" s="4">
        <f t="shared" si="16"/>
        <v>2024</v>
      </c>
      <c r="G158" t="str">
        <f t="shared" si="17"/>
        <v>September</v>
      </c>
      <c r="H158" t="str">
        <f t="shared" si="18"/>
        <v>2024-09</v>
      </c>
      <c r="I158" s="4">
        <f t="shared" ca="1" si="14"/>
        <v>360</v>
      </c>
      <c r="J158" t="s">
        <v>669</v>
      </c>
      <c r="K158" t="s">
        <v>670</v>
      </c>
      <c r="L158" t="s">
        <v>671</v>
      </c>
      <c r="M158">
        <v>27</v>
      </c>
      <c r="N158" t="str">
        <f>VLOOKUP(M158, CategoryMap!$A$2:$B$100, 2, FALSE)</f>
        <v>Education</v>
      </c>
      <c r="O158">
        <v>3289587</v>
      </c>
      <c r="P158">
        <v>217464.60837887001</v>
      </c>
      <c r="Q158">
        <v>77</v>
      </c>
      <c r="R158" s="3">
        <f t="shared" si="19"/>
        <v>6.6130370888160123E-2</v>
      </c>
      <c r="S158">
        <v>19</v>
      </c>
      <c r="T158" t="str">
        <f t="shared" si="20"/>
        <v>Short</v>
      </c>
    </row>
    <row r="159" spans="1:20" ht="18.75" customHeight="1" x14ac:dyDescent="0.35">
      <c r="A159" t="s">
        <v>672</v>
      </c>
      <c r="B159" t="s">
        <v>2538</v>
      </c>
      <c r="C159" t="s">
        <v>11</v>
      </c>
      <c r="D159" s="2" t="s">
        <v>673</v>
      </c>
      <c r="E159" s="2">
        <f t="shared" si="15"/>
        <v>45342</v>
      </c>
      <c r="F159" s="4">
        <f t="shared" si="16"/>
        <v>2024</v>
      </c>
      <c r="G159" t="str">
        <f t="shared" si="17"/>
        <v>February</v>
      </c>
      <c r="H159" t="str">
        <f t="shared" si="18"/>
        <v>2024-02</v>
      </c>
      <c r="I159" s="4">
        <f t="shared" ca="1" si="14"/>
        <v>582</v>
      </c>
      <c r="J159" t="s">
        <v>674</v>
      </c>
      <c r="K159" t="s">
        <v>675</v>
      </c>
      <c r="L159" t="s">
        <v>29</v>
      </c>
      <c r="M159">
        <v>28</v>
      </c>
      <c r="N159" t="str">
        <f>VLOOKUP(M159, CategoryMap!$A$2:$B$100, 2, FALSE)</f>
        <v>Science &amp; Technology</v>
      </c>
      <c r="O159">
        <v>552408</v>
      </c>
      <c r="P159">
        <v>14429</v>
      </c>
      <c r="Q159">
        <v>65</v>
      </c>
      <c r="R159" s="3">
        <f t="shared" si="19"/>
        <v>2.6237853180982172E-2</v>
      </c>
      <c r="S159">
        <v>30</v>
      </c>
      <c r="T159" t="str">
        <f t="shared" si="20"/>
        <v>Short</v>
      </c>
    </row>
    <row r="160" spans="1:20" ht="18.75" customHeight="1" x14ac:dyDescent="0.35">
      <c r="A160" t="s">
        <v>676</v>
      </c>
      <c r="B160" t="s">
        <v>2539</v>
      </c>
      <c r="C160" t="s">
        <v>11</v>
      </c>
      <c r="D160" s="2" t="s">
        <v>677</v>
      </c>
      <c r="E160" s="2">
        <f t="shared" si="15"/>
        <v>44708</v>
      </c>
      <c r="F160" s="4">
        <f t="shared" si="16"/>
        <v>2022</v>
      </c>
      <c r="G160" t="str">
        <f t="shared" si="17"/>
        <v>May</v>
      </c>
      <c r="H160" t="str">
        <f t="shared" si="18"/>
        <v>2022-05</v>
      </c>
      <c r="I160" s="4">
        <f t="shared" ca="1" si="14"/>
        <v>1216</v>
      </c>
      <c r="J160" t="s">
        <v>678</v>
      </c>
      <c r="K160" t="s">
        <v>679</v>
      </c>
      <c r="L160" t="s">
        <v>29</v>
      </c>
      <c r="M160">
        <v>1</v>
      </c>
      <c r="N160" t="str">
        <f>VLOOKUP(M160, CategoryMap!$A$2:$B$100, 2, FALSE)</f>
        <v>Film &amp; Animation</v>
      </c>
      <c r="O160">
        <v>246090760</v>
      </c>
      <c r="P160">
        <v>2148424</v>
      </c>
      <c r="Q160">
        <v>1109</v>
      </c>
      <c r="R160" s="3">
        <f t="shared" si="19"/>
        <v>8.7347164111322186E-3</v>
      </c>
      <c r="S160">
        <v>13</v>
      </c>
      <c r="T160" t="str">
        <f t="shared" si="20"/>
        <v>Short</v>
      </c>
    </row>
    <row r="161" spans="1:20" ht="18.75" customHeight="1" x14ac:dyDescent="0.35">
      <c r="A161" t="s">
        <v>680</v>
      </c>
      <c r="B161" t="s">
        <v>681</v>
      </c>
      <c r="C161" t="s">
        <v>3039</v>
      </c>
      <c r="D161" s="2" t="s">
        <v>682</v>
      </c>
      <c r="E161" s="2">
        <f t="shared" si="15"/>
        <v>45507</v>
      </c>
      <c r="F161" s="4">
        <f t="shared" si="16"/>
        <v>2024</v>
      </c>
      <c r="G161" t="str">
        <f t="shared" si="17"/>
        <v>August</v>
      </c>
      <c r="H161" t="str">
        <f t="shared" si="18"/>
        <v>2024-08</v>
      </c>
      <c r="I161" s="4">
        <f t="shared" ca="1" si="14"/>
        <v>417</v>
      </c>
      <c r="J161" t="s">
        <v>683</v>
      </c>
      <c r="K161" t="s">
        <v>684</v>
      </c>
      <c r="L161" t="s">
        <v>685</v>
      </c>
      <c r="M161">
        <v>27</v>
      </c>
      <c r="N161" t="str">
        <f>VLOOKUP(M161, CategoryMap!$A$2:$B$100, 2, FALSE)</f>
        <v>Education</v>
      </c>
      <c r="O161">
        <v>31227</v>
      </c>
      <c r="P161">
        <v>217464.60837887001</v>
      </c>
      <c r="Q161">
        <v>1970.1447811447799</v>
      </c>
      <c r="R161" s="3">
        <f t="shared" si="19"/>
        <v>7.0270840349702111</v>
      </c>
      <c r="S161">
        <v>10</v>
      </c>
      <c r="T161" t="str">
        <f t="shared" si="20"/>
        <v>Short</v>
      </c>
    </row>
    <row r="162" spans="1:20" ht="18.75" customHeight="1" x14ac:dyDescent="0.35">
      <c r="A162" t="s">
        <v>686</v>
      </c>
      <c r="B162" t="s">
        <v>2540</v>
      </c>
      <c r="C162" t="s">
        <v>11</v>
      </c>
      <c r="D162" s="2" t="s">
        <v>687</v>
      </c>
      <c r="E162" s="2">
        <f t="shared" si="15"/>
        <v>45826</v>
      </c>
      <c r="F162" s="4">
        <f t="shared" si="16"/>
        <v>2025</v>
      </c>
      <c r="G162" t="str">
        <f t="shared" si="17"/>
        <v>June</v>
      </c>
      <c r="H162" t="str">
        <f t="shared" si="18"/>
        <v>2025-06</v>
      </c>
      <c r="I162" s="4">
        <f t="shared" ca="1" si="14"/>
        <v>98</v>
      </c>
      <c r="J162" t="s">
        <v>583</v>
      </c>
      <c r="K162" t="s">
        <v>584</v>
      </c>
      <c r="L162" t="s">
        <v>29</v>
      </c>
      <c r="M162">
        <v>22</v>
      </c>
      <c r="N162" t="str">
        <f>VLOOKUP(M162, CategoryMap!$A$2:$B$100, 2, FALSE)</f>
        <v>People &amp; Blogs</v>
      </c>
      <c r="O162">
        <v>25147</v>
      </c>
      <c r="P162">
        <v>1364</v>
      </c>
      <c r="Q162">
        <v>124</v>
      </c>
      <c r="R162" s="3">
        <f t="shared" si="19"/>
        <v>5.9172068238756113E-2</v>
      </c>
      <c r="S162">
        <v>67</v>
      </c>
      <c r="T162" t="str">
        <f t="shared" si="20"/>
        <v>Long</v>
      </c>
    </row>
    <row r="163" spans="1:20" ht="18.75" customHeight="1" x14ac:dyDescent="0.35">
      <c r="A163" t="s">
        <v>688</v>
      </c>
      <c r="B163" t="s">
        <v>2541</v>
      </c>
      <c r="C163" t="s">
        <v>3040</v>
      </c>
      <c r="D163" s="2" t="s">
        <v>689</v>
      </c>
      <c r="E163" s="2">
        <f t="shared" si="15"/>
        <v>45529</v>
      </c>
      <c r="F163" s="4">
        <f t="shared" si="16"/>
        <v>2024</v>
      </c>
      <c r="G163" t="str">
        <f t="shared" si="17"/>
        <v>August</v>
      </c>
      <c r="H163" t="str">
        <f t="shared" si="18"/>
        <v>2024-08</v>
      </c>
      <c r="I163" s="4">
        <f t="shared" ca="1" si="14"/>
        <v>395</v>
      </c>
      <c r="J163" t="s">
        <v>139</v>
      </c>
      <c r="K163" t="s">
        <v>140</v>
      </c>
      <c r="L163" t="s">
        <v>690</v>
      </c>
      <c r="M163">
        <v>28</v>
      </c>
      <c r="N163" t="str">
        <f>VLOOKUP(M163, CategoryMap!$A$2:$B$100, 2, FALSE)</f>
        <v>Science &amp; Technology</v>
      </c>
      <c r="O163">
        <v>10849666</v>
      </c>
      <c r="P163">
        <v>461066</v>
      </c>
      <c r="Q163">
        <v>1495</v>
      </c>
      <c r="R163" s="3">
        <f t="shared" si="19"/>
        <v>4.2633662639937488E-2</v>
      </c>
      <c r="S163">
        <v>35</v>
      </c>
      <c r="T163" t="str">
        <f t="shared" si="20"/>
        <v>Short</v>
      </c>
    </row>
    <row r="164" spans="1:20" ht="18.75" customHeight="1" x14ac:dyDescent="0.35">
      <c r="A164" t="s">
        <v>691</v>
      </c>
      <c r="B164" t="s">
        <v>2542</v>
      </c>
      <c r="C164" t="s">
        <v>3041</v>
      </c>
      <c r="D164" s="2" t="s">
        <v>692</v>
      </c>
      <c r="E164" s="2">
        <f t="shared" si="15"/>
        <v>45820</v>
      </c>
      <c r="F164" s="4">
        <f t="shared" si="16"/>
        <v>2025</v>
      </c>
      <c r="G164" t="str">
        <f t="shared" si="17"/>
        <v>June</v>
      </c>
      <c r="H164" t="str">
        <f t="shared" si="18"/>
        <v>2025-06</v>
      </c>
      <c r="I164" s="4">
        <f t="shared" ca="1" si="14"/>
        <v>104</v>
      </c>
      <c r="J164" t="s">
        <v>693</v>
      </c>
      <c r="K164" t="s">
        <v>694</v>
      </c>
      <c r="L164" t="s">
        <v>695</v>
      </c>
      <c r="M164">
        <v>28</v>
      </c>
      <c r="N164" t="str">
        <f>VLOOKUP(M164, CategoryMap!$A$2:$B$100, 2, FALSE)</f>
        <v>Science &amp; Technology</v>
      </c>
      <c r="O164">
        <v>1113579</v>
      </c>
      <c r="P164">
        <v>55569</v>
      </c>
      <c r="Q164">
        <v>255</v>
      </c>
      <c r="R164" s="3">
        <f t="shared" si="19"/>
        <v>5.0130255689088965E-2</v>
      </c>
      <c r="S164">
        <v>51</v>
      </c>
      <c r="T164" t="str">
        <f t="shared" si="20"/>
        <v>Short</v>
      </c>
    </row>
    <row r="165" spans="1:20" ht="18.75" customHeight="1" x14ac:dyDescent="0.35">
      <c r="A165" t="s">
        <v>696</v>
      </c>
      <c r="B165" t="s">
        <v>697</v>
      </c>
      <c r="C165" t="s">
        <v>3042</v>
      </c>
      <c r="D165" s="2" t="s">
        <v>698</v>
      </c>
      <c r="E165" s="2">
        <f t="shared" si="15"/>
        <v>45672</v>
      </c>
      <c r="F165" s="4">
        <f t="shared" si="16"/>
        <v>2025</v>
      </c>
      <c r="G165" t="str">
        <f t="shared" si="17"/>
        <v>January</v>
      </c>
      <c r="H165" t="str">
        <f t="shared" si="18"/>
        <v>2025-01</v>
      </c>
      <c r="I165" s="4">
        <f t="shared" ca="1" si="14"/>
        <v>252</v>
      </c>
      <c r="J165" t="s">
        <v>284</v>
      </c>
      <c r="K165" t="s">
        <v>285</v>
      </c>
      <c r="L165" t="s">
        <v>29</v>
      </c>
      <c r="M165">
        <v>22</v>
      </c>
      <c r="N165" t="str">
        <f>VLOOKUP(M165, CategoryMap!$A$2:$B$100, 2, FALSE)</f>
        <v>People &amp; Blogs</v>
      </c>
      <c r="O165">
        <v>8842622</v>
      </c>
      <c r="P165">
        <v>357265</v>
      </c>
      <c r="Q165">
        <v>2521</v>
      </c>
      <c r="R165" s="3">
        <f t="shared" si="19"/>
        <v>4.0687705524447386E-2</v>
      </c>
      <c r="S165">
        <v>15</v>
      </c>
      <c r="T165" t="str">
        <f t="shared" si="20"/>
        <v>Short</v>
      </c>
    </row>
    <row r="166" spans="1:20" ht="18.75" customHeight="1" x14ac:dyDescent="0.35">
      <c r="A166" t="s">
        <v>699</v>
      </c>
      <c r="B166" t="s">
        <v>700</v>
      </c>
      <c r="C166" t="s">
        <v>3043</v>
      </c>
      <c r="D166" s="2" t="s">
        <v>701</v>
      </c>
      <c r="E166" s="2">
        <f t="shared" si="15"/>
        <v>43474</v>
      </c>
      <c r="F166" s="4">
        <f t="shared" si="16"/>
        <v>2019</v>
      </c>
      <c r="G166" t="str">
        <f t="shared" si="17"/>
        <v>January</v>
      </c>
      <c r="H166" t="str">
        <f t="shared" si="18"/>
        <v>2019-01</v>
      </c>
      <c r="I166" s="4">
        <f t="shared" ca="1" si="14"/>
        <v>2450</v>
      </c>
      <c r="J166" t="s">
        <v>702</v>
      </c>
      <c r="K166" t="s">
        <v>703</v>
      </c>
      <c r="L166" t="s">
        <v>704</v>
      </c>
      <c r="M166">
        <v>10</v>
      </c>
      <c r="N166" t="str">
        <f>VLOOKUP(M166, CategoryMap!$A$2:$B$100, 2, FALSE)</f>
        <v>Music</v>
      </c>
      <c r="O166">
        <v>700546</v>
      </c>
      <c r="P166">
        <v>8045</v>
      </c>
      <c r="Q166">
        <v>59</v>
      </c>
      <c r="R166" s="3">
        <f t="shared" si="19"/>
        <v>1.1568119723758326E-2</v>
      </c>
      <c r="S166">
        <v>248</v>
      </c>
      <c r="T166" t="str">
        <f t="shared" si="20"/>
        <v>Long</v>
      </c>
    </row>
    <row r="167" spans="1:20" ht="18.75" customHeight="1" x14ac:dyDescent="0.35">
      <c r="A167" t="s">
        <v>705</v>
      </c>
      <c r="B167" t="s">
        <v>2543</v>
      </c>
      <c r="C167" t="s">
        <v>3044</v>
      </c>
      <c r="D167" s="2" t="s">
        <v>706</v>
      </c>
      <c r="E167" s="2">
        <f t="shared" si="15"/>
        <v>45339</v>
      </c>
      <c r="F167" s="4">
        <f t="shared" si="16"/>
        <v>2024</v>
      </c>
      <c r="G167" t="str">
        <f t="shared" si="17"/>
        <v>February</v>
      </c>
      <c r="H167" t="str">
        <f t="shared" si="18"/>
        <v>2024-02</v>
      </c>
      <c r="I167" s="4">
        <f t="shared" ca="1" si="14"/>
        <v>585</v>
      </c>
      <c r="J167" t="s">
        <v>373</v>
      </c>
      <c r="K167" t="s">
        <v>374</v>
      </c>
      <c r="L167" t="s">
        <v>707</v>
      </c>
      <c r="M167">
        <v>28</v>
      </c>
      <c r="N167" t="str">
        <f>VLOOKUP(M167, CategoryMap!$A$2:$B$100, 2, FALSE)</f>
        <v>Science &amp; Technology</v>
      </c>
      <c r="O167">
        <v>2005905</v>
      </c>
      <c r="P167">
        <v>21407</v>
      </c>
      <c r="Q167">
        <v>1085</v>
      </c>
      <c r="R167" s="3">
        <f t="shared" si="19"/>
        <v>1.1212893930669697E-2</v>
      </c>
      <c r="S167">
        <v>2928</v>
      </c>
      <c r="T167" t="str">
        <f t="shared" si="20"/>
        <v>Long</v>
      </c>
    </row>
    <row r="168" spans="1:20" ht="18.75" customHeight="1" x14ac:dyDescent="0.35">
      <c r="A168" t="s">
        <v>708</v>
      </c>
      <c r="B168" t="s">
        <v>2544</v>
      </c>
      <c r="C168" t="s">
        <v>3045</v>
      </c>
      <c r="D168" s="2" t="s">
        <v>709</v>
      </c>
      <c r="E168" s="2">
        <f t="shared" si="15"/>
        <v>45818</v>
      </c>
      <c r="F168" s="4">
        <f t="shared" si="16"/>
        <v>2025</v>
      </c>
      <c r="G168" t="str">
        <f t="shared" si="17"/>
        <v>June</v>
      </c>
      <c r="H168" t="str">
        <f t="shared" si="18"/>
        <v>2025-06</v>
      </c>
      <c r="I168" s="4">
        <f t="shared" ca="1" si="14"/>
        <v>106</v>
      </c>
      <c r="J168" t="s">
        <v>710</v>
      </c>
      <c r="K168" t="s">
        <v>711</v>
      </c>
      <c r="L168" t="s">
        <v>712</v>
      </c>
      <c r="M168">
        <v>25</v>
      </c>
      <c r="N168" t="str">
        <f>VLOOKUP(M168, CategoryMap!$A$2:$B$100, 2, FALSE)</f>
        <v>News &amp; Politics</v>
      </c>
      <c r="O168">
        <v>459396</v>
      </c>
      <c r="P168">
        <v>7429</v>
      </c>
      <c r="Q168">
        <v>796</v>
      </c>
      <c r="R168" s="3">
        <f t="shared" si="19"/>
        <v>1.7903943438776132E-2</v>
      </c>
      <c r="S168">
        <v>221</v>
      </c>
      <c r="T168" t="str">
        <f t="shared" si="20"/>
        <v>Long</v>
      </c>
    </row>
    <row r="169" spans="1:20" ht="18.75" customHeight="1" x14ac:dyDescent="0.35">
      <c r="A169" t="s">
        <v>713</v>
      </c>
      <c r="B169" t="s">
        <v>2545</v>
      </c>
      <c r="C169" t="s">
        <v>3046</v>
      </c>
      <c r="D169" s="2" t="s">
        <v>714</v>
      </c>
      <c r="E169" s="2">
        <f t="shared" si="15"/>
        <v>45566</v>
      </c>
      <c r="F169" s="4">
        <f t="shared" si="16"/>
        <v>2024</v>
      </c>
      <c r="G169" t="str">
        <f t="shared" si="17"/>
        <v>October</v>
      </c>
      <c r="H169" t="str">
        <f t="shared" si="18"/>
        <v>2024-10</v>
      </c>
      <c r="I169" s="4">
        <f t="shared" ca="1" si="14"/>
        <v>358</v>
      </c>
      <c r="J169" t="s">
        <v>715</v>
      </c>
      <c r="K169" t="s">
        <v>716</v>
      </c>
      <c r="L169" t="s">
        <v>29</v>
      </c>
      <c r="M169">
        <v>25</v>
      </c>
      <c r="N169" t="str">
        <f>VLOOKUP(M169, CategoryMap!$A$2:$B$100, 2, FALSE)</f>
        <v>News &amp; Politics</v>
      </c>
      <c r="O169">
        <v>245854</v>
      </c>
      <c r="P169">
        <v>217464.60837887001</v>
      </c>
      <c r="Q169">
        <v>15</v>
      </c>
      <c r="R169" s="3">
        <f t="shared" si="19"/>
        <v>0.88458844834279693</v>
      </c>
      <c r="S169">
        <v>17</v>
      </c>
      <c r="T169" t="str">
        <f t="shared" si="20"/>
        <v>Short</v>
      </c>
    </row>
    <row r="170" spans="1:20" ht="18.75" customHeight="1" x14ac:dyDescent="0.35">
      <c r="A170" t="s">
        <v>717</v>
      </c>
      <c r="B170" t="s">
        <v>2546</v>
      </c>
      <c r="C170" t="s">
        <v>3047</v>
      </c>
      <c r="D170" s="2" t="s">
        <v>718</v>
      </c>
      <c r="E170" s="2">
        <f t="shared" si="15"/>
        <v>45790</v>
      </c>
      <c r="F170" s="4">
        <f t="shared" si="16"/>
        <v>2025</v>
      </c>
      <c r="G170" t="str">
        <f t="shared" si="17"/>
        <v>May</v>
      </c>
      <c r="H170" t="str">
        <f t="shared" si="18"/>
        <v>2025-05</v>
      </c>
      <c r="I170" s="4">
        <f t="shared" ca="1" si="14"/>
        <v>134</v>
      </c>
      <c r="J170" t="s">
        <v>719</v>
      </c>
      <c r="K170" t="s">
        <v>720</v>
      </c>
      <c r="L170" t="s">
        <v>721</v>
      </c>
      <c r="M170">
        <v>28</v>
      </c>
      <c r="N170" t="str">
        <f>VLOOKUP(M170, CategoryMap!$A$2:$B$100, 2, FALSE)</f>
        <v>Science &amp; Technology</v>
      </c>
      <c r="O170">
        <v>387986</v>
      </c>
      <c r="P170">
        <v>5995</v>
      </c>
      <c r="Q170">
        <v>111</v>
      </c>
      <c r="R170" s="3">
        <f t="shared" si="19"/>
        <v>1.5737681256540185E-2</v>
      </c>
      <c r="S170">
        <v>22</v>
      </c>
      <c r="T170" t="str">
        <f t="shared" si="20"/>
        <v>Short</v>
      </c>
    </row>
    <row r="171" spans="1:20" ht="18.75" customHeight="1" x14ac:dyDescent="0.35">
      <c r="A171" t="s">
        <v>722</v>
      </c>
      <c r="B171" t="s">
        <v>2547</v>
      </c>
      <c r="C171" t="s">
        <v>3048</v>
      </c>
      <c r="D171" s="2" t="s">
        <v>723</v>
      </c>
      <c r="E171" s="2">
        <f t="shared" si="15"/>
        <v>45555</v>
      </c>
      <c r="F171" s="4">
        <f t="shared" si="16"/>
        <v>2024</v>
      </c>
      <c r="G171" t="str">
        <f t="shared" si="17"/>
        <v>September</v>
      </c>
      <c r="H171" t="str">
        <f t="shared" si="18"/>
        <v>2024-09</v>
      </c>
      <c r="I171" s="4">
        <f t="shared" ca="1" si="14"/>
        <v>369</v>
      </c>
      <c r="J171" t="s">
        <v>185</v>
      </c>
      <c r="K171" t="s">
        <v>186</v>
      </c>
      <c r="L171" t="s">
        <v>724</v>
      </c>
      <c r="M171">
        <v>28</v>
      </c>
      <c r="N171" t="str">
        <f>VLOOKUP(M171, CategoryMap!$A$2:$B$100, 2, FALSE)</f>
        <v>Science &amp; Technology</v>
      </c>
      <c r="O171">
        <v>2807237</v>
      </c>
      <c r="P171">
        <v>175637</v>
      </c>
      <c r="Q171">
        <v>182</v>
      </c>
      <c r="R171" s="3">
        <f t="shared" si="19"/>
        <v>6.2630622209667364E-2</v>
      </c>
      <c r="S171">
        <v>27</v>
      </c>
      <c r="T171" t="str">
        <f t="shared" si="20"/>
        <v>Short</v>
      </c>
    </row>
    <row r="172" spans="1:20" ht="18.75" customHeight="1" x14ac:dyDescent="0.35">
      <c r="A172" t="s">
        <v>725</v>
      </c>
      <c r="B172" t="s">
        <v>2548</v>
      </c>
      <c r="C172" t="s">
        <v>11</v>
      </c>
      <c r="D172" s="2" t="s">
        <v>726</v>
      </c>
      <c r="E172" s="2">
        <f t="shared" si="15"/>
        <v>45819</v>
      </c>
      <c r="F172" s="4">
        <f t="shared" si="16"/>
        <v>2025</v>
      </c>
      <c r="G172" t="str">
        <f t="shared" si="17"/>
        <v>June</v>
      </c>
      <c r="H172" t="str">
        <f t="shared" si="18"/>
        <v>2025-06</v>
      </c>
      <c r="I172" s="4">
        <f t="shared" ca="1" si="14"/>
        <v>105</v>
      </c>
      <c r="J172" t="s">
        <v>727</v>
      </c>
      <c r="K172" t="s">
        <v>728</v>
      </c>
      <c r="L172" t="s">
        <v>29</v>
      </c>
      <c r="M172">
        <v>28</v>
      </c>
      <c r="N172" t="str">
        <f>VLOOKUP(M172, CategoryMap!$A$2:$B$100, 2, FALSE)</f>
        <v>Science &amp; Technology</v>
      </c>
      <c r="O172">
        <v>13707563</v>
      </c>
      <c r="P172">
        <v>43097</v>
      </c>
      <c r="Q172">
        <v>36</v>
      </c>
      <c r="R172" s="3">
        <f t="shared" si="19"/>
        <v>3.1466570680725669E-3</v>
      </c>
      <c r="S172">
        <v>8</v>
      </c>
      <c r="T172" t="str">
        <f t="shared" si="20"/>
        <v>Short</v>
      </c>
    </row>
    <row r="173" spans="1:20" ht="18.75" customHeight="1" x14ac:dyDescent="0.35">
      <c r="A173" t="s">
        <v>729</v>
      </c>
      <c r="B173" t="s">
        <v>2549</v>
      </c>
      <c r="C173" t="s">
        <v>11</v>
      </c>
      <c r="D173" s="2" t="s">
        <v>730</v>
      </c>
      <c r="E173" s="2">
        <f t="shared" si="15"/>
        <v>45500</v>
      </c>
      <c r="F173" s="4">
        <f t="shared" si="16"/>
        <v>2024</v>
      </c>
      <c r="G173" t="str">
        <f t="shared" si="17"/>
        <v>July</v>
      </c>
      <c r="H173" t="str">
        <f t="shared" si="18"/>
        <v>2024-07</v>
      </c>
      <c r="I173" s="4">
        <f t="shared" ca="1" si="14"/>
        <v>424</v>
      </c>
      <c r="J173" t="s">
        <v>731</v>
      </c>
      <c r="K173" t="s">
        <v>732</v>
      </c>
      <c r="L173" t="s">
        <v>29</v>
      </c>
      <c r="M173">
        <v>24</v>
      </c>
      <c r="N173" t="str">
        <f>VLOOKUP(M173, CategoryMap!$A$2:$B$100, 2, FALSE)</f>
        <v>Entertainment</v>
      </c>
      <c r="O173">
        <v>541660</v>
      </c>
      <c r="P173">
        <v>5665</v>
      </c>
      <c r="Q173">
        <v>424</v>
      </c>
      <c r="R173" s="3">
        <f t="shared" si="19"/>
        <v>1.1241369124543071E-2</v>
      </c>
      <c r="S173">
        <v>14</v>
      </c>
      <c r="T173" t="str">
        <f t="shared" si="20"/>
        <v>Short</v>
      </c>
    </row>
    <row r="174" spans="1:20" ht="18.75" customHeight="1" x14ac:dyDescent="0.35">
      <c r="A174" t="s">
        <v>733</v>
      </c>
      <c r="B174" t="s">
        <v>2550</v>
      </c>
      <c r="C174" t="s">
        <v>3049</v>
      </c>
      <c r="D174" s="2" t="s">
        <v>734</v>
      </c>
      <c r="E174" s="2">
        <f t="shared" si="15"/>
        <v>45815</v>
      </c>
      <c r="F174" s="4">
        <f t="shared" si="16"/>
        <v>2025</v>
      </c>
      <c r="G174" t="str">
        <f t="shared" si="17"/>
        <v>June</v>
      </c>
      <c r="H174" t="str">
        <f t="shared" si="18"/>
        <v>2025-06</v>
      </c>
      <c r="I174" s="4">
        <f t="shared" ca="1" si="14"/>
        <v>109</v>
      </c>
      <c r="J174" t="s">
        <v>317</v>
      </c>
      <c r="K174" t="s">
        <v>318</v>
      </c>
      <c r="L174" t="s">
        <v>735</v>
      </c>
      <c r="M174">
        <v>22</v>
      </c>
      <c r="N174" t="str">
        <f>VLOOKUP(M174, CategoryMap!$A$2:$B$100, 2, FALSE)</f>
        <v>People &amp; Blogs</v>
      </c>
      <c r="O174">
        <v>133133</v>
      </c>
      <c r="P174">
        <v>1228</v>
      </c>
      <c r="Q174">
        <v>9</v>
      </c>
      <c r="R174" s="3">
        <f t="shared" si="19"/>
        <v>9.291460419279968E-3</v>
      </c>
      <c r="S174">
        <v>24</v>
      </c>
      <c r="T174" t="str">
        <f t="shared" si="20"/>
        <v>Short</v>
      </c>
    </row>
    <row r="175" spans="1:20" ht="18.75" customHeight="1" x14ac:dyDescent="0.35">
      <c r="A175" t="s">
        <v>736</v>
      </c>
      <c r="B175" t="s">
        <v>2551</v>
      </c>
      <c r="C175" t="s">
        <v>3050</v>
      </c>
      <c r="D175" s="2" t="s">
        <v>737</v>
      </c>
      <c r="E175" s="2">
        <f t="shared" si="15"/>
        <v>45680</v>
      </c>
      <c r="F175" s="4">
        <f t="shared" si="16"/>
        <v>2025</v>
      </c>
      <c r="G175" t="str">
        <f t="shared" si="17"/>
        <v>January</v>
      </c>
      <c r="H175" t="str">
        <f t="shared" si="18"/>
        <v>2025-01</v>
      </c>
      <c r="I175" s="4">
        <f t="shared" ca="1" si="14"/>
        <v>244</v>
      </c>
      <c r="J175" t="s">
        <v>524</v>
      </c>
      <c r="K175" t="s">
        <v>525</v>
      </c>
      <c r="L175" t="s">
        <v>738</v>
      </c>
      <c r="M175">
        <v>28</v>
      </c>
      <c r="N175" t="str">
        <f>VLOOKUP(M175, CategoryMap!$A$2:$B$100, 2, FALSE)</f>
        <v>Science &amp; Technology</v>
      </c>
      <c r="O175">
        <v>4671810</v>
      </c>
      <c r="P175">
        <v>219320</v>
      </c>
      <c r="Q175">
        <v>733</v>
      </c>
      <c r="R175" s="3">
        <f t="shared" si="19"/>
        <v>4.7102300821309083E-2</v>
      </c>
      <c r="S175">
        <v>19</v>
      </c>
      <c r="T175" t="str">
        <f t="shared" si="20"/>
        <v>Short</v>
      </c>
    </row>
    <row r="176" spans="1:20" ht="18.75" customHeight="1" x14ac:dyDescent="0.35">
      <c r="A176" t="s">
        <v>739</v>
      </c>
      <c r="B176" t="s">
        <v>2552</v>
      </c>
      <c r="C176" t="s">
        <v>11</v>
      </c>
      <c r="D176" s="2" t="s">
        <v>740</v>
      </c>
      <c r="E176" s="2">
        <f t="shared" si="15"/>
        <v>45828</v>
      </c>
      <c r="F176" s="4">
        <f t="shared" si="16"/>
        <v>2025</v>
      </c>
      <c r="G176" t="str">
        <f t="shared" si="17"/>
        <v>June</v>
      </c>
      <c r="H176" t="str">
        <f t="shared" si="18"/>
        <v>2025-06</v>
      </c>
      <c r="I176" s="4">
        <f t="shared" ca="1" si="14"/>
        <v>96</v>
      </c>
      <c r="J176" t="s">
        <v>741</v>
      </c>
      <c r="K176" t="s">
        <v>742</v>
      </c>
      <c r="L176" t="s">
        <v>29</v>
      </c>
      <c r="M176">
        <v>28</v>
      </c>
      <c r="N176" t="str">
        <f>VLOOKUP(M176, CategoryMap!$A$2:$B$100, 2, FALSE)</f>
        <v>Science &amp; Technology</v>
      </c>
      <c r="O176">
        <v>143368</v>
      </c>
      <c r="P176">
        <v>5976</v>
      </c>
      <c r="Q176">
        <v>10</v>
      </c>
      <c r="R176" s="3">
        <f t="shared" si="19"/>
        <v>4.1752692372077453E-2</v>
      </c>
      <c r="S176">
        <v>16</v>
      </c>
      <c r="T176" t="str">
        <f t="shared" si="20"/>
        <v>Short</v>
      </c>
    </row>
    <row r="177" spans="1:20" ht="18.75" customHeight="1" x14ac:dyDescent="0.35">
      <c r="A177" t="s">
        <v>743</v>
      </c>
      <c r="B177" t="s">
        <v>2553</v>
      </c>
      <c r="C177" t="s">
        <v>3051</v>
      </c>
      <c r="D177" s="2" t="s">
        <v>744</v>
      </c>
      <c r="E177" s="2">
        <f t="shared" si="15"/>
        <v>45748</v>
      </c>
      <c r="F177" s="4">
        <f t="shared" si="16"/>
        <v>2025</v>
      </c>
      <c r="G177" t="str">
        <f t="shared" si="17"/>
        <v>April</v>
      </c>
      <c r="H177" t="str">
        <f t="shared" si="18"/>
        <v>2025-04</v>
      </c>
      <c r="I177" s="4">
        <f t="shared" ca="1" si="14"/>
        <v>176</v>
      </c>
      <c r="J177" t="s">
        <v>745</v>
      </c>
      <c r="K177" t="s">
        <v>746</v>
      </c>
      <c r="L177" t="s">
        <v>29</v>
      </c>
      <c r="M177">
        <v>24</v>
      </c>
      <c r="N177" t="str">
        <f>VLOOKUP(M177, CategoryMap!$A$2:$B$100, 2, FALSE)</f>
        <v>Entertainment</v>
      </c>
      <c r="O177">
        <v>8090542</v>
      </c>
      <c r="P177">
        <v>292972</v>
      </c>
      <c r="Q177">
        <v>2941</v>
      </c>
      <c r="R177" s="3">
        <f t="shared" si="19"/>
        <v>3.6575176298448239E-2</v>
      </c>
      <c r="S177">
        <v>23</v>
      </c>
      <c r="T177" t="str">
        <f t="shared" si="20"/>
        <v>Short</v>
      </c>
    </row>
    <row r="178" spans="1:20" ht="18.75" customHeight="1" x14ac:dyDescent="0.35">
      <c r="A178" t="s">
        <v>747</v>
      </c>
      <c r="B178" t="s">
        <v>2554</v>
      </c>
      <c r="C178" t="s">
        <v>3052</v>
      </c>
      <c r="D178" s="2" t="s">
        <v>748</v>
      </c>
      <c r="E178" s="2">
        <f t="shared" si="15"/>
        <v>45623</v>
      </c>
      <c r="F178" s="4">
        <f t="shared" si="16"/>
        <v>2024</v>
      </c>
      <c r="G178" t="str">
        <f t="shared" si="17"/>
        <v>November</v>
      </c>
      <c r="H178" t="str">
        <f t="shared" si="18"/>
        <v>2024-11</v>
      </c>
      <c r="I178" s="4">
        <f t="shared" ca="1" si="14"/>
        <v>301</v>
      </c>
      <c r="J178" t="s">
        <v>749</v>
      </c>
      <c r="K178" t="s">
        <v>750</v>
      </c>
      <c r="L178" t="s">
        <v>29</v>
      </c>
      <c r="M178">
        <v>22</v>
      </c>
      <c r="N178" t="str">
        <f>VLOOKUP(M178, CategoryMap!$A$2:$B$100, 2, FALSE)</f>
        <v>People &amp; Blogs</v>
      </c>
      <c r="O178">
        <v>4891174</v>
      </c>
      <c r="P178">
        <v>79263</v>
      </c>
      <c r="Q178">
        <v>901</v>
      </c>
      <c r="R178" s="3">
        <f t="shared" si="19"/>
        <v>1.6389521206974032E-2</v>
      </c>
      <c r="S178">
        <v>14</v>
      </c>
      <c r="T178" t="str">
        <f t="shared" si="20"/>
        <v>Short</v>
      </c>
    </row>
    <row r="179" spans="1:20" ht="18.75" customHeight="1" x14ac:dyDescent="0.35">
      <c r="A179" t="s">
        <v>751</v>
      </c>
      <c r="B179" t="s">
        <v>2555</v>
      </c>
      <c r="C179" t="s">
        <v>11</v>
      </c>
      <c r="D179" s="2" t="s">
        <v>752</v>
      </c>
      <c r="E179" s="2">
        <f t="shared" si="15"/>
        <v>45761</v>
      </c>
      <c r="F179" s="4">
        <f t="shared" si="16"/>
        <v>2025</v>
      </c>
      <c r="G179" t="str">
        <f t="shared" si="17"/>
        <v>April</v>
      </c>
      <c r="H179" t="str">
        <f t="shared" si="18"/>
        <v>2025-04</v>
      </c>
      <c r="I179" s="4">
        <f t="shared" ca="1" si="14"/>
        <v>163</v>
      </c>
      <c r="J179" t="s">
        <v>753</v>
      </c>
      <c r="K179" t="s">
        <v>754</v>
      </c>
      <c r="L179" t="s">
        <v>29</v>
      </c>
      <c r="M179">
        <v>22</v>
      </c>
      <c r="N179" t="str">
        <f>VLOOKUP(M179, CategoryMap!$A$2:$B$100, 2, FALSE)</f>
        <v>People &amp; Blogs</v>
      </c>
      <c r="O179">
        <v>1776981</v>
      </c>
      <c r="P179">
        <v>217464.60837887001</v>
      </c>
      <c r="Q179">
        <v>10</v>
      </c>
      <c r="R179" s="3">
        <f t="shared" si="19"/>
        <v>0.12238431833478805</v>
      </c>
      <c r="S179">
        <v>20</v>
      </c>
      <c r="T179" t="str">
        <f t="shared" si="20"/>
        <v>Short</v>
      </c>
    </row>
    <row r="180" spans="1:20" ht="18.75" customHeight="1" x14ac:dyDescent="0.35">
      <c r="A180" t="s">
        <v>755</v>
      </c>
      <c r="B180" t="s">
        <v>2556</v>
      </c>
      <c r="C180" t="s">
        <v>3053</v>
      </c>
      <c r="D180" s="2" t="s">
        <v>756</v>
      </c>
      <c r="E180" s="2">
        <f t="shared" si="15"/>
        <v>45561</v>
      </c>
      <c r="F180" s="4">
        <f t="shared" si="16"/>
        <v>2024</v>
      </c>
      <c r="G180" t="str">
        <f t="shared" si="17"/>
        <v>September</v>
      </c>
      <c r="H180" t="str">
        <f t="shared" si="18"/>
        <v>2024-09</v>
      </c>
      <c r="I180" s="4">
        <f t="shared" ca="1" si="14"/>
        <v>363</v>
      </c>
      <c r="J180" t="s">
        <v>757</v>
      </c>
      <c r="K180" t="s">
        <v>758</v>
      </c>
      <c r="L180" t="s">
        <v>759</v>
      </c>
      <c r="M180">
        <v>28</v>
      </c>
      <c r="N180" t="str">
        <f>VLOOKUP(M180, CategoryMap!$A$2:$B$100, 2, FALSE)</f>
        <v>Science &amp; Technology</v>
      </c>
      <c r="O180">
        <v>158437</v>
      </c>
      <c r="P180">
        <v>5421</v>
      </c>
      <c r="Q180">
        <v>25</v>
      </c>
      <c r="R180" s="3">
        <f t="shared" si="19"/>
        <v>3.4373284018253313E-2</v>
      </c>
      <c r="S180">
        <v>31</v>
      </c>
      <c r="T180" t="str">
        <f t="shared" si="20"/>
        <v>Short</v>
      </c>
    </row>
    <row r="181" spans="1:20" ht="18.75" customHeight="1" x14ac:dyDescent="0.35">
      <c r="A181" t="s">
        <v>760</v>
      </c>
      <c r="B181" t="s">
        <v>2557</v>
      </c>
      <c r="C181" t="s">
        <v>3054</v>
      </c>
      <c r="D181" s="2" t="s">
        <v>761</v>
      </c>
      <c r="E181" s="2">
        <f t="shared" si="15"/>
        <v>45403</v>
      </c>
      <c r="F181" s="4">
        <f t="shared" si="16"/>
        <v>2024</v>
      </c>
      <c r="G181" t="str">
        <f t="shared" si="17"/>
        <v>April</v>
      </c>
      <c r="H181" t="str">
        <f t="shared" si="18"/>
        <v>2024-04</v>
      </c>
      <c r="I181" s="4">
        <f t="shared" ca="1" si="14"/>
        <v>521</v>
      </c>
      <c r="J181" t="s">
        <v>762</v>
      </c>
      <c r="K181" t="s">
        <v>763</v>
      </c>
      <c r="L181" t="s">
        <v>764</v>
      </c>
      <c r="M181">
        <v>28</v>
      </c>
      <c r="N181" t="str">
        <f>VLOOKUP(M181, CategoryMap!$A$2:$B$100, 2, FALSE)</f>
        <v>Science &amp; Technology</v>
      </c>
      <c r="O181">
        <v>139303650</v>
      </c>
      <c r="P181">
        <v>1474630</v>
      </c>
      <c r="Q181">
        <v>16759</v>
      </c>
      <c r="R181" s="3">
        <f t="shared" si="19"/>
        <v>1.0706029597932288E-2</v>
      </c>
      <c r="S181">
        <v>11</v>
      </c>
      <c r="T181" t="str">
        <f t="shared" si="20"/>
        <v>Short</v>
      </c>
    </row>
    <row r="182" spans="1:20" ht="18.75" customHeight="1" x14ac:dyDescent="0.35">
      <c r="A182" t="s">
        <v>765</v>
      </c>
      <c r="B182" t="s">
        <v>2558</v>
      </c>
      <c r="C182" t="s">
        <v>11</v>
      </c>
      <c r="D182" s="2" t="s">
        <v>766</v>
      </c>
      <c r="E182" s="2">
        <f t="shared" si="15"/>
        <v>45726</v>
      </c>
      <c r="F182" s="4">
        <f t="shared" si="16"/>
        <v>2025</v>
      </c>
      <c r="G182" t="str">
        <f t="shared" si="17"/>
        <v>March</v>
      </c>
      <c r="H182" t="str">
        <f t="shared" si="18"/>
        <v>2025-03</v>
      </c>
      <c r="I182" s="4">
        <f t="shared" ca="1" si="14"/>
        <v>198</v>
      </c>
      <c r="J182" t="s">
        <v>767</v>
      </c>
      <c r="K182" t="s">
        <v>768</v>
      </c>
      <c r="L182" t="s">
        <v>29</v>
      </c>
      <c r="M182">
        <v>28</v>
      </c>
      <c r="N182" t="str">
        <f>VLOOKUP(M182, CategoryMap!$A$2:$B$100, 2, FALSE)</f>
        <v>Science &amp; Technology</v>
      </c>
      <c r="O182">
        <v>941158</v>
      </c>
      <c r="P182">
        <v>2270</v>
      </c>
      <c r="Q182">
        <v>5</v>
      </c>
      <c r="R182" s="3">
        <f t="shared" si="19"/>
        <v>2.4172349382356631E-3</v>
      </c>
      <c r="S182">
        <v>17</v>
      </c>
      <c r="T182" t="str">
        <f t="shared" si="20"/>
        <v>Short</v>
      </c>
    </row>
    <row r="183" spans="1:20" ht="18.75" customHeight="1" x14ac:dyDescent="0.35">
      <c r="A183" t="s">
        <v>769</v>
      </c>
      <c r="B183" t="s">
        <v>2559</v>
      </c>
      <c r="C183" t="s">
        <v>3055</v>
      </c>
      <c r="D183" s="2" t="s">
        <v>770</v>
      </c>
      <c r="E183" s="2">
        <f t="shared" si="15"/>
        <v>45501</v>
      </c>
      <c r="F183" s="4">
        <f t="shared" si="16"/>
        <v>2024</v>
      </c>
      <c r="G183" t="str">
        <f t="shared" si="17"/>
        <v>July</v>
      </c>
      <c r="H183" t="str">
        <f t="shared" si="18"/>
        <v>2024-07</v>
      </c>
      <c r="I183" s="4">
        <f t="shared" ca="1" si="14"/>
        <v>423</v>
      </c>
      <c r="J183" t="s">
        <v>86</v>
      </c>
      <c r="K183" t="s">
        <v>87</v>
      </c>
      <c r="L183" t="s">
        <v>29</v>
      </c>
      <c r="M183">
        <v>28</v>
      </c>
      <c r="N183" t="str">
        <f>VLOOKUP(M183, CategoryMap!$A$2:$B$100, 2, FALSE)</f>
        <v>Science &amp; Technology</v>
      </c>
      <c r="O183">
        <v>29283865</v>
      </c>
      <c r="P183">
        <v>1181041</v>
      </c>
      <c r="Q183">
        <v>8422</v>
      </c>
      <c r="R183" s="3">
        <f t="shared" si="19"/>
        <v>4.0618374657853396E-2</v>
      </c>
      <c r="S183">
        <v>39</v>
      </c>
      <c r="T183" t="str">
        <f t="shared" si="20"/>
        <v>Short</v>
      </c>
    </row>
    <row r="184" spans="1:20" ht="18.75" customHeight="1" x14ac:dyDescent="0.35">
      <c r="A184" t="s">
        <v>771</v>
      </c>
      <c r="B184" t="s">
        <v>2473</v>
      </c>
      <c r="C184" t="s">
        <v>2984</v>
      </c>
      <c r="D184" s="2" t="s">
        <v>772</v>
      </c>
      <c r="E184" s="2">
        <f t="shared" si="15"/>
        <v>45063</v>
      </c>
      <c r="F184" s="4">
        <f t="shared" si="16"/>
        <v>2023</v>
      </c>
      <c r="G184" t="str">
        <f t="shared" si="17"/>
        <v>May</v>
      </c>
      <c r="H184" t="str">
        <f t="shared" si="18"/>
        <v>2023-05</v>
      </c>
      <c r="I184" s="4">
        <f t="shared" ca="1" si="14"/>
        <v>861</v>
      </c>
      <c r="J184" t="s">
        <v>326</v>
      </c>
      <c r="K184" t="s">
        <v>327</v>
      </c>
      <c r="L184" t="s">
        <v>328</v>
      </c>
      <c r="M184">
        <v>28</v>
      </c>
      <c r="N184" t="str">
        <f>VLOOKUP(M184, CategoryMap!$A$2:$B$100, 2, FALSE)</f>
        <v>Science &amp; Technology</v>
      </c>
      <c r="O184">
        <v>17579884</v>
      </c>
      <c r="P184">
        <v>637578</v>
      </c>
      <c r="Q184">
        <v>835</v>
      </c>
      <c r="R184" s="3">
        <f t="shared" si="19"/>
        <v>3.6314972271716921E-2</v>
      </c>
      <c r="S184">
        <v>15</v>
      </c>
      <c r="T184" t="str">
        <f t="shared" si="20"/>
        <v>Short</v>
      </c>
    </row>
    <row r="185" spans="1:20" ht="18.75" customHeight="1" x14ac:dyDescent="0.35">
      <c r="A185" t="s">
        <v>773</v>
      </c>
      <c r="B185" t="s">
        <v>2560</v>
      </c>
      <c r="C185" t="s">
        <v>3056</v>
      </c>
      <c r="D185" s="2" t="s">
        <v>774</v>
      </c>
      <c r="E185" s="2">
        <f t="shared" si="15"/>
        <v>45734</v>
      </c>
      <c r="F185" s="4">
        <f t="shared" si="16"/>
        <v>2025</v>
      </c>
      <c r="G185" t="str">
        <f t="shared" si="17"/>
        <v>March</v>
      </c>
      <c r="H185" t="str">
        <f t="shared" si="18"/>
        <v>2025-03</v>
      </c>
      <c r="I185" s="4">
        <f t="shared" ca="1" si="14"/>
        <v>190</v>
      </c>
      <c r="J185" t="s">
        <v>317</v>
      </c>
      <c r="K185" t="s">
        <v>318</v>
      </c>
      <c r="L185" t="s">
        <v>775</v>
      </c>
      <c r="M185">
        <v>22</v>
      </c>
      <c r="N185" t="str">
        <f>VLOOKUP(M185, CategoryMap!$A$2:$B$100, 2, FALSE)</f>
        <v>People &amp; Blogs</v>
      </c>
      <c r="O185">
        <v>9864742</v>
      </c>
      <c r="P185">
        <v>72485</v>
      </c>
      <c r="Q185">
        <v>93</v>
      </c>
      <c r="R185" s="3">
        <f t="shared" si="19"/>
        <v>7.3573135516367284E-3</v>
      </c>
      <c r="S185">
        <v>22</v>
      </c>
      <c r="T185" t="str">
        <f t="shared" si="20"/>
        <v>Short</v>
      </c>
    </row>
    <row r="186" spans="1:20" ht="18.75" customHeight="1" x14ac:dyDescent="0.35">
      <c r="A186" t="s">
        <v>776</v>
      </c>
      <c r="B186" t="s">
        <v>2561</v>
      </c>
      <c r="C186" t="s">
        <v>3057</v>
      </c>
      <c r="D186" s="2" t="s">
        <v>777</v>
      </c>
      <c r="E186" s="2">
        <f t="shared" si="15"/>
        <v>45753</v>
      </c>
      <c r="F186" s="4">
        <f t="shared" si="16"/>
        <v>2025</v>
      </c>
      <c r="G186" t="str">
        <f t="shared" si="17"/>
        <v>April</v>
      </c>
      <c r="H186" t="str">
        <f t="shared" si="18"/>
        <v>2025-04</v>
      </c>
      <c r="I186" s="4">
        <f t="shared" ca="1" si="14"/>
        <v>171</v>
      </c>
      <c r="J186" t="s">
        <v>778</v>
      </c>
      <c r="K186" t="s">
        <v>779</v>
      </c>
      <c r="L186" t="s">
        <v>780</v>
      </c>
      <c r="M186">
        <v>28</v>
      </c>
      <c r="N186" t="str">
        <f>VLOOKUP(M186, CategoryMap!$A$2:$B$100, 2, FALSE)</f>
        <v>Science &amp; Technology</v>
      </c>
      <c r="O186">
        <v>295086</v>
      </c>
      <c r="P186">
        <v>3664</v>
      </c>
      <c r="Q186">
        <v>74</v>
      </c>
      <c r="R186" s="3">
        <f t="shared" si="19"/>
        <v>1.2667493544254895E-2</v>
      </c>
      <c r="S186">
        <v>1099</v>
      </c>
      <c r="T186" t="str">
        <f t="shared" si="20"/>
        <v>Long</v>
      </c>
    </row>
    <row r="187" spans="1:20" ht="18.75" customHeight="1" x14ac:dyDescent="0.35">
      <c r="A187" t="s">
        <v>781</v>
      </c>
      <c r="B187" t="s">
        <v>2562</v>
      </c>
      <c r="C187" t="s">
        <v>11</v>
      </c>
      <c r="D187" s="2" t="s">
        <v>782</v>
      </c>
      <c r="E187" s="2">
        <f t="shared" si="15"/>
        <v>45028</v>
      </c>
      <c r="F187" s="4">
        <f t="shared" si="16"/>
        <v>2023</v>
      </c>
      <c r="G187" t="str">
        <f t="shared" si="17"/>
        <v>April</v>
      </c>
      <c r="H187" t="str">
        <f t="shared" si="18"/>
        <v>2023-04</v>
      </c>
      <c r="I187" s="4">
        <f t="shared" ca="1" si="14"/>
        <v>896</v>
      </c>
      <c r="J187" t="s">
        <v>77</v>
      </c>
      <c r="K187" t="s">
        <v>78</v>
      </c>
      <c r="L187" t="s">
        <v>29</v>
      </c>
      <c r="M187">
        <v>23</v>
      </c>
      <c r="N187" t="str">
        <f>VLOOKUP(M187, CategoryMap!$A$2:$B$100, 2, FALSE)</f>
        <v>Comedy</v>
      </c>
      <c r="O187">
        <v>4447422</v>
      </c>
      <c r="P187">
        <v>202294</v>
      </c>
      <c r="Q187">
        <v>2235</v>
      </c>
      <c r="R187" s="3">
        <f t="shared" si="19"/>
        <v>4.5988215195229956E-2</v>
      </c>
      <c r="S187">
        <v>18</v>
      </c>
      <c r="T187" t="str">
        <f t="shared" si="20"/>
        <v>Short</v>
      </c>
    </row>
    <row r="188" spans="1:20" ht="18.75" customHeight="1" x14ac:dyDescent="0.35">
      <c r="A188" t="s">
        <v>783</v>
      </c>
      <c r="B188" t="s">
        <v>2563</v>
      </c>
      <c r="C188" t="s">
        <v>3058</v>
      </c>
      <c r="D188" s="2" t="s">
        <v>784</v>
      </c>
      <c r="E188" s="2">
        <f t="shared" si="15"/>
        <v>45427</v>
      </c>
      <c r="F188" s="4">
        <f t="shared" si="16"/>
        <v>2024</v>
      </c>
      <c r="G188" t="str">
        <f t="shared" si="17"/>
        <v>May</v>
      </c>
      <c r="H188" t="str">
        <f t="shared" si="18"/>
        <v>2024-05</v>
      </c>
      <c r="I188" s="4">
        <f t="shared" ca="1" si="14"/>
        <v>497</v>
      </c>
      <c r="J188" t="s">
        <v>785</v>
      </c>
      <c r="K188" t="s">
        <v>786</v>
      </c>
      <c r="L188" t="s">
        <v>787</v>
      </c>
      <c r="M188">
        <v>22</v>
      </c>
      <c r="N188" t="str">
        <f>VLOOKUP(M188, CategoryMap!$A$2:$B$100, 2, FALSE)</f>
        <v>People &amp; Blogs</v>
      </c>
      <c r="O188">
        <v>293438</v>
      </c>
      <c r="P188">
        <v>2958</v>
      </c>
      <c r="Q188">
        <v>10</v>
      </c>
      <c r="R188" s="3">
        <f t="shared" si="19"/>
        <v>1.011457275472161E-2</v>
      </c>
      <c r="S188">
        <v>37</v>
      </c>
      <c r="T188" t="str">
        <f t="shared" si="20"/>
        <v>Short</v>
      </c>
    </row>
    <row r="189" spans="1:20" ht="18.75" customHeight="1" x14ac:dyDescent="0.35">
      <c r="A189" t="s">
        <v>788</v>
      </c>
      <c r="B189" t="s">
        <v>2564</v>
      </c>
      <c r="C189" t="s">
        <v>3059</v>
      </c>
      <c r="D189" s="2" t="s">
        <v>789</v>
      </c>
      <c r="E189" s="2">
        <f t="shared" si="15"/>
        <v>45645</v>
      </c>
      <c r="F189" s="4">
        <f t="shared" si="16"/>
        <v>2024</v>
      </c>
      <c r="G189" t="str">
        <f t="shared" si="17"/>
        <v>December</v>
      </c>
      <c r="H189" t="str">
        <f t="shared" si="18"/>
        <v>2024-12</v>
      </c>
      <c r="I189" s="4">
        <f t="shared" ca="1" si="14"/>
        <v>279</v>
      </c>
      <c r="J189" t="s">
        <v>790</v>
      </c>
      <c r="K189" t="s">
        <v>791</v>
      </c>
      <c r="L189" t="s">
        <v>29</v>
      </c>
      <c r="M189">
        <v>27</v>
      </c>
      <c r="N189" t="str">
        <f>VLOOKUP(M189, CategoryMap!$A$2:$B$100, 2, FALSE)</f>
        <v>Education</v>
      </c>
      <c r="O189">
        <v>122270</v>
      </c>
      <c r="P189">
        <v>758</v>
      </c>
      <c r="Q189">
        <v>21</v>
      </c>
      <c r="R189" s="3">
        <f t="shared" si="19"/>
        <v>6.3711458248139367E-3</v>
      </c>
      <c r="S189">
        <v>6</v>
      </c>
      <c r="T189" t="str">
        <f t="shared" si="20"/>
        <v>Short</v>
      </c>
    </row>
    <row r="190" spans="1:20" ht="18.75" customHeight="1" x14ac:dyDescent="0.35">
      <c r="A190" t="s">
        <v>792</v>
      </c>
      <c r="B190" t="s">
        <v>2565</v>
      </c>
      <c r="C190" t="s">
        <v>3060</v>
      </c>
      <c r="D190" s="2" t="s">
        <v>793</v>
      </c>
      <c r="E190" s="2">
        <f t="shared" si="15"/>
        <v>45788</v>
      </c>
      <c r="F190" s="4">
        <f t="shared" si="16"/>
        <v>2025</v>
      </c>
      <c r="G190" t="str">
        <f t="shared" si="17"/>
        <v>May</v>
      </c>
      <c r="H190" t="str">
        <f t="shared" si="18"/>
        <v>2025-05</v>
      </c>
      <c r="I190" s="4">
        <f t="shared" ca="1" si="14"/>
        <v>136</v>
      </c>
      <c r="J190" t="s">
        <v>317</v>
      </c>
      <c r="K190" t="s">
        <v>318</v>
      </c>
      <c r="L190" t="s">
        <v>794</v>
      </c>
      <c r="M190">
        <v>22</v>
      </c>
      <c r="N190" t="str">
        <f>VLOOKUP(M190, CategoryMap!$A$2:$B$100, 2, FALSE)</f>
        <v>People &amp; Blogs</v>
      </c>
      <c r="O190">
        <v>32462192</v>
      </c>
      <c r="P190">
        <v>436405</v>
      </c>
      <c r="Q190">
        <v>536</v>
      </c>
      <c r="R190" s="3">
        <f t="shared" si="19"/>
        <v>1.3459996786415409E-2</v>
      </c>
      <c r="S190">
        <v>20</v>
      </c>
      <c r="T190" t="str">
        <f t="shared" si="20"/>
        <v>Short</v>
      </c>
    </row>
    <row r="191" spans="1:20" ht="18.75" customHeight="1" x14ac:dyDescent="0.35">
      <c r="A191" t="s">
        <v>795</v>
      </c>
      <c r="B191" t="s">
        <v>2566</v>
      </c>
      <c r="C191" t="s">
        <v>2929</v>
      </c>
      <c r="D191" s="2" t="s">
        <v>796</v>
      </c>
      <c r="E191" s="2">
        <f t="shared" si="15"/>
        <v>45490</v>
      </c>
      <c r="F191" s="4">
        <f t="shared" si="16"/>
        <v>2024</v>
      </c>
      <c r="G191" t="str">
        <f t="shared" si="17"/>
        <v>July</v>
      </c>
      <c r="H191" t="str">
        <f t="shared" si="18"/>
        <v>2024-07</v>
      </c>
      <c r="I191" s="4">
        <f t="shared" ca="1" si="14"/>
        <v>434</v>
      </c>
      <c r="J191" t="s">
        <v>64</v>
      </c>
      <c r="K191" t="s">
        <v>65</v>
      </c>
      <c r="L191" t="s">
        <v>29</v>
      </c>
      <c r="M191">
        <v>28</v>
      </c>
      <c r="N191" t="str">
        <f>VLOOKUP(M191, CategoryMap!$A$2:$B$100, 2, FALSE)</f>
        <v>Science &amp; Technology</v>
      </c>
      <c r="O191">
        <v>8815065</v>
      </c>
      <c r="P191">
        <v>188469</v>
      </c>
      <c r="Q191">
        <v>231</v>
      </c>
      <c r="R191" s="3">
        <f t="shared" si="19"/>
        <v>2.1406535289303027E-2</v>
      </c>
      <c r="S191">
        <v>14</v>
      </c>
      <c r="T191" t="str">
        <f t="shared" si="20"/>
        <v>Short</v>
      </c>
    </row>
    <row r="192" spans="1:20" ht="18.75" customHeight="1" x14ac:dyDescent="0.35">
      <c r="A192" t="s">
        <v>797</v>
      </c>
      <c r="B192" t="s">
        <v>2567</v>
      </c>
      <c r="C192" t="s">
        <v>11</v>
      </c>
      <c r="D192" s="2" t="s">
        <v>798</v>
      </c>
      <c r="E192" s="2">
        <f t="shared" si="15"/>
        <v>45824</v>
      </c>
      <c r="F192" s="4">
        <f t="shared" si="16"/>
        <v>2025</v>
      </c>
      <c r="G192" t="str">
        <f t="shared" si="17"/>
        <v>June</v>
      </c>
      <c r="H192" t="str">
        <f t="shared" si="18"/>
        <v>2025-06</v>
      </c>
      <c r="I192" s="4">
        <f t="shared" ca="1" si="14"/>
        <v>100</v>
      </c>
      <c r="J192" t="s">
        <v>77</v>
      </c>
      <c r="K192" t="s">
        <v>78</v>
      </c>
      <c r="L192" t="s">
        <v>29</v>
      </c>
      <c r="M192">
        <v>28</v>
      </c>
      <c r="N192" t="str">
        <f>VLOOKUP(M192, CategoryMap!$A$2:$B$100, 2, FALSE)</f>
        <v>Science &amp; Technology</v>
      </c>
      <c r="O192">
        <v>137377</v>
      </c>
      <c r="P192">
        <v>7621</v>
      </c>
      <c r="Q192">
        <v>131</v>
      </c>
      <c r="R192" s="3">
        <f t="shared" si="19"/>
        <v>5.6428659819329291E-2</v>
      </c>
      <c r="S192">
        <v>61</v>
      </c>
      <c r="T192" t="str">
        <f t="shared" si="20"/>
        <v>Long</v>
      </c>
    </row>
    <row r="193" spans="1:20" ht="18.75" customHeight="1" x14ac:dyDescent="0.35">
      <c r="A193" t="s">
        <v>799</v>
      </c>
      <c r="B193" t="s">
        <v>2568</v>
      </c>
      <c r="C193" t="s">
        <v>3061</v>
      </c>
      <c r="D193" s="2" t="s">
        <v>800</v>
      </c>
      <c r="E193" s="2">
        <f t="shared" si="15"/>
        <v>45782</v>
      </c>
      <c r="F193" s="4">
        <f t="shared" si="16"/>
        <v>2025</v>
      </c>
      <c r="G193" t="str">
        <f t="shared" si="17"/>
        <v>May</v>
      </c>
      <c r="H193" t="str">
        <f t="shared" si="18"/>
        <v>2025-05</v>
      </c>
      <c r="I193" s="4">
        <f t="shared" ca="1" si="14"/>
        <v>142</v>
      </c>
      <c r="J193" t="s">
        <v>801</v>
      </c>
      <c r="K193" t="s">
        <v>802</v>
      </c>
      <c r="L193" t="s">
        <v>29</v>
      </c>
      <c r="M193">
        <v>22</v>
      </c>
      <c r="N193" t="str">
        <f>VLOOKUP(M193, CategoryMap!$A$2:$B$100, 2, FALSE)</f>
        <v>People &amp; Blogs</v>
      </c>
      <c r="O193">
        <v>16107312</v>
      </c>
      <c r="P193">
        <v>217464.60837887001</v>
      </c>
      <c r="Q193">
        <v>808</v>
      </c>
      <c r="R193" s="3">
        <f t="shared" si="19"/>
        <v>1.3551150457560517E-2</v>
      </c>
      <c r="S193">
        <v>45</v>
      </c>
      <c r="T193" t="str">
        <f t="shared" si="20"/>
        <v>Short</v>
      </c>
    </row>
    <row r="194" spans="1:20" ht="18.75" customHeight="1" x14ac:dyDescent="0.35">
      <c r="A194" t="s">
        <v>803</v>
      </c>
      <c r="B194" t="s">
        <v>2569</v>
      </c>
      <c r="C194" t="s">
        <v>3062</v>
      </c>
      <c r="D194" s="2" t="s">
        <v>804</v>
      </c>
      <c r="E194" s="2">
        <f t="shared" si="15"/>
        <v>45656</v>
      </c>
      <c r="F194" s="4">
        <f t="shared" si="16"/>
        <v>2024</v>
      </c>
      <c r="G194" t="str">
        <f t="shared" si="17"/>
        <v>December</v>
      </c>
      <c r="H194" t="str">
        <f t="shared" si="18"/>
        <v>2024-12</v>
      </c>
      <c r="I194" s="4">
        <f t="shared" ref="I194:I257" ca="1" si="21">TODAY() - DATEVALUE(LEFT(D194,10))</f>
        <v>268</v>
      </c>
      <c r="J194" t="s">
        <v>805</v>
      </c>
      <c r="K194" t="s">
        <v>806</v>
      </c>
      <c r="L194" t="s">
        <v>807</v>
      </c>
      <c r="M194">
        <v>28</v>
      </c>
      <c r="N194" t="str">
        <f>VLOOKUP(M194, CategoryMap!$A$2:$B$100, 2, FALSE)</f>
        <v>Science &amp; Technology</v>
      </c>
      <c r="O194">
        <v>19575862</v>
      </c>
      <c r="P194">
        <v>80088</v>
      </c>
      <c r="Q194">
        <v>7687</v>
      </c>
      <c r="R194" s="3">
        <f t="shared" si="19"/>
        <v>4.4838383106705591E-3</v>
      </c>
      <c r="S194">
        <v>2073</v>
      </c>
      <c r="T194" t="str">
        <f t="shared" si="20"/>
        <v>Long</v>
      </c>
    </row>
    <row r="195" spans="1:20" ht="18.75" customHeight="1" x14ac:dyDescent="0.35">
      <c r="A195" t="s">
        <v>808</v>
      </c>
      <c r="B195" t="s">
        <v>2570</v>
      </c>
      <c r="C195" t="s">
        <v>3063</v>
      </c>
      <c r="D195" s="2" t="s">
        <v>809</v>
      </c>
      <c r="E195" s="2">
        <f t="shared" ref="E195:E258" si="22">DATEVALUE(LEFT(D195,10))</f>
        <v>45344</v>
      </c>
      <c r="F195" s="4">
        <f t="shared" ref="F195:F258" si="23">YEAR(E195)</f>
        <v>2024</v>
      </c>
      <c r="G195" t="str">
        <f t="shared" ref="G195:G258" si="24">TEXT(E195,"MMMM")</f>
        <v>February</v>
      </c>
      <c r="H195" t="str">
        <f t="shared" ref="H195:H258" si="25">TEXT(E195,"YYYY-MM")</f>
        <v>2024-02</v>
      </c>
      <c r="I195" s="4">
        <f t="shared" ca="1" si="21"/>
        <v>580</v>
      </c>
      <c r="J195" t="s">
        <v>284</v>
      </c>
      <c r="K195" t="s">
        <v>285</v>
      </c>
      <c r="L195" t="s">
        <v>29</v>
      </c>
      <c r="M195">
        <v>22</v>
      </c>
      <c r="N195" t="str">
        <f>VLOOKUP(M195, CategoryMap!$A$2:$B$100, 2, FALSE)</f>
        <v>People &amp; Blogs</v>
      </c>
      <c r="O195">
        <v>12489348</v>
      </c>
      <c r="P195">
        <v>358387</v>
      </c>
      <c r="Q195">
        <v>7403</v>
      </c>
      <c r="R195" s="3">
        <f t="shared" ref="R195:R258" si="26">IF(O195=0, 0, (P195 + Q195) / O195)</f>
        <v>2.9288158196889062E-2</v>
      </c>
      <c r="S195">
        <v>36</v>
      </c>
      <c r="T195" t="str">
        <f t="shared" ref="T195:T258" si="27">IF(S195&lt;=60, "Short", "Long")</f>
        <v>Short</v>
      </c>
    </row>
    <row r="196" spans="1:20" ht="18.75" customHeight="1" x14ac:dyDescent="0.35">
      <c r="A196" t="s">
        <v>810</v>
      </c>
      <c r="B196" t="s">
        <v>2571</v>
      </c>
      <c r="C196" t="s">
        <v>3064</v>
      </c>
      <c r="D196" s="2" t="s">
        <v>811</v>
      </c>
      <c r="E196" s="2">
        <f t="shared" si="22"/>
        <v>45739</v>
      </c>
      <c r="F196" s="4">
        <f t="shared" si="23"/>
        <v>2025</v>
      </c>
      <c r="G196" t="str">
        <f t="shared" si="24"/>
        <v>March</v>
      </c>
      <c r="H196" t="str">
        <f t="shared" si="25"/>
        <v>2025-03</v>
      </c>
      <c r="I196" s="4">
        <f t="shared" ca="1" si="21"/>
        <v>185</v>
      </c>
      <c r="J196" t="s">
        <v>812</v>
      </c>
      <c r="K196" t="s">
        <v>813</v>
      </c>
      <c r="L196" t="s">
        <v>29</v>
      </c>
      <c r="M196">
        <v>23</v>
      </c>
      <c r="N196" t="str">
        <f>VLOOKUP(M196, CategoryMap!$A$2:$B$100, 2, FALSE)</f>
        <v>Comedy</v>
      </c>
      <c r="O196">
        <v>275936</v>
      </c>
      <c r="P196">
        <v>217464.60837887001</v>
      </c>
      <c r="Q196">
        <v>8</v>
      </c>
      <c r="R196" s="3">
        <f t="shared" si="26"/>
        <v>0.78812698734079645</v>
      </c>
      <c r="S196">
        <v>11</v>
      </c>
      <c r="T196" t="str">
        <f t="shared" si="27"/>
        <v>Short</v>
      </c>
    </row>
    <row r="197" spans="1:20" ht="18.75" customHeight="1" x14ac:dyDescent="0.35">
      <c r="A197" t="s">
        <v>814</v>
      </c>
      <c r="B197" t="s">
        <v>2572</v>
      </c>
      <c r="C197" t="s">
        <v>11</v>
      </c>
      <c r="D197" s="2" t="s">
        <v>815</v>
      </c>
      <c r="E197" s="2">
        <f t="shared" si="22"/>
        <v>44699</v>
      </c>
      <c r="F197" s="4">
        <f t="shared" si="23"/>
        <v>2022</v>
      </c>
      <c r="G197" t="str">
        <f t="shared" si="24"/>
        <v>May</v>
      </c>
      <c r="H197" t="str">
        <f t="shared" si="25"/>
        <v>2022-05</v>
      </c>
      <c r="I197" s="4">
        <f t="shared" ca="1" si="21"/>
        <v>1225</v>
      </c>
      <c r="J197" t="s">
        <v>816</v>
      </c>
      <c r="K197" t="s">
        <v>817</v>
      </c>
      <c r="L197" t="s">
        <v>29</v>
      </c>
      <c r="M197">
        <v>22</v>
      </c>
      <c r="N197" t="str">
        <f>VLOOKUP(M197, CategoryMap!$A$2:$B$100, 2, FALSE)</f>
        <v>People &amp; Blogs</v>
      </c>
      <c r="O197">
        <v>4383725</v>
      </c>
      <c r="P197">
        <v>207061</v>
      </c>
      <c r="Q197">
        <v>317</v>
      </c>
      <c r="R197" s="3">
        <f t="shared" si="26"/>
        <v>4.7306343349548613E-2</v>
      </c>
      <c r="S197">
        <v>12</v>
      </c>
      <c r="T197" t="str">
        <f t="shared" si="27"/>
        <v>Short</v>
      </c>
    </row>
    <row r="198" spans="1:20" ht="18.75" customHeight="1" x14ac:dyDescent="0.35">
      <c r="A198" t="s">
        <v>818</v>
      </c>
      <c r="B198" t="s">
        <v>2573</v>
      </c>
      <c r="C198" t="s">
        <v>3065</v>
      </c>
      <c r="D198" s="2" t="s">
        <v>819</v>
      </c>
      <c r="E198" s="2">
        <f t="shared" si="22"/>
        <v>45585</v>
      </c>
      <c r="F198" s="4">
        <f t="shared" si="23"/>
        <v>2024</v>
      </c>
      <c r="G198" t="str">
        <f t="shared" si="24"/>
        <v>October</v>
      </c>
      <c r="H198" t="str">
        <f t="shared" si="25"/>
        <v>2024-10</v>
      </c>
      <c r="I198" s="4">
        <f t="shared" ca="1" si="21"/>
        <v>339</v>
      </c>
      <c r="J198" t="s">
        <v>820</v>
      </c>
      <c r="K198" t="s">
        <v>821</v>
      </c>
      <c r="L198" t="s">
        <v>29</v>
      </c>
      <c r="M198">
        <v>22</v>
      </c>
      <c r="N198" t="str">
        <f>VLOOKUP(M198, CategoryMap!$A$2:$B$100, 2, FALSE)</f>
        <v>People &amp; Blogs</v>
      </c>
      <c r="O198">
        <v>26973424</v>
      </c>
      <c r="P198">
        <v>330440</v>
      </c>
      <c r="Q198">
        <v>118</v>
      </c>
      <c r="R198" s="3">
        <f t="shared" si="26"/>
        <v>1.2254951392155478E-2</v>
      </c>
      <c r="S198">
        <v>24</v>
      </c>
      <c r="T198" t="str">
        <f t="shared" si="27"/>
        <v>Short</v>
      </c>
    </row>
    <row r="199" spans="1:20" ht="18.75" customHeight="1" x14ac:dyDescent="0.35">
      <c r="A199" t="s">
        <v>822</v>
      </c>
      <c r="B199" t="s">
        <v>2574</v>
      </c>
      <c r="C199" t="s">
        <v>3066</v>
      </c>
      <c r="D199" s="2" t="s">
        <v>823</v>
      </c>
      <c r="E199" s="2">
        <f t="shared" si="22"/>
        <v>45350</v>
      </c>
      <c r="F199" s="4">
        <f t="shared" si="23"/>
        <v>2024</v>
      </c>
      <c r="G199" t="str">
        <f t="shared" si="24"/>
        <v>February</v>
      </c>
      <c r="H199" t="str">
        <f t="shared" si="25"/>
        <v>2024-02</v>
      </c>
      <c r="I199" s="4">
        <f t="shared" ca="1" si="21"/>
        <v>574</v>
      </c>
      <c r="J199" t="s">
        <v>824</v>
      </c>
      <c r="K199" t="s">
        <v>825</v>
      </c>
      <c r="L199" t="s">
        <v>826</v>
      </c>
      <c r="M199">
        <v>28</v>
      </c>
      <c r="N199" t="str">
        <f>VLOOKUP(M199, CategoryMap!$A$2:$B$100, 2, FALSE)</f>
        <v>Science &amp; Technology</v>
      </c>
      <c r="O199">
        <v>2164395</v>
      </c>
      <c r="P199">
        <v>15215</v>
      </c>
      <c r="Q199">
        <v>379</v>
      </c>
      <c r="R199" s="3">
        <f t="shared" si="26"/>
        <v>7.2047847088909369E-3</v>
      </c>
      <c r="S199">
        <v>964</v>
      </c>
      <c r="T199" t="str">
        <f t="shared" si="27"/>
        <v>Long</v>
      </c>
    </row>
    <row r="200" spans="1:20" ht="18.75" customHeight="1" x14ac:dyDescent="0.35">
      <c r="A200" t="s">
        <v>827</v>
      </c>
      <c r="B200" t="s">
        <v>2575</v>
      </c>
      <c r="C200" t="s">
        <v>3067</v>
      </c>
      <c r="D200" s="2" t="s">
        <v>828</v>
      </c>
      <c r="E200" s="2">
        <f t="shared" si="22"/>
        <v>45528</v>
      </c>
      <c r="F200" s="4">
        <f t="shared" si="23"/>
        <v>2024</v>
      </c>
      <c r="G200" t="str">
        <f t="shared" si="24"/>
        <v>August</v>
      </c>
      <c r="H200" t="str">
        <f t="shared" si="25"/>
        <v>2024-08</v>
      </c>
      <c r="I200" s="4">
        <f t="shared" ca="1" si="21"/>
        <v>396</v>
      </c>
      <c r="J200" t="s">
        <v>13</v>
      </c>
      <c r="K200" t="s">
        <v>14</v>
      </c>
      <c r="L200" t="s">
        <v>829</v>
      </c>
      <c r="M200">
        <v>28</v>
      </c>
      <c r="N200" t="str">
        <f>VLOOKUP(M200, CategoryMap!$A$2:$B$100, 2, FALSE)</f>
        <v>Science &amp; Technology</v>
      </c>
      <c r="O200">
        <v>7642173</v>
      </c>
      <c r="P200">
        <v>161425</v>
      </c>
      <c r="Q200">
        <v>6954</v>
      </c>
      <c r="R200" s="3">
        <f t="shared" si="26"/>
        <v>2.2032869446949186E-2</v>
      </c>
      <c r="S200">
        <v>2500</v>
      </c>
      <c r="T200" t="str">
        <f t="shared" si="27"/>
        <v>Long</v>
      </c>
    </row>
    <row r="201" spans="1:20" ht="18.75" customHeight="1" x14ac:dyDescent="0.35">
      <c r="A201" t="s">
        <v>830</v>
      </c>
      <c r="B201" t="s">
        <v>2576</v>
      </c>
      <c r="C201" t="s">
        <v>3068</v>
      </c>
      <c r="D201" s="2" t="s">
        <v>831</v>
      </c>
      <c r="E201" s="2">
        <f t="shared" si="22"/>
        <v>45016</v>
      </c>
      <c r="F201" s="4">
        <f t="shared" si="23"/>
        <v>2023</v>
      </c>
      <c r="G201" t="str">
        <f t="shared" si="24"/>
        <v>March</v>
      </c>
      <c r="H201" t="str">
        <f t="shared" si="25"/>
        <v>2023-03</v>
      </c>
      <c r="I201" s="4">
        <f t="shared" ca="1" si="21"/>
        <v>908</v>
      </c>
      <c r="J201" t="s">
        <v>524</v>
      </c>
      <c r="K201" t="s">
        <v>525</v>
      </c>
      <c r="L201" t="s">
        <v>832</v>
      </c>
      <c r="M201">
        <v>28</v>
      </c>
      <c r="N201" t="str">
        <f>VLOOKUP(M201, CategoryMap!$A$2:$B$100, 2, FALSE)</f>
        <v>Science &amp; Technology</v>
      </c>
      <c r="O201">
        <v>32628313</v>
      </c>
      <c r="P201">
        <v>1545437</v>
      </c>
      <c r="Q201">
        <v>1906</v>
      </c>
      <c r="R201" s="3">
        <f t="shared" si="26"/>
        <v>4.742332219260003E-2</v>
      </c>
      <c r="S201">
        <v>50</v>
      </c>
      <c r="T201" t="str">
        <f t="shared" si="27"/>
        <v>Short</v>
      </c>
    </row>
    <row r="202" spans="1:20" ht="18.75" customHeight="1" x14ac:dyDescent="0.35">
      <c r="A202" t="s">
        <v>833</v>
      </c>
      <c r="B202" t="s">
        <v>2577</v>
      </c>
      <c r="C202" t="s">
        <v>11</v>
      </c>
      <c r="D202" s="2" t="s">
        <v>834</v>
      </c>
      <c r="E202" s="2">
        <f t="shared" si="22"/>
        <v>45304</v>
      </c>
      <c r="F202" s="4">
        <f t="shared" si="23"/>
        <v>2024</v>
      </c>
      <c r="G202" t="str">
        <f t="shared" si="24"/>
        <v>January</v>
      </c>
      <c r="H202" t="str">
        <f t="shared" si="25"/>
        <v>2024-01</v>
      </c>
      <c r="I202" s="4">
        <f t="shared" ca="1" si="21"/>
        <v>620</v>
      </c>
      <c r="J202" t="s">
        <v>77</v>
      </c>
      <c r="K202" t="s">
        <v>78</v>
      </c>
      <c r="L202" t="s">
        <v>29</v>
      </c>
      <c r="M202">
        <v>28</v>
      </c>
      <c r="N202" t="str">
        <f>VLOOKUP(M202, CategoryMap!$A$2:$B$100, 2, FALSE)</f>
        <v>Science &amp; Technology</v>
      </c>
      <c r="O202">
        <v>22695809</v>
      </c>
      <c r="P202">
        <v>1238922</v>
      </c>
      <c r="Q202">
        <v>6870</v>
      </c>
      <c r="R202" s="3">
        <f t="shared" si="26"/>
        <v>5.4890839097209536E-2</v>
      </c>
      <c r="S202">
        <v>60</v>
      </c>
      <c r="T202" t="str">
        <f t="shared" si="27"/>
        <v>Short</v>
      </c>
    </row>
    <row r="203" spans="1:20" ht="18.75" customHeight="1" x14ac:dyDescent="0.35">
      <c r="A203" t="s">
        <v>835</v>
      </c>
      <c r="B203" t="s">
        <v>2578</v>
      </c>
      <c r="C203" t="s">
        <v>3069</v>
      </c>
      <c r="D203" s="2" t="s">
        <v>836</v>
      </c>
      <c r="E203" s="2">
        <f t="shared" si="22"/>
        <v>45823</v>
      </c>
      <c r="F203" s="4">
        <f t="shared" si="23"/>
        <v>2025</v>
      </c>
      <c r="G203" t="str">
        <f t="shared" si="24"/>
        <v>June</v>
      </c>
      <c r="H203" t="str">
        <f t="shared" si="25"/>
        <v>2025-06</v>
      </c>
      <c r="I203" s="4">
        <f t="shared" ca="1" si="21"/>
        <v>101</v>
      </c>
      <c r="J203" t="s">
        <v>837</v>
      </c>
      <c r="K203" t="s">
        <v>838</v>
      </c>
      <c r="L203" t="s">
        <v>29</v>
      </c>
      <c r="M203">
        <v>10</v>
      </c>
      <c r="N203" t="str">
        <f>VLOOKUP(M203, CategoryMap!$A$2:$B$100, 2, FALSE)</f>
        <v>Music</v>
      </c>
      <c r="O203">
        <v>18618</v>
      </c>
      <c r="P203">
        <v>269</v>
      </c>
      <c r="Q203">
        <v>5</v>
      </c>
      <c r="R203" s="3">
        <f t="shared" si="26"/>
        <v>1.4716940595122999E-2</v>
      </c>
      <c r="S203">
        <v>36</v>
      </c>
      <c r="T203" t="str">
        <f t="shared" si="27"/>
        <v>Short</v>
      </c>
    </row>
    <row r="204" spans="1:20" ht="18.75" customHeight="1" x14ac:dyDescent="0.35">
      <c r="A204" t="s">
        <v>839</v>
      </c>
      <c r="B204" t="s">
        <v>2579</v>
      </c>
      <c r="C204" t="s">
        <v>3070</v>
      </c>
      <c r="D204" s="2" t="s">
        <v>840</v>
      </c>
      <c r="E204" s="2">
        <f t="shared" si="22"/>
        <v>45266</v>
      </c>
      <c r="F204" s="4">
        <f t="shared" si="23"/>
        <v>2023</v>
      </c>
      <c r="G204" t="str">
        <f t="shared" si="24"/>
        <v>December</v>
      </c>
      <c r="H204" t="str">
        <f t="shared" si="25"/>
        <v>2023-12</v>
      </c>
      <c r="I204" s="4">
        <f t="shared" ca="1" si="21"/>
        <v>658</v>
      </c>
      <c r="J204" t="s">
        <v>841</v>
      </c>
      <c r="K204" t="s">
        <v>842</v>
      </c>
      <c r="L204" t="s">
        <v>843</v>
      </c>
      <c r="M204">
        <v>26</v>
      </c>
      <c r="N204" t="str">
        <f>VLOOKUP(M204, CategoryMap!$A$2:$B$100, 2, FALSE)</f>
        <v>Howto &amp; Style</v>
      </c>
      <c r="O204">
        <v>4602241</v>
      </c>
      <c r="P204">
        <v>98823</v>
      </c>
      <c r="Q204">
        <v>1241</v>
      </c>
      <c r="R204" s="3">
        <f t="shared" si="26"/>
        <v>2.1742451123267989E-2</v>
      </c>
      <c r="S204">
        <v>14</v>
      </c>
      <c r="T204" t="str">
        <f t="shared" si="27"/>
        <v>Short</v>
      </c>
    </row>
    <row r="205" spans="1:20" ht="18.75" customHeight="1" x14ac:dyDescent="0.35">
      <c r="A205" t="s">
        <v>844</v>
      </c>
      <c r="B205" t="s">
        <v>2580</v>
      </c>
      <c r="C205" t="s">
        <v>11</v>
      </c>
      <c r="D205" s="2" t="s">
        <v>845</v>
      </c>
      <c r="E205" s="2">
        <f t="shared" si="22"/>
        <v>45684</v>
      </c>
      <c r="F205" s="4">
        <f t="shared" si="23"/>
        <v>2025</v>
      </c>
      <c r="G205" t="str">
        <f t="shared" si="24"/>
        <v>January</v>
      </c>
      <c r="H205" t="str">
        <f t="shared" si="25"/>
        <v>2025-01</v>
      </c>
      <c r="I205" s="4">
        <f t="shared" ca="1" si="21"/>
        <v>240</v>
      </c>
      <c r="J205" t="s">
        <v>846</v>
      </c>
      <c r="K205" t="s">
        <v>847</v>
      </c>
      <c r="L205" t="s">
        <v>29</v>
      </c>
      <c r="M205">
        <v>28</v>
      </c>
      <c r="N205" t="str">
        <f>VLOOKUP(M205, CategoryMap!$A$2:$B$100, 2, FALSE)</f>
        <v>Science &amp; Technology</v>
      </c>
      <c r="O205">
        <v>2276862</v>
      </c>
      <c r="P205">
        <v>217464.60837887001</v>
      </c>
      <c r="Q205">
        <v>70</v>
      </c>
      <c r="R205" s="3">
        <f t="shared" si="26"/>
        <v>9.5541411108301694E-2</v>
      </c>
      <c r="S205">
        <v>53</v>
      </c>
      <c r="T205" t="str">
        <f t="shared" si="27"/>
        <v>Short</v>
      </c>
    </row>
    <row r="206" spans="1:20" ht="18.75" customHeight="1" x14ac:dyDescent="0.35">
      <c r="A206" t="s">
        <v>848</v>
      </c>
      <c r="B206" t="s">
        <v>2581</v>
      </c>
      <c r="C206" t="s">
        <v>11</v>
      </c>
      <c r="D206" s="2" t="s">
        <v>849</v>
      </c>
      <c r="E206" s="2">
        <f t="shared" si="22"/>
        <v>45822</v>
      </c>
      <c r="F206" s="4">
        <f t="shared" si="23"/>
        <v>2025</v>
      </c>
      <c r="G206" t="str">
        <f t="shared" si="24"/>
        <v>June</v>
      </c>
      <c r="H206" t="str">
        <f t="shared" si="25"/>
        <v>2025-06</v>
      </c>
      <c r="I206" s="4">
        <f t="shared" ca="1" si="21"/>
        <v>102</v>
      </c>
      <c r="J206" t="s">
        <v>850</v>
      </c>
      <c r="K206" t="s">
        <v>851</v>
      </c>
      <c r="L206" t="s">
        <v>29</v>
      </c>
      <c r="M206">
        <v>28</v>
      </c>
      <c r="N206" t="str">
        <f>VLOOKUP(M206, CategoryMap!$A$2:$B$100, 2, FALSE)</f>
        <v>Science &amp; Technology</v>
      </c>
      <c r="O206">
        <v>151858</v>
      </c>
      <c r="P206">
        <v>2209</v>
      </c>
      <c r="Q206">
        <v>16</v>
      </c>
      <c r="R206" s="3">
        <f t="shared" si="26"/>
        <v>1.4651845803316256E-2</v>
      </c>
      <c r="S206">
        <v>56</v>
      </c>
      <c r="T206" t="str">
        <f t="shared" si="27"/>
        <v>Short</v>
      </c>
    </row>
    <row r="207" spans="1:20" ht="18.75" customHeight="1" x14ac:dyDescent="0.35">
      <c r="A207" t="s">
        <v>852</v>
      </c>
      <c r="B207" t="s">
        <v>2582</v>
      </c>
      <c r="C207" t="s">
        <v>11</v>
      </c>
      <c r="D207" s="2" t="s">
        <v>853</v>
      </c>
      <c r="E207" s="2">
        <f t="shared" si="22"/>
        <v>45828</v>
      </c>
      <c r="F207" s="4">
        <f t="shared" si="23"/>
        <v>2025</v>
      </c>
      <c r="G207" t="str">
        <f t="shared" si="24"/>
        <v>June</v>
      </c>
      <c r="H207" t="str">
        <f t="shared" si="25"/>
        <v>2025-06</v>
      </c>
      <c r="I207" s="4">
        <f t="shared" ca="1" si="21"/>
        <v>96</v>
      </c>
      <c r="J207" t="s">
        <v>854</v>
      </c>
      <c r="K207" t="s">
        <v>855</v>
      </c>
      <c r="L207" t="s">
        <v>29</v>
      </c>
      <c r="M207">
        <v>24</v>
      </c>
      <c r="N207" t="str">
        <f>VLOOKUP(M207, CategoryMap!$A$2:$B$100, 2, FALSE)</f>
        <v>Entertainment</v>
      </c>
      <c r="O207">
        <v>18092</v>
      </c>
      <c r="P207">
        <v>1931</v>
      </c>
      <c r="Q207">
        <v>30</v>
      </c>
      <c r="R207" s="3">
        <f t="shared" si="26"/>
        <v>0.10839044881715676</v>
      </c>
      <c r="S207">
        <v>28</v>
      </c>
      <c r="T207" t="str">
        <f t="shared" si="27"/>
        <v>Short</v>
      </c>
    </row>
    <row r="208" spans="1:20" ht="18.75" customHeight="1" x14ac:dyDescent="0.35">
      <c r="A208" t="s">
        <v>856</v>
      </c>
      <c r="B208" t="s">
        <v>2583</v>
      </c>
      <c r="C208" t="s">
        <v>11</v>
      </c>
      <c r="D208" s="2" t="s">
        <v>857</v>
      </c>
      <c r="E208" s="2">
        <f t="shared" si="22"/>
        <v>45808</v>
      </c>
      <c r="F208" s="4">
        <f t="shared" si="23"/>
        <v>2025</v>
      </c>
      <c r="G208" t="str">
        <f t="shared" si="24"/>
        <v>May</v>
      </c>
      <c r="H208" t="str">
        <f t="shared" si="25"/>
        <v>2025-05</v>
      </c>
      <c r="I208" s="4">
        <f t="shared" ca="1" si="21"/>
        <v>116</v>
      </c>
      <c r="J208" t="s">
        <v>858</v>
      </c>
      <c r="K208" t="s">
        <v>859</v>
      </c>
      <c r="L208" t="s">
        <v>29</v>
      </c>
      <c r="M208">
        <v>23</v>
      </c>
      <c r="N208" t="str">
        <f>VLOOKUP(M208, CategoryMap!$A$2:$B$100, 2, FALSE)</f>
        <v>Comedy</v>
      </c>
      <c r="O208">
        <v>1114228</v>
      </c>
      <c r="P208">
        <v>30659</v>
      </c>
      <c r="Q208">
        <v>431</v>
      </c>
      <c r="R208" s="3">
        <f t="shared" si="26"/>
        <v>2.79027272694637E-2</v>
      </c>
      <c r="S208">
        <v>49</v>
      </c>
      <c r="T208" t="str">
        <f t="shared" si="27"/>
        <v>Short</v>
      </c>
    </row>
    <row r="209" spans="1:20" ht="18.75" customHeight="1" x14ac:dyDescent="0.35">
      <c r="A209" t="s">
        <v>860</v>
      </c>
      <c r="B209" t="s">
        <v>2584</v>
      </c>
      <c r="C209" t="s">
        <v>11</v>
      </c>
      <c r="D209" s="2" t="s">
        <v>861</v>
      </c>
      <c r="E209" s="2">
        <f t="shared" si="22"/>
        <v>45828</v>
      </c>
      <c r="F209" s="4">
        <f t="shared" si="23"/>
        <v>2025</v>
      </c>
      <c r="G209" t="str">
        <f t="shared" si="24"/>
        <v>June</v>
      </c>
      <c r="H209" t="str">
        <f t="shared" si="25"/>
        <v>2025-06</v>
      </c>
      <c r="I209" s="4">
        <f t="shared" ca="1" si="21"/>
        <v>96</v>
      </c>
      <c r="J209" t="s">
        <v>862</v>
      </c>
      <c r="K209" t="s">
        <v>863</v>
      </c>
      <c r="L209" t="s">
        <v>29</v>
      </c>
      <c r="M209">
        <v>28</v>
      </c>
      <c r="N209" t="str">
        <f>VLOOKUP(M209, CategoryMap!$A$2:$B$100, 2, FALSE)</f>
        <v>Science &amp; Technology</v>
      </c>
      <c r="O209">
        <v>834</v>
      </c>
      <c r="P209">
        <v>34</v>
      </c>
      <c r="Q209">
        <v>2</v>
      </c>
      <c r="R209" s="3">
        <f t="shared" si="26"/>
        <v>4.3165467625899283E-2</v>
      </c>
      <c r="S209">
        <v>35</v>
      </c>
      <c r="T209" t="str">
        <f t="shared" si="27"/>
        <v>Short</v>
      </c>
    </row>
    <row r="210" spans="1:20" ht="18.75" customHeight="1" x14ac:dyDescent="0.35">
      <c r="A210" t="s">
        <v>864</v>
      </c>
      <c r="B210" t="s">
        <v>2585</v>
      </c>
      <c r="C210" t="s">
        <v>11</v>
      </c>
      <c r="D210" s="2" t="s">
        <v>865</v>
      </c>
      <c r="E210" s="2">
        <f t="shared" si="22"/>
        <v>45802</v>
      </c>
      <c r="F210" s="4">
        <f t="shared" si="23"/>
        <v>2025</v>
      </c>
      <c r="G210" t="str">
        <f t="shared" si="24"/>
        <v>May</v>
      </c>
      <c r="H210" t="str">
        <f t="shared" si="25"/>
        <v>2025-05</v>
      </c>
      <c r="I210" s="4">
        <f t="shared" ca="1" si="21"/>
        <v>122</v>
      </c>
      <c r="J210" t="s">
        <v>866</v>
      </c>
      <c r="K210" t="s">
        <v>867</v>
      </c>
      <c r="L210" t="s">
        <v>29</v>
      </c>
      <c r="M210">
        <v>28</v>
      </c>
      <c r="N210" t="str">
        <f>VLOOKUP(M210, CategoryMap!$A$2:$B$100, 2, FALSE)</f>
        <v>Science &amp; Technology</v>
      </c>
      <c r="O210">
        <v>33896</v>
      </c>
      <c r="P210">
        <v>356</v>
      </c>
      <c r="Q210">
        <v>4</v>
      </c>
      <c r="R210" s="3">
        <f t="shared" si="26"/>
        <v>1.062072220911022E-2</v>
      </c>
      <c r="S210">
        <v>13</v>
      </c>
      <c r="T210" t="str">
        <f t="shared" si="27"/>
        <v>Short</v>
      </c>
    </row>
    <row r="211" spans="1:20" ht="18.75" customHeight="1" x14ac:dyDescent="0.35">
      <c r="A211" t="s">
        <v>868</v>
      </c>
      <c r="B211" t="s">
        <v>2586</v>
      </c>
      <c r="C211" t="s">
        <v>11</v>
      </c>
      <c r="D211" s="2" t="s">
        <v>869</v>
      </c>
      <c r="E211" s="2">
        <f t="shared" si="22"/>
        <v>45745</v>
      </c>
      <c r="F211" s="4">
        <f t="shared" si="23"/>
        <v>2025</v>
      </c>
      <c r="G211" t="str">
        <f t="shared" si="24"/>
        <v>March</v>
      </c>
      <c r="H211" t="str">
        <f t="shared" si="25"/>
        <v>2025-03</v>
      </c>
      <c r="I211" s="4">
        <f t="shared" ca="1" si="21"/>
        <v>179</v>
      </c>
      <c r="J211" t="s">
        <v>870</v>
      </c>
      <c r="K211" t="s">
        <v>871</v>
      </c>
      <c r="L211" t="s">
        <v>29</v>
      </c>
      <c r="M211">
        <v>26</v>
      </c>
      <c r="N211" t="str">
        <f>VLOOKUP(M211, CategoryMap!$A$2:$B$100, 2, FALSE)</f>
        <v>Howto &amp; Style</v>
      </c>
      <c r="O211">
        <v>93123</v>
      </c>
      <c r="P211">
        <v>1651</v>
      </c>
      <c r="Q211">
        <v>23</v>
      </c>
      <c r="R211" s="3">
        <f t="shared" si="26"/>
        <v>1.7976224992751522E-2</v>
      </c>
      <c r="S211">
        <v>13</v>
      </c>
      <c r="T211" t="str">
        <f t="shared" si="27"/>
        <v>Short</v>
      </c>
    </row>
    <row r="212" spans="1:20" ht="18.75" customHeight="1" x14ac:dyDescent="0.35">
      <c r="A212" t="s">
        <v>872</v>
      </c>
      <c r="B212" t="s">
        <v>2587</v>
      </c>
      <c r="C212" t="s">
        <v>3071</v>
      </c>
      <c r="D212" s="2" t="s">
        <v>873</v>
      </c>
      <c r="E212" s="2">
        <f t="shared" si="22"/>
        <v>45517</v>
      </c>
      <c r="F212" s="4">
        <f t="shared" si="23"/>
        <v>2024</v>
      </c>
      <c r="G212" t="str">
        <f t="shared" si="24"/>
        <v>August</v>
      </c>
      <c r="H212" t="str">
        <f t="shared" si="25"/>
        <v>2024-08</v>
      </c>
      <c r="I212" s="4">
        <f t="shared" ca="1" si="21"/>
        <v>407</v>
      </c>
      <c r="J212" t="s">
        <v>874</v>
      </c>
      <c r="K212" t="s">
        <v>875</v>
      </c>
      <c r="L212" t="s">
        <v>29</v>
      </c>
      <c r="M212">
        <v>22</v>
      </c>
      <c r="N212" t="str">
        <f>VLOOKUP(M212, CategoryMap!$A$2:$B$100, 2, FALSE)</f>
        <v>People &amp; Blogs</v>
      </c>
      <c r="O212">
        <v>31019</v>
      </c>
      <c r="P212">
        <v>641</v>
      </c>
      <c r="Q212">
        <v>9</v>
      </c>
      <c r="R212" s="3">
        <f t="shared" si="26"/>
        <v>2.095489861052903E-2</v>
      </c>
      <c r="S212">
        <v>28</v>
      </c>
      <c r="T212" t="str">
        <f t="shared" si="27"/>
        <v>Short</v>
      </c>
    </row>
    <row r="213" spans="1:20" ht="18.75" customHeight="1" x14ac:dyDescent="0.35">
      <c r="A213" t="s">
        <v>876</v>
      </c>
      <c r="B213" t="s">
        <v>2588</v>
      </c>
      <c r="C213" t="s">
        <v>11</v>
      </c>
      <c r="D213" s="2" t="s">
        <v>877</v>
      </c>
      <c r="E213" s="2">
        <f t="shared" si="22"/>
        <v>44734</v>
      </c>
      <c r="F213" s="4">
        <f t="shared" si="23"/>
        <v>2022</v>
      </c>
      <c r="G213" t="str">
        <f t="shared" si="24"/>
        <v>June</v>
      </c>
      <c r="H213" t="str">
        <f t="shared" si="25"/>
        <v>2022-06</v>
      </c>
      <c r="I213" s="4">
        <f t="shared" ca="1" si="21"/>
        <v>1190</v>
      </c>
      <c r="J213" t="s">
        <v>878</v>
      </c>
      <c r="K213" t="s">
        <v>879</v>
      </c>
      <c r="L213" t="s">
        <v>29</v>
      </c>
      <c r="M213">
        <v>28</v>
      </c>
      <c r="N213" t="str">
        <f>VLOOKUP(M213, CategoryMap!$A$2:$B$100, 2, FALSE)</f>
        <v>Science &amp; Technology</v>
      </c>
      <c r="O213">
        <v>575179</v>
      </c>
      <c r="P213">
        <v>34041</v>
      </c>
      <c r="Q213">
        <v>416</v>
      </c>
      <c r="R213" s="3">
        <f t="shared" si="26"/>
        <v>5.9906568216155316E-2</v>
      </c>
      <c r="S213">
        <v>33</v>
      </c>
      <c r="T213" t="str">
        <f t="shared" si="27"/>
        <v>Short</v>
      </c>
    </row>
    <row r="214" spans="1:20" ht="18.75" customHeight="1" x14ac:dyDescent="0.35">
      <c r="A214" t="s">
        <v>880</v>
      </c>
      <c r="B214" t="s">
        <v>2589</v>
      </c>
      <c r="C214" t="s">
        <v>11</v>
      </c>
      <c r="D214" s="2" t="s">
        <v>881</v>
      </c>
      <c r="E214" s="2">
        <f t="shared" si="22"/>
        <v>44788</v>
      </c>
      <c r="F214" s="4">
        <f t="shared" si="23"/>
        <v>2022</v>
      </c>
      <c r="G214" t="str">
        <f t="shared" si="24"/>
        <v>August</v>
      </c>
      <c r="H214" t="str">
        <f t="shared" si="25"/>
        <v>2022-08</v>
      </c>
      <c r="I214" s="4">
        <f t="shared" ca="1" si="21"/>
        <v>1136</v>
      </c>
      <c r="J214" t="s">
        <v>882</v>
      </c>
      <c r="K214" t="s">
        <v>883</v>
      </c>
      <c r="L214" t="s">
        <v>29</v>
      </c>
      <c r="M214">
        <v>28</v>
      </c>
      <c r="N214" t="str">
        <f>VLOOKUP(M214, CategoryMap!$A$2:$B$100, 2, FALSE)</f>
        <v>Science &amp; Technology</v>
      </c>
      <c r="O214">
        <v>13685431</v>
      </c>
      <c r="P214">
        <v>270922</v>
      </c>
      <c r="Q214">
        <v>196</v>
      </c>
      <c r="R214" s="3">
        <f t="shared" si="26"/>
        <v>1.9810702344705111E-2</v>
      </c>
      <c r="S214">
        <v>16</v>
      </c>
      <c r="T214" t="str">
        <f t="shared" si="27"/>
        <v>Short</v>
      </c>
    </row>
    <row r="215" spans="1:20" ht="18.75" customHeight="1" x14ac:dyDescent="0.35">
      <c r="A215" t="s">
        <v>884</v>
      </c>
      <c r="B215" t="s">
        <v>2590</v>
      </c>
      <c r="C215" t="s">
        <v>3072</v>
      </c>
      <c r="D215" s="2" t="s">
        <v>885</v>
      </c>
      <c r="E215" s="2">
        <f t="shared" si="22"/>
        <v>45401</v>
      </c>
      <c r="F215" s="4">
        <f t="shared" si="23"/>
        <v>2024</v>
      </c>
      <c r="G215" t="str">
        <f t="shared" si="24"/>
        <v>April</v>
      </c>
      <c r="H215" t="str">
        <f t="shared" si="25"/>
        <v>2024-04</v>
      </c>
      <c r="I215" s="4">
        <f t="shared" ca="1" si="21"/>
        <v>523</v>
      </c>
      <c r="J215" t="s">
        <v>475</v>
      </c>
      <c r="K215" t="s">
        <v>476</v>
      </c>
      <c r="L215" t="s">
        <v>477</v>
      </c>
      <c r="M215">
        <v>24</v>
      </c>
      <c r="N215" t="str">
        <f>VLOOKUP(M215, CategoryMap!$A$2:$B$100, 2, FALSE)</f>
        <v>Entertainment</v>
      </c>
      <c r="O215">
        <v>27525386</v>
      </c>
      <c r="P215">
        <v>497044</v>
      </c>
      <c r="Q215">
        <v>368</v>
      </c>
      <c r="R215" s="3">
        <f t="shared" si="26"/>
        <v>1.8071027232824274E-2</v>
      </c>
      <c r="S215">
        <v>18</v>
      </c>
      <c r="T215" t="str">
        <f t="shared" si="27"/>
        <v>Short</v>
      </c>
    </row>
    <row r="216" spans="1:20" ht="18.75" customHeight="1" x14ac:dyDescent="0.35">
      <c r="A216" t="s">
        <v>886</v>
      </c>
      <c r="B216" t="s">
        <v>2591</v>
      </c>
      <c r="C216" t="s">
        <v>11</v>
      </c>
      <c r="D216" s="2" t="s">
        <v>887</v>
      </c>
      <c r="E216" s="2">
        <f t="shared" si="22"/>
        <v>45825</v>
      </c>
      <c r="F216" s="4">
        <f t="shared" si="23"/>
        <v>2025</v>
      </c>
      <c r="G216" t="str">
        <f t="shared" si="24"/>
        <v>June</v>
      </c>
      <c r="H216" t="str">
        <f t="shared" si="25"/>
        <v>2025-06</v>
      </c>
      <c r="I216" s="4">
        <f t="shared" ca="1" si="21"/>
        <v>99</v>
      </c>
      <c r="J216" t="s">
        <v>888</v>
      </c>
      <c r="K216" t="s">
        <v>889</v>
      </c>
      <c r="L216" t="s">
        <v>29</v>
      </c>
      <c r="M216">
        <v>22</v>
      </c>
      <c r="N216" t="str">
        <f>VLOOKUP(M216, CategoryMap!$A$2:$B$100, 2, FALSE)</f>
        <v>People &amp; Blogs</v>
      </c>
      <c r="O216">
        <v>10879</v>
      </c>
      <c r="P216">
        <v>288</v>
      </c>
      <c r="Q216">
        <v>1</v>
      </c>
      <c r="R216" s="3">
        <f t="shared" si="26"/>
        <v>2.6564941630664585E-2</v>
      </c>
      <c r="S216">
        <v>33</v>
      </c>
      <c r="T216" t="str">
        <f t="shared" si="27"/>
        <v>Short</v>
      </c>
    </row>
    <row r="217" spans="1:20" ht="18.75" customHeight="1" x14ac:dyDescent="0.35">
      <c r="A217" t="s">
        <v>890</v>
      </c>
      <c r="B217" t="s">
        <v>2592</v>
      </c>
      <c r="C217" t="s">
        <v>3073</v>
      </c>
      <c r="D217" s="2" t="s">
        <v>891</v>
      </c>
      <c r="E217" s="2">
        <f t="shared" si="22"/>
        <v>45270</v>
      </c>
      <c r="F217" s="4">
        <f t="shared" si="23"/>
        <v>2023</v>
      </c>
      <c r="G217" t="str">
        <f t="shared" si="24"/>
        <v>December</v>
      </c>
      <c r="H217" t="str">
        <f t="shared" si="25"/>
        <v>2023-12</v>
      </c>
      <c r="I217" s="4">
        <f t="shared" ca="1" si="21"/>
        <v>654</v>
      </c>
      <c r="J217" t="s">
        <v>892</v>
      </c>
      <c r="K217" t="s">
        <v>893</v>
      </c>
      <c r="L217" t="s">
        <v>29</v>
      </c>
      <c r="M217">
        <v>28</v>
      </c>
      <c r="N217" t="str">
        <f>VLOOKUP(M217, CategoryMap!$A$2:$B$100, 2, FALSE)</f>
        <v>Science &amp; Technology</v>
      </c>
      <c r="O217">
        <v>6364411</v>
      </c>
      <c r="P217">
        <v>397647</v>
      </c>
      <c r="Q217">
        <v>1998</v>
      </c>
      <c r="R217" s="3">
        <f t="shared" si="26"/>
        <v>6.2793713353835878E-2</v>
      </c>
      <c r="S217">
        <v>46</v>
      </c>
      <c r="T217" t="str">
        <f t="shared" si="27"/>
        <v>Short</v>
      </c>
    </row>
    <row r="218" spans="1:20" ht="18.75" customHeight="1" x14ac:dyDescent="0.35">
      <c r="A218" t="s">
        <v>894</v>
      </c>
      <c r="B218" t="s">
        <v>895</v>
      </c>
      <c r="C218" t="s">
        <v>896</v>
      </c>
      <c r="D218" s="2" t="s">
        <v>897</v>
      </c>
      <c r="E218" s="2">
        <f t="shared" si="22"/>
        <v>44789</v>
      </c>
      <c r="F218" s="4">
        <f t="shared" si="23"/>
        <v>2022</v>
      </c>
      <c r="G218" t="str">
        <f t="shared" si="24"/>
        <v>August</v>
      </c>
      <c r="H218" t="str">
        <f t="shared" si="25"/>
        <v>2022-08</v>
      </c>
      <c r="I218" s="4">
        <f t="shared" ca="1" si="21"/>
        <v>1135</v>
      </c>
      <c r="J218" t="s">
        <v>898</v>
      </c>
      <c r="K218" t="s">
        <v>899</v>
      </c>
      <c r="L218" t="s">
        <v>900</v>
      </c>
      <c r="M218">
        <v>20</v>
      </c>
      <c r="N218" t="str">
        <f>VLOOKUP(M218, CategoryMap!$A$2:$B$100, 2, FALSE)</f>
        <v>Gaming</v>
      </c>
      <c r="O218">
        <v>1641762</v>
      </c>
      <c r="P218">
        <v>32562</v>
      </c>
      <c r="Q218">
        <v>229</v>
      </c>
      <c r="R218" s="3">
        <f t="shared" si="26"/>
        <v>1.9973053341470932E-2</v>
      </c>
      <c r="S218">
        <v>13</v>
      </c>
      <c r="T218" t="str">
        <f t="shared" si="27"/>
        <v>Short</v>
      </c>
    </row>
    <row r="219" spans="1:20" ht="18.75" customHeight="1" x14ac:dyDescent="0.35">
      <c r="A219" t="s">
        <v>901</v>
      </c>
      <c r="B219" t="s">
        <v>2593</v>
      </c>
      <c r="C219" t="s">
        <v>3074</v>
      </c>
      <c r="D219" s="2" t="s">
        <v>902</v>
      </c>
      <c r="E219" s="2">
        <f t="shared" si="22"/>
        <v>45534</v>
      </c>
      <c r="F219" s="4">
        <f t="shared" si="23"/>
        <v>2024</v>
      </c>
      <c r="G219" t="str">
        <f t="shared" si="24"/>
        <v>August</v>
      </c>
      <c r="H219" t="str">
        <f t="shared" si="25"/>
        <v>2024-08</v>
      </c>
      <c r="I219" s="4">
        <f t="shared" ca="1" si="21"/>
        <v>390</v>
      </c>
      <c r="J219" t="s">
        <v>903</v>
      </c>
      <c r="K219" t="s">
        <v>904</v>
      </c>
      <c r="L219" t="s">
        <v>905</v>
      </c>
      <c r="M219">
        <v>19</v>
      </c>
      <c r="N219" t="str">
        <f>VLOOKUP(M219, CategoryMap!$A$2:$B$100, 2, FALSE)</f>
        <v>Travel &amp; Events</v>
      </c>
      <c r="O219">
        <v>1098976</v>
      </c>
      <c r="P219">
        <v>22710</v>
      </c>
      <c r="Q219">
        <v>1533</v>
      </c>
      <c r="R219" s="3">
        <f t="shared" si="26"/>
        <v>2.2059626415863495E-2</v>
      </c>
      <c r="S219">
        <v>16</v>
      </c>
      <c r="T219" t="str">
        <f t="shared" si="27"/>
        <v>Short</v>
      </c>
    </row>
    <row r="220" spans="1:20" ht="18.75" customHeight="1" x14ac:dyDescent="0.35">
      <c r="A220" t="s">
        <v>906</v>
      </c>
      <c r="B220" t="s">
        <v>2594</v>
      </c>
      <c r="C220" t="s">
        <v>3075</v>
      </c>
      <c r="D220" s="2" t="s">
        <v>907</v>
      </c>
      <c r="E220" s="2">
        <f t="shared" si="22"/>
        <v>45558</v>
      </c>
      <c r="F220" s="4">
        <f t="shared" si="23"/>
        <v>2024</v>
      </c>
      <c r="G220" t="str">
        <f t="shared" si="24"/>
        <v>September</v>
      </c>
      <c r="H220" t="str">
        <f t="shared" si="25"/>
        <v>2024-09</v>
      </c>
      <c r="I220" s="4">
        <f t="shared" ca="1" si="21"/>
        <v>366</v>
      </c>
      <c r="J220" t="s">
        <v>129</v>
      </c>
      <c r="K220" t="s">
        <v>130</v>
      </c>
      <c r="L220" t="s">
        <v>908</v>
      </c>
      <c r="M220">
        <v>28</v>
      </c>
      <c r="N220" t="str">
        <f>VLOOKUP(M220, CategoryMap!$A$2:$B$100, 2, FALSE)</f>
        <v>Science &amp; Technology</v>
      </c>
      <c r="O220">
        <v>17865523</v>
      </c>
      <c r="P220">
        <v>111064</v>
      </c>
      <c r="Q220">
        <v>386</v>
      </c>
      <c r="R220" s="3">
        <f t="shared" si="26"/>
        <v>6.2382724535967968E-3</v>
      </c>
      <c r="S220">
        <v>9</v>
      </c>
      <c r="T220" t="str">
        <f t="shared" si="27"/>
        <v>Short</v>
      </c>
    </row>
    <row r="221" spans="1:20" ht="18.75" customHeight="1" x14ac:dyDescent="0.35">
      <c r="A221" t="s">
        <v>909</v>
      </c>
      <c r="B221" t="s">
        <v>2595</v>
      </c>
      <c r="C221" t="s">
        <v>3076</v>
      </c>
      <c r="D221" s="2" t="s">
        <v>910</v>
      </c>
      <c r="E221" s="2">
        <f t="shared" si="22"/>
        <v>45822</v>
      </c>
      <c r="F221" s="4">
        <f t="shared" si="23"/>
        <v>2025</v>
      </c>
      <c r="G221" t="str">
        <f t="shared" si="24"/>
        <v>June</v>
      </c>
      <c r="H221" t="str">
        <f t="shared" si="25"/>
        <v>2025-06</v>
      </c>
      <c r="I221" s="4">
        <f t="shared" ca="1" si="21"/>
        <v>102</v>
      </c>
      <c r="J221" t="s">
        <v>419</v>
      </c>
      <c r="K221" t="s">
        <v>420</v>
      </c>
      <c r="L221" t="s">
        <v>29</v>
      </c>
      <c r="M221">
        <v>22</v>
      </c>
      <c r="N221" t="str">
        <f>VLOOKUP(M221, CategoryMap!$A$2:$B$100, 2, FALSE)</f>
        <v>People &amp; Blogs</v>
      </c>
      <c r="O221">
        <v>3788496</v>
      </c>
      <c r="P221">
        <v>17035</v>
      </c>
      <c r="Q221">
        <v>55</v>
      </c>
      <c r="R221" s="3">
        <f t="shared" si="26"/>
        <v>4.5110249555496426E-3</v>
      </c>
      <c r="S221">
        <v>11</v>
      </c>
      <c r="T221" t="str">
        <f t="shared" si="27"/>
        <v>Short</v>
      </c>
    </row>
    <row r="222" spans="1:20" ht="18.75" customHeight="1" x14ac:dyDescent="0.35">
      <c r="A222" t="s">
        <v>911</v>
      </c>
      <c r="B222" t="s">
        <v>2596</v>
      </c>
      <c r="C222" t="s">
        <v>3077</v>
      </c>
      <c r="D222" s="2" t="s">
        <v>912</v>
      </c>
      <c r="E222" s="2">
        <f t="shared" si="22"/>
        <v>45827</v>
      </c>
      <c r="F222" s="4">
        <f t="shared" si="23"/>
        <v>2025</v>
      </c>
      <c r="G222" t="str">
        <f t="shared" si="24"/>
        <v>June</v>
      </c>
      <c r="H222" t="str">
        <f t="shared" si="25"/>
        <v>2025-06</v>
      </c>
      <c r="I222" s="4">
        <f t="shared" ca="1" si="21"/>
        <v>97</v>
      </c>
      <c r="J222" t="s">
        <v>559</v>
      </c>
      <c r="K222" t="s">
        <v>560</v>
      </c>
      <c r="L222" t="s">
        <v>913</v>
      </c>
      <c r="M222">
        <v>28</v>
      </c>
      <c r="N222" t="str">
        <f>VLOOKUP(M222, CategoryMap!$A$2:$B$100, 2, FALSE)</f>
        <v>Science &amp; Technology</v>
      </c>
      <c r="O222">
        <v>55101</v>
      </c>
      <c r="P222">
        <v>1147</v>
      </c>
      <c r="Q222">
        <v>10</v>
      </c>
      <c r="R222" s="3">
        <f t="shared" si="26"/>
        <v>2.0997804032594689E-2</v>
      </c>
      <c r="S222">
        <v>57</v>
      </c>
      <c r="T222" t="str">
        <f t="shared" si="27"/>
        <v>Short</v>
      </c>
    </row>
    <row r="223" spans="1:20" ht="18.75" customHeight="1" x14ac:dyDescent="0.35">
      <c r="A223" t="s">
        <v>914</v>
      </c>
      <c r="B223" t="s">
        <v>2597</v>
      </c>
      <c r="C223" t="s">
        <v>3078</v>
      </c>
      <c r="D223" s="2" t="s">
        <v>915</v>
      </c>
      <c r="E223" s="2">
        <f t="shared" si="22"/>
        <v>44864</v>
      </c>
      <c r="F223" s="4">
        <f t="shared" si="23"/>
        <v>2022</v>
      </c>
      <c r="G223" t="str">
        <f t="shared" si="24"/>
        <v>October</v>
      </c>
      <c r="H223" t="str">
        <f t="shared" si="25"/>
        <v>2022-10</v>
      </c>
      <c r="I223" s="4">
        <f t="shared" ca="1" si="21"/>
        <v>1060</v>
      </c>
      <c r="J223" t="s">
        <v>916</v>
      </c>
      <c r="K223" t="s">
        <v>917</v>
      </c>
      <c r="L223" t="s">
        <v>29</v>
      </c>
      <c r="M223">
        <v>24</v>
      </c>
      <c r="N223" t="str">
        <f>VLOOKUP(M223, CategoryMap!$A$2:$B$100, 2, FALSE)</f>
        <v>Entertainment</v>
      </c>
      <c r="O223">
        <v>45651610</v>
      </c>
      <c r="P223">
        <v>539531</v>
      </c>
      <c r="Q223">
        <v>1131</v>
      </c>
      <c r="R223" s="3">
        <f t="shared" si="26"/>
        <v>1.1843218672901131E-2</v>
      </c>
      <c r="S223">
        <v>11</v>
      </c>
      <c r="T223" t="str">
        <f t="shared" si="27"/>
        <v>Short</v>
      </c>
    </row>
    <row r="224" spans="1:20" ht="18.75" customHeight="1" x14ac:dyDescent="0.35">
      <c r="A224" t="s">
        <v>918</v>
      </c>
      <c r="B224" t="s">
        <v>2598</v>
      </c>
      <c r="C224" t="s">
        <v>3079</v>
      </c>
      <c r="D224" s="2" t="s">
        <v>919</v>
      </c>
      <c r="E224" s="2">
        <f t="shared" si="22"/>
        <v>45668</v>
      </c>
      <c r="F224" s="4">
        <f t="shared" si="23"/>
        <v>2025</v>
      </c>
      <c r="G224" t="str">
        <f t="shared" si="24"/>
        <v>January</v>
      </c>
      <c r="H224" t="str">
        <f t="shared" si="25"/>
        <v>2025-01</v>
      </c>
      <c r="I224" s="4">
        <f t="shared" ca="1" si="21"/>
        <v>256</v>
      </c>
      <c r="J224" t="s">
        <v>920</v>
      </c>
      <c r="K224" t="s">
        <v>921</v>
      </c>
      <c r="L224" t="s">
        <v>922</v>
      </c>
      <c r="M224">
        <v>28</v>
      </c>
      <c r="N224" t="str">
        <f>VLOOKUP(M224, CategoryMap!$A$2:$B$100, 2, FALSE)</f>
        <v>Science &amp; Technology</v>
      </c>
      <c r="O224">
        <v>2579189</v>
      </c>
      <c r="P224">
        <v>34586</v>
      </c>
      <c r="Q224">
        <v>1354</v>
      </c>
      <c r="R224" s="3">
        <f t="shared" si="26"/>
        <v>1.393461277944346E-2</v>
      </c>
      <c r="S224">
        <v>11</v>
      </c>
      <c r="T224" t="str">
        <f t="shared" si="27"/>
        <v>Short</v>
      </c>
    </row>
    <row r="225" spans="1:20" ht="18.75" customHeight="1" x14ac:dyDescent="0.35">
      <c r="A225" t="s">
        <v>923</v>
      </c>
      <c r="B225" t="s">
        <v>2599</v>
      </c>
      <c r="C225" t="s">
        <v>11</v>
      </c>
      <c r="D225" s="2" t="s">
        <v>924</v>
      </c>
      <c r="E225" s="2">
        <f t="shared" si="22"/>
        <v>45623</v>
      </c>
      <c r="F225" s="4">
        <f t="shared" si="23"/>
        <v>2024</v>
      </c>
      <c r="G225" t="str">
        <f t="shared" si="24"/>
        <v>November</v>
      </c>
      <c r="H225" t="str">
        <f t="shared" si="25"/>
        <v>2024-11</v>
      </c>
      <c r="I225" s="4">
        <f t="shared" ca="1" si="21"/>
        <v>301</v>
      </c>
      <c r="J225" t="s">
        <v>846</v>
      </c>
      <c r="K225" t="s">
        <v>847</v>
      </c>
      <c r="L225" t="s">
        <v>29</v>
      </c>
      <c r="M225">
        <v>28</v>
      </c>
      <c r="N225" t="str">
        <f>VLOOKUP(M225, CategoryMap!$A$2:$B$100, 2, FALSE)</f>
        <v>Science &amp; Technology</v>
      </c>
      <c r="O225">
        <v>4968028</v>
      </c>
      <c r="P225">
        <v>217464.60837887001</v>
      </c>
      <c r="Q225">
        <v>319</v>
      </c>
      <c r="R225" s="3">
        <f t="shared" si="26"/>
        <v>4.3837033200873669E-2</v>
      </c>
      <c r="S225">
        <v>53</v>
      </c>
      <c r="T225" t="str">
        <f t="shared" si="27"/>
        <v>Short</v>
      </c>
    </row>
    <row r="226" spans="1:20" ht="18.75" customHeight="1" x14ac:dyDescent="0.35">
      <c r="A226" t="s">
        <v>925</v>
      </c>
      <c r="B226" t="s">
        <v>2600</v>
      </c>
      <c r="C226" t="s">
        <v>11</v>
      </c>
      <c r="D226" s="2" t="s">
        <v>926</v>
      </c>
      <c r="E226" s="2">
        <f t="shared" si="22"/>
        <v>45597</v>
      </c>
      <c r="F226" s="4">
        <f t="shared" si="23"/>
        <v>2024</v>
      </c>
      <c r="G226" t="str">
        <f t="shared" si="24"/>
        <v>November</v>
      </c>
      <c r="H226" t="str">
        <f t="shared" si="25"/>
        <v>2024-11</v>
      </c>
      <c r="I226" s="4">
        <f t="shared" ca="1" si="21"/>
        <v>327</v>
      </c>
      <c r="J226" t="s">
        <v>544</v>
      </c>
      <c r="K226" t="s">
        <v>545</v>
      </c>
      <c r="L226" t="s">
        <v>29</v>
      </c>
      <c r="M226">
        <v>28</v>
      </c>
      <c r="N226" t="str">
        <f>VLOOKUP(M226, CategoryMap!$A$2:$B$100, 2, FALSE)</f>
        <v>Science &amp; Technology</v>
      </c>
      <c r="O226">
        <v>50906587</v>
      </c>
      <c r="P226">
        <v>998999</v>
      </c>
      <c r="Q226">
        <v>620</v>
      </c>
      <c r="R226" s="3">
        <f t="shared" si="26"/>
        <v>1.9636339006580818E-2</v>
      </c>
      <c r="S226">
        <v>53</v>
      </c>
      <c r="T226" t="str">
        <f t="shared" si="27"/>
        <v>Short</v>
      </c>
    </row>
    <row r="227" spans="1:20" ht="18.75" customHeight="1" x14ac:dyDescent="0.35">
      <c r="A227" t="s">
        <v>927</v>
      </c>
      <c r="B227" t="s">
        <v>2601</v>
      </c>
      <c r="C227" t="s">
        <v>3080</v>
      </c>
      <c r="D227" s="2" t="s">
        <v>928</v>
      </c>
      <c r="E227" s="2">
        <f t="shared" si="22"/>
        <v>45043</v>
      </c>
      <c r="F227" s="4">
        <f t="shared" si="23"/>
        <v>2023</v>
      </c>
      <c r="G227" t="str">
        <f t="shared" si="24"/>
        <v>April</v>
      </c>
      <c r="H227" t="str">
        <f t="shared" si="25"/>
        <v>2023-04</v>
      </c>
      <c r="I227" s="4">
        <f t="shared" ca="1" si="21"/>
        <v>881</v>
      </c>
      <c r="J227" t="s">
        <v>524</v>
      </c>
      <c r="K227" t="s">
        <v>525</v>
      </c>
      <c r="L227" t="s">
        <v>929</v>
      </c>
      <c r="M227">
        <v>28</v>
      </c>
      <c r="N227" t="str">
        <f>VLOOKUP(M227, CategoryMap!$A$2:$B$100, 2, FALSE)</f>
        <v>Science &amp; Technology</v>
      </c>
      <c r="O227">
        <v>11344336</v>
      </c>
      <c r="P227">
        <v>660990</v>
      </c>
      <c r="Q227">
        <v>577</v>
      </c>
      <c r="R227" s="3">
        <f t="shared" si="26"/>
        <v>5.8316943362749479E-2</v>
      </c>
      <c r="S227">
        <v>46</v>
      </c>
      <c r="T227" t="str">
        <f t="shared" si="27"/>
        <v>Short</v>
      </c>
    </row>
    <row r="228" spans="1:20" ht="18.75" customHeight="1" x14ac:dyDescent="0.35">
      <c r="A228" t="s">
        <v>930</v>
      </c>
      <c r="B228" t="s">
        <v>2602</v>
      </c>
      <c r="C228" t="s">
        <v>11</v>
      </c>
      <c r="D228" s="2" t="s">
        <v>931</v>
      </c>
      <c r="E228" s="2">
        <f t="shared" si="22"/>
        <v>45810</v>
      </c>
      <c r="F228" s="4">
        <f t="shared" si="23"/>
        <v>2025</v>
      </c>
      <c r="G228" t="str">
        <f t="shared" si="24"/>
        <v>June</v>
      </c>
      <c r="H228" t="str">
        <f t="shared" si="25"/>
        <v>2025-06</v>
      </c>
      <c r="I228" s="4">
        <f t="shared" ca="1" si="21"/>
        <v>114</v>
      </c>
      <c r="J228" t="s">
        <v>932</v>
      </c>
      <c r="K228" t="s">
        <v>933</v>
      </c>
      <c r="L228" t="s">
        <v>29</v>
      </c>
      <c r="M228">
        <v>28</v>
      </c>
      <c r="N228" t="str">
        <f>VLOOKUP(M228, CategoryMap!$A$2:$B$100, 2, FALSE)</f>
        <v>Science &amp; Technology</v>
      </c>
      <c r="O228">
        <v>474402</v>
      </c>
      <c r="P228">
        <v>13252</v>
      </c>
      <c r="Q228">
        <v>240</v>
      </c>
      <c r="R228" s="3">
        <f t="shared" si="26"/>
        <v>2.844001500836843E-2</v>
      </c>
      <c r="S228">
        <v>47</v>
      </c>
      <c r="T228" t="str">
        <f t="shared" si="27"/>
        <v>Short</v>
      </c>
    </row>
    <row r="229" spans="1:20" ht="18.75" customHeight="1" x14ac:dyDescent="0.35">
      <c r="A229" t="s">
        <v>934</v>
      </c>
      <c r="B229" t="s">
        <v>2603</v>
      </c>
      <c r="C229" t="s">
        <v>3081</v>
      </c>
      <c r="D229" s="2" t="s">
        <v>935</v>
      </c>
      <c r="E229" s="2">
        <f t="shared" si="22"/>
        <v>45550</v>
      </c>
      <c r="F229" s="4">
        <f t="shared" si="23"/>
        <v>2024</v>
      </c>
      <c r="G229" t="str">
        <f t="shared" si="24"/>
        <v>September</v>
      </c>
      <c r="H229" t="str">
        <f t="shared" si="25"/>
        <v>2024-09</v>
      </c>
      <c r="I229" s="4">
        <f t="shared" ca="1" si="21"/>
        <v>374</v>
      </c>
      <c r="J229" t="s">
        <v>936</v>
      </c>
      <c r="K229" t="s">
        <v>937</v>
      </c>
      <c r="L229" t="s">
        <v>938</v>
      </c>
      <c r="M229">
        <v>28</v>
      </c>
      <c r="N229" t="str">
        <f>VLOOKUP(M229, CategoryMap!$A$2:$B$100, 2, FALSE)</f>
        <v>Science &amp; Technology</v>
      </c>
      <c r="O229">
        <v>9205405</v>
      </c>
      <c r="P229">
        <v>350130</v>
      </c>
      <c r="Q229">
        <v>4425</v>
      </c>
      <c r="R229" s="3">
        <f t="shared" si="26"/>
        <v>3.8515958830708699E-2</v>
      </c>
      <c r="S229">
        <v>52</v>
      </c>
      <c r="T229" t="str">
        <f t="shared" si="27"/>
        <v>Short</v>
      </c>
    </row>
    <row r="230" spans="1:20" ht="18.75" customHeight="1" x14ac:dyDescent="0.35">
      <c r="A230" t="s">
        <v>939</v>
      </c>
      <c r="B230" t="s">
        <v>2604</v>
      </c>
      <c r="C230" t="s">
        <v>3082</v>
      </c>
      <c r="D230" s="2" t="s">
        <v>940</v>
      </c>
      <c r="E230" s="2">
        <f t="shared" si="22"/>
        <v>45691</v>
      </c>
      <c r="F230" s="4">
        <f t="shared" si="23"/>
        <v>2025</v>
      </c>
      <c r="G230" t="str">
        <f t="shared" si="24"/>
        <v>February</v>
      </c>
      <c r="H230" t="str">
        <f t="shared" si="25"/>
        <v>2025-02</v>
      </c>
      <c r="I230" s="4">
        <f t="shared" ca="1" si="21"/>
        <v>233</v>
      </c>
      <c r="J230" t="s">
        <v>941</v>
      </c>
      <c r="K230" t="s">
        <v>942</v>
      </c>
      <c r="L230" t="s">
        <v>943</v>
      </c>
      <c r="M230">
        <v>28</v>
      </c>
      <c r="N230" t="str">
        <f>VLOOKUP(M230, CategoryMap!$A$2:$B$100, 2, FALSE)</f>
        <v>Science &amp; Technology</v>
      </c>
      <c r="O230">
        <v>469748</v>
      </c>
      <c r="P230">
        <v>17219</v>
      </c>
      <c r="Q230">
        <v>1011</v>
      </c>
      <c r="R230" s="3">
        <f t="shared" si="26"/>
        <v>3.8808041758559911E-2</v>
      </c>
      <c r="S230">
        <v>45</v>
      </c>
      <c r="T230" t="str">
        <f t="shared" si="27"/>
        <v>Short</v>
      </c>
    </row>
    <row r="231" spans="1:20" ht="18.75" customHeight="1" x14ac:dyDescent="0.35">
      <c r="A231" t="s">
        <v>944</v>
      </c>
      <c r="B231" t="s">
        <v>2605</v>
      </c>
      <c r="C231" t="s">
        <v>3083</v>
      </c>
      <c r="D231" s="2" t="s">
        <v>945</v>
      </c>
      <c r="E231" s="2">
        <f t="shared" si="22"/>
        <v>45668</v>
      </c>
      <c r="F231" s="4">
        <f t="shared" si="23"/>
        <v>2025</v>
      </c>
      <c r="G231" t="str">
        <f t="shared" si="24"/>
        <v>January</v>
      </c>
      <c r="H231" t="str">
        <f t="shared" si="25"/>
        <v>2025-01</v>
      </c>
      <c r="I231" s="4">
        <f t="shared" ca="1" si="21"/>
        <v>256</v>
      </c>
      <c r="J231" t="s">
        <v>946</v>
      </c>
      <c r="K231" t="s">
        <v>947</v>
      </c>
      <c r="L231" t="s">
        <v>948</v>
      </c>
      <c r="M231">
        <v>26</v>
      </c>
      <c r="N231" t="str">
        <f>VLOOKUP(M231, CategoryMap!$A$2:$B$100, 2, FALSE)</f>
        <v>Howto &amp; Style</v>
      </c>
      <c r="O231">
        <v>488542</v>
      </c>
      <c r="P231">
        <v>7253</v>
      </c>
      <c r="Q231">
        <v>154</v>
      </c>
      <c r="R231" s="3">
        <f t="shared" si="26"/>
        <v>1.5161439548697963E-2</v>
      </c>
      <c r="S231">
        <v>813</v>
      </c>
      <c r="T231" t="str">
        <f t="shared" si="27"/>
        <v>Long</v>
      </c>
    </row>
    <row r="232" spans="1:20" ht="18.75" customHeight="1" x14ac:dyDescent="0.35">
      <c r="A232" t="s">
        <v>949</v>
      </c>
      <c r="B232" t="s">
        <v>2606</v>
      </c>
      <c r="C232" t="s">
        <v>3084</v>
      </c>
      <c r="D232" s="2" t="s">
        <v>950</v>
      </c>
      <c r="E232" s="2">
        <f t="shared" si="22"/>
        <v>45489</v>
      </c>
      <c r="F232" s="4">
        <f t="shared" si="23"/>
        <v>2024</v>
      </c>
      <c r="G232" t="str">
        <f t="shared" si="24"/>
        <v>July</v>
      </c>
      <c r="H232" t="str">
        <f t="shared" si="25"/>
        <v>2024-07</v>
      </c>
      <c r="I232" s="4">
        <f t="shared" ca="1" si="21"/>
        <v>435</v>
      </c>
      <c r="J232" t="s">
        <v>470</v>
      </c>
      <c r="K232" t="s">
        <v>471</v>
      </c>
      <c r="L232" t="s">
        <v>951</v>
      </c>
      <c r="M232">
        <v>23</v>
      </c>
      <c r="N232" t="str">
        <f>VLOOKUP(M232, CategoryMap!$A$2:$B$100, 2, FALSE)</f>
        <v>Comedy</v>
      </c>
      <c r="O232">
        <v>19605319</v>
      </c>
      <c r="P232">
        <v>217464.60837887001</v>
      </c>
      <c r="Q232">
        <v>333</v>
      </c>
      <c r="R232" s="3">
        <f t="shared" si="26"/>
        <v>1.1109108113918983E-2</v>
      </c>
      <c r="S232">
        <v>23</v>
      </c>
      <c r="T232" t="str">
        <f t="shared" si="27"/>
        <v>Short</v>
      </c>
    </row>
    <row r="233" spans="1:20" ht="18.75" customHeight="1" x14ac:dyDescent="0.35">
      <c r="A233" t="s">
        <v>952</v>
      </c>
      <c r="B233" t="s">
        <v>2607</v>
      </c>
      <c r="C233" t="s">
        <v>3085</v>
      </c>
      <c r="D233" s="2" t="s">
        <v>953</v>
      </c>
      <c r="E233" s="2">
        <f t="shared" si="22"/>
        <v>45588</v>
      </c>
      <c r="F233" s="4">
        <f t="shared" si="23"/>
        <v>2024</v>
      </c>
      <c r="G233" t="str">
        <f t="shared" si="24"/>
        <v>October</v>
      </c>
      <c r="H233" t="str">
        <f t="shared" si="25"/>
        <v>2024-10</v>
      </c>
      <c r="I233" s="4">
        <f t="shared" ca="1" si="21"/>
        <v>336</v>
      </c>
      <c r="J233" t="s">
        <v>954</v>
      </c>
      <c r="K233" t="s">
        <v>955</v>
      </c>
      <c r="L233" t="s">
        <v>29</v>
      </c>
      <c r="M233">
        <v>28</v>
      </c>
      <c r="N233" t="str">
        <f>VLOOKUP(M233, CategoryMap!$A$2:$B$100, 2, FALSE)</f>
        <v>Science &amp; Technology</v>
      </c>
      <c r="O233">
        <v>1873293</v>
      </c>
      <c r="P233">
        <v>111109</v>
      </c>
      <c r="Q233">
        <v>116</v>
      </c>
      <c r="R233" s="3">
        <f t="shared" si="26"/>
        <v>5.9374054138888042E-2</v>
      </c>
      <c r="S233">
        <v>47</v>
      </c>
      <c r="T233" t="str">
        <f t="shared" si="27"/>
        <v>Short</v>
      </c>
    </row>
    <row r="234" spans="1:20" ht="18.75" customHeight="1" x14ac:dyDescent="0.35">
      <c r="A234" t="s">
        <v>956</v>
      </c>
      <c r="B234" t="s">
        <v>2608</v>
      </c>
      <c r="C234" t="s">
        <v>3086</v>
      </c>
      <c r="D234" s="2" t="s">
        <v>957</v>
      </c>
      <c r="E234" s="2">
        <f t="shared" si="22"/>
        <v>45569</v>
      </c>
      <c r="F234" s="4">
        <f t="shared" si="23"/>
        <v>2024</v>
      </c>
      <c r="G234" t="str">
        <f t="shared" si="24"/>
        <v>October</v>
      </c>
      <c r="H234" t="str">
        <f t="shared" si="25"/>
        <v>2024-10</v>
      </c>
      <c r="I234" s="4">
        <f t="shared" ca="1" si="21"/>
        <v>355</v>
      </c>
      <c r="J234" t="s">
        <v>958</v>
      </c>
      <c r="K234" t="s">
        <v>959</v>
      </c>
      <c r="L234" t="s">
        <v>960</v>
      </c>
      <c r="M234">
        <v>28</v>
      </c>
      <c r="N234" t="str">
        <f>VLOOKUP(M234, CategoryMap!$A$2:$B$100, 2, FALSE)</f>
        <v>Science &amp; Technology</v>
      </c>
      <c r="O234">
        <v>19605872</v>
      </c>
      <c r="P234">
        <v>243923</v>
      </c>
      <c r="Q234">
        <v>305</v>
      </c>
      <c r="R234" s="3">
        <f t="shared" si="26"/>
        <v>1.2456880265259306E-2</v>
      </c>
      <c r="S234">
        <v>35</v>
      </c>
      <c r="T234" t="str">
        <f t="shared" si="27"/>
        <v>Short</v>
      </c>
    </row>
    <row r="235" spans="1:20" ht="18.75" customHeight="1" x14ac:dyDescent="0.35">
      <c r="A235" t="s">
        <v>961</v>
      </c>
      <c r="B235" t="s">
        <v>2609</v>
      </c>
      <c r="C235" t="s">
        <v>11</v>
      </c>
      <c r="D235" s="2" t="s">
        <v>962</v>
      </c>
      <c r="E235" s="2">
        <f t="shared" si="22"/>
        <v>45690</v>
      </c>
      <c r="F235" s="4">
        <f t="shared" si="23"/>
        <v>2025</v>
      </c>
      <c r="G235" t="str">
        <f t="shared" si="24"/>
        <v>February</v>
      </c>
      <c r="H235" t="str">
        <f t="shared" si="25"/>
        <v>2025-02</v>
      </c>
      <c r="I235" s="4">
        <f t="shared" ca="1" si="21"/>
        <v>234</v>
      </c>
      <c r="J235" t="s">
        <v>326</v>
      </c>
      <c r="K235" t="s">
        <v>327</v>
      </c>
      <c r="L235" t="s">
        <v>29</v>
      </c>
      <c r="M235">
        <v>28</v>
      </c>
      <c r="N235" t="str">
        <f>VLOOKUP(M235, CategoryMap!$A$2:$B$100, 2, FALSE)</f>
        <v>Science &amp; Technology</v>
      </c>
      <c r="O235">
        <v>137999</v>
      </c>
      <c r="P235">
        <v>1233</v>
      </c>
      <c r="Q235">
        <v>5</v>
      </c>
      <c r="R235" s="3">
        <f t="shared" si="26"/>
        <v>8.9710795005760909E-3</v>
      </c>
      <c r="S235">
        <v>11</v>
      </c>
      <c r="T235" t="str">
        <f t="shared" si="27"/>
        <v>Short</v>
      </c>
    </row>
    <row r="236" spans="1:20" ht="18.75" customHeight="1" x14ac:dyDescent="0.35">
      <c r="A236" t="s">
        <v>963</v>
      </c>
      <c r="B236" t="s">
        <v>2610</v>
      </c>
      <c r="C236" t="s">
        <v>3087</v>
      </c>
      <c r="D236" s="2" t="s">
        <v>964</v>
      </c>
      <c r="E236" s="2">
        <f t="shared" si="22"/>
        <v>45372</v>
      </c>
      <c r="F236" s="4">
        <f t="shared" si="23"/>
        <v>2024</v>
      </c>
      <c r="G236" t="str">
        <f t="shared" si="24"/>
        <v>March</v>
      </c>
      <c r="H236" t="str">
        <f t="shared" si="25"/>
        <v>2024-03</v>
      </c>
      <c r="I236" s="4">
        <f t="shared" ca="1" si="21"/>
        <v>552</v>
      </c>
      <c r="J236" t="s">
        <v>965</v>
      </c>
      <c r="K236" t="s">
        <v>966</v>
      </c>
      <c r="L236" t="s">
        <v>967</v>
      </c>
      <c r="M236">
        <v>24</v>
      </c>
      <c r="N236" t="str">
        <f>VLOOKUP(M236, CategoryMap!$A$2:$B$100, 2, FALSE)</f>
        <v>Entertainment</v>
      </c>
      <c r="O236">
        <v>4563378</v>
      </c>
      <c r="P236">
        <v>51706</v>
      </c>
      <c r="Q236">
        <v>6044</v>
      </c>
      <c r="R236" s="3">
        <f t="shared" si="26"/>
        <v>1.2655098920142053E-2</v>
      </c>
      <c r="S236">
        <v>58</v>
      </c>
      <c r="T236" t="str">
        <f t="shared" si="27"/>
        <v>Short</v>
      </c>
    </row>
    <row r="237" spans="1:20" ht="18.75" customHeight="1" x14ac:dyDescent="0.35">
      <c r="A237" t="s">
        <v>968</v>
      </c>
      <c r="B237" t="s">
        <v>2611</v>
      </c>
      <c r="C237" t="s">
        <v>3088</v>
      </c>
      <c r="D237" s="2" t="s">
        <v>969</v>
      </c>
      <c r="E237" s="2">
        <f t="shared" si="22"/>
        <v>45825</v>
      </c>
      <c r="F237" s="4">
        <f t="shared" si="23"/>
        <v>2025</v>
      </c>
      <c r="G237" t="str">
        <f t="shared" si="24"/>
        <v>June</v>
      </c>
      <c r="H237" t="str">
        <f t="shared" si="25"/>
        <v>2025-06</v>
      </c>
      <c r="I237" s="4">
        <f t="shared" ca="1" si="21"/>
        <v>99</v>
      </c>
      <c r="J237" t="s">
        <v>970</v>
      </c>
      <c r="K237" t="s">
        <v>971</v>
      </c>
      <c r="L237" t="s">
        <v>29</v>
      </c>
      <c r="M237">
        <v>24</v>
      </c>
      <c r="N237" t="str">
        <f>VLOOKUP(M237, CategoryMap!$A$2:$B$100, 2, FALSE)</f>
        <v>Entertainment</v>
      </c>
      <c r="O237">
        <v>1790741</v>
      </c>
      <c r="P237">
        <v>217464.60837887001</v>
      </c>
      <c r="Q237">
        <v>165</v>
      </c>
      <c r="R237" s="3">
        <f t="shared" si="26"/>
        <v>0.12153047725989967</v>
      </c>
      <c r="S237">
        <v>31</v>
      </c>
      <c r="T237" t="str">
        <f t="shared" si="27"/>
        <v>Short</v>
      </c>
    </row>
    <row r="238" spans="1:20" ht="18.75" customHeight="1" x14ac:dyDescent="0.35">
      <c r="A238" t="s">
        <v>972</v>
      </c>
      <c r="B238" t="s">
        <v>973</v>
      </c>
      <c r="C238" t="s">
        <v>3089</v>
      </c>
      <c r="D238" s="2" t="s">
        <v>974</v>
      </c>
      <c r="E238" s="2">
        <f t="shared" si="22"/>
        <v>45410</v>
      </c>
      <c r="F238" s="4">
        <f t="shared" si="23"/>
        <v>2024</v>
      </c>
      <c r="G238" t="str">
        <f t="shared" si="24"/>
        <v>April</v>
      </c>
      <c r="H238" t="str">
        <f t="shared" si="25"/>
        <v>2024-04</v>
      </c>
      <c r="I238" s="4">
        <f t="shared" ca="1" si="21"/>
        <v>514</v>
      </c>
      <c r="J238" t="s">
        <v>975</v>
      </c>
      <c r="K238" t="s">
        <v>976</v>
      </c>
      <c r="L238" t="s">
        <v>29</v>
      </c>
      <c r="M238">
        <v>28</v>
      </c>
      <c r="N238" t="str">
        <f>VLOOKUP(M238, CategoryMap!$A$2:$B$100, 2, FALSE)</f>
        <v>Science &amp; Technology</v>
      </c>
      <c r="O238">
        <v>3614790</v>
      </c>
      <c r="P238">
        <v>44855</v>
      </c>
      <c r="Q238">
        <v>200</v>
      </c>
      <c r="R238" s="3">
        <f t="shared" si="26"/>
        <v>1.2464071218521685E-2</v>
      </c>
      <c r="S238">
        <v>9</v>
      </c>
      <c r="T238" t="str">
        <f t="shared" si="27"/>
        <v>Short</v>
      </c>
    </row>
    <row r="239" spans="1:20" ht="18.75" customHeight="1" x14ac:dyDescent="0.35">
      <c r="A239" t="s">
        <v>977</v>
      </c>
      <c r="B239" t="s">
        <v>2612</v>
      </c>
      <c r="C239" t="s">
        <v>3090</v>
      </c>
      <c r="D239" s="2" t="s">
        <v>978</v>
      </c>
      <c r="E239" s="2">
        <f t="shared" si="22"/>
        <v>44892</v>
      </c>
      <c r="F239" s="4">
        <f t="shared" si="23"/>
        <v>2022</v>
      </c>
      <c r="G239" t="str">
        <f t="shared" si="24"/>
        <v>November</v>
      </c>
      <c r="H239" t="str">
        <f t="shared" si="25"/>
        <v>2022-11</v>
      </c>
      <c r="I239" s="4">
        <f t="shared" ca="1" si="21"/>
        <v>1032</v>
      </c>
      <c r="J239" t="s">
        <v>979</v>
      </c>
      <c r="K239" t="s">
        <v>980</v>
      </c>
      <c r="L239" t="s">
        <v>981</v>
      </c>
      <c r="M239">
        <v>24</v>
      </c>
      <c r="N239" t="str">
        <f>VLOOKUP(M239, CategoryMap!$A$2:$B$100, 2, FALSE)</f>
        <v>Entertainment</v>
      </c>
      <c r="O239">
        <v>484094</v>
      </c>
      <c r="P239">
        <v>4989</v>
      </c>
      <c r="Q239">
        <v>180</v>
      </c>
      <c r="R239" s="3">
        <f t="shared" si="26"/>
        <v>1.0677678302147929E-2</v>
      </c>
      <c r="S239">
        <v>280</v>
      </c>
      <c r="T239" t="str">
        <f t="shared" si="27"/>
        <v>Long</v>
      </c>
    </row>
    <row r="240" spans="1:20" ht="18.75" customHeight="1" x14ac:dyDescent="0.35">
      <c r="A240" t="s">
        <v>982</v>
      </c>
      <c r="B240" t="s">
        <v>983</v>
      </c>
      <c r="C240" t="s">
        <v>3091</v>
      </c>
      <c r="D240" s="2" t="s">
        <v>984</v>
      </c>
      <c r="E240" s="2">
        <f t="shared" si="22"/>
        <v>45689</v>
      </c>
      <c r="F240" s="4">
        <f t="shared" si="23"/>
        <v>2025</v>
      </c>
      <c r="G240" t="str">
        <f t="shared" si="24"/>
        <v>February</v>
      </c>
      <c r="H240" t="str">
        <f t="shared" si="25"/>
        <v>2025-02</v>
      </c>
      <c r="I240" s="4">
        <f t="shared" ca="1" si="21"/>
        <v>235</v>
      </c>
      <c r="J240" t="s">
        <v>985</v>
      </c>
      <c r="K240" t="s">
        <v>986</v>
      </c>
      <c r="L240" t="s">
        <v>987</v>
      </c>
      <c r="M240">
        <v>24</v>
      </c>
      <c r="N240" t="str">
        <f>VLOOKUP(M240, CategoryMap!$A$2:$B$100, 2, FALSE)</f>
        <v>Entertainment</v>
      </c>
      <c r="O240">
        <v>481501</v>
      </c>
      <c r="P240">
        <v>29016</v>
      </c>
      <c r="Q240">
        <v>2453</v>
      </c>
      <c r="R240" s="3">
        <f t="shared" si="26"/>
        <v>6.5356042874261944E-2</v>
      </c>
      <c r="S240">
        <v>908</v>
      </c>
      <c r="T240" t="str">
        <f t="shared" si="27"/>
        <v>Long</v>
      </c>
    </row>
    <row r="241" spans="1:20" ht="18.75" customHeight="1" x14ac:dyDescent="0.35">
      <c r="A241" t="s">
        <v>988</v>
      </c>
      <c r="B241" t="s">
        <v>2613</v>
      </c>
      <c r="C241" t="s">
        <v>3092</v>
      </c>
      <c r="D241" s="2" t="s">
        <v>989</v>
      </c>
      <c r="E241" s="2">
        <f t="shared" si="22"/>
        <v>44736</v>
      </c>
      <c r="F241" s="4">
        <f t="shared" si="23"/>
        <v>2022</v>
      </c>
      <c r="G241" t="str">
        <f t="shared" si="24"/>
        <v>June</v>
      </c>
      <c r="H241" t="str">
        <f t="shared" si="25"/>
        <v>2022-06</v>
      </c>
      <c r="I241" s="4">
        <f t="shared" ca="1" si="21"/>
        <v>1188</v>
      </c>
      <c r="J241" t="s">
        <v>990</v>
      </c>
      <c r="K241" t="s">
        <v>991</v>
      </c>
      <c r="L241" t="s">
        <v>992</v>
      </c>
      <c r="M241">
        <v>27</v>
      </c>
      <c r="N241" t="str">
        <f>VLOOKUP(M241, CategoryMap!$A$2:$B$100, 2, FALSE)</f>
        <v>Education</v>
      </c>
      <c r="O241">
        <v>627065</v>
      </c>
      <c r="P241">
        <v>24194</v>
      </c>
      <c r="Q241">
        <v>100</v>
      </c>
      <c r="R241" s="3">
        <f t="shared" si="26"/>
        <v>3.8742395126502037E-2</v>
      </c>
      <c r="S241">
        <v>51</v>
      </c>
      <c r="T241" t="str">
        <f t="shared" si="27"/>
        <v>Short</v>
      </c>
    </row>
    <row r="242" spans="1:20" ht="18.75" customHeight="1" x14ac:dyDescent="0.35">
      <c r="A242" t="s">
        <v>993</v>
      </c>
      <c r="B242" t="s">
        <v>2614</v>
      </c>
      <c r="C242" t="s">
        <v>3093</v>
      </c>
      <c r="D242" s="2" t="s">
        <v>994</v>
      </c>
      <c r="E242" s="2">
        <f t="shared" si="22"/>
        <v>45683</v>
      </c>
      <c r="F242" s="4">
        <f t="shared" si="23"/>
        <v>2025</v>
      </c>
      <c r="G242" t="str">
        <f t="shared" si="24"/>
        <v>January</v>
      </c>
      <c r="H242" t="str">
        <f t="shared" si="25"/>
        <v>2025-01</v>
      </c>
      <c r="I242" s="4">
        <f t="shared" ca="1" si="21"/>
        <v>241</v>
      </c>
      <c r="J242" t="s">
        <v>129</v>
      </c>
      <c r="K242" t="s">
        <v>130</v>
      </c>
      <c r="L242" t="s">
        <v>29</v>
      </c>
      <c r="M242">
        <v>28</v>
      </c>
      <c r="N242" t="str">
        <f>VLOOKUP(M242, CategoryMap!$A$2:$B$100, 2, FALSE)</f>
        <v>Science &amp; Technology</v>
      </c>
      <c r="O242">
        <v>12850697</v>
      </c>
      <c r="P242">
        <v>82138</v>
      </c>
      <c r="Q242">
        <v>26</v>
      </c>
      <c r="R242" s="3">
        <f t="shared" si="26"/>
        <v>6.3937387987593203E-3</v>
      </c>
      <c r="S242">
        <v>5</v>
      </c>
      <c r="T242" t="str">
        <f t="shared" si="27"/>
        <v>Short</v>
      </c>
    </row>
    <row r="243" spans="1:20" ht="18.75" customHeight="1" x14ac:dyDescent="0.35">
      <c r="A243" t="s">
        <v>995</v>
      </c>
      <c r="B243" t="s">
        <v>2615</v>
      </c>
      <c r="C243" t="s">
        <v>3094</v>
      </c>
      <c r="D243" s="2" t="s">
        <v>996</v>
      </c>
      <c r="E243" s="2">
        <f t="shared" si="22"/>
        <v>45522</v>
      </c>
      <c r="F243" s="4">
        <f t="shared" si="23"/>
        <v>2024</v>
      </c>
      <c r="G243" t="str">
        <f t="shared" si="24"/>
        <v>August</v>
      </c>
      <c r="H243" t="str">
        <f t="shared" si="25"/>
        <v>2024-08</v>
      </c>
      <c r="I243" s="4">
        <f t="shared" ca="1" si="21"/>
        <v>402</v>
      </c>
      <c r="J243" t="s">
        <v>77</v>
      </c>
      <c r="K243" t="s">
        <v>78</v>
      </c>
      <c r="L243" t="s">
        <v>29</v>
      </c>
      <c r="M243">
        <v>28</v>
      </c>
      <c r="N243" t="str">
        <f>VLOOKUP(M243, CategoryMap!$A$2:$B$100, 2, FALSE)</f>
        <v>Science &amp; Technology</v>
      </c>
      <c r="O243">
        <v>14872214</v>
      </c>
      <c r="P243">
        <v>691043</v>
      </c>
      <c r="Q243">
        <v>3365</v>
      </c>
      <c r="R243" s="3">
        <f t="shared" si="26"/>
        <v>4.6691635825035868E-2</v>
      </c>
      <c r="S243">
        <v>60</v>
      </c>
      <c r="T243" t="str">
        <f t="shared" si="27"/>
        <v>Short</v>
      </c>
    </row>
    <row r="244" spans="1:20" ht="18.75" customHeight="1" x14ac:dyDescent="0.35">
      <c r="A244" t="s">
        <v>997</v>
      </c>
      <c r="B244" t="s">
        <v>998</v>
      </c>
      <c r="C244" t="s">
        <v>3095</v>
      </c>
      <c r="D244" s="2" t="s">
        <v>999</v>
      </c>
      <c r="E244" s="2">
        <f t="shared" si="22"/>
        <v>45675</v>
      </c>
      <c r="F244" s="4">
        <f t="shared" si="23"/>
        <v>2025</v>
      </c>
      <c r="G244" t="str">
        <f t="shared" si="24"/>
        <v>January</v>
      </c>
      <c r="H244" t="str">
        <f t="shared" si="25"/>
        <v>2025-01</v>
      </c>
      <c r="I244" s="4">
        <f t="shared" ca="1" si="21"/>
        <v>249</v>
      </c>
      <c r="J244" t="s">
        <v>1000</v>
      </c>
      <c r="K244" t="s">
        <v>1001</v>
      </c>
      <c r="L244" t="s">
        <v>29</v>
      </c>
      <c r="M244">
        <v>22</v>
      </c>
      <c r="N244" t="str">
        <f>VLOOKUP(M244, CategoryMap!$A$2:$B$100, 2, FALSE)</f>
        <v>People &amp; Blogs</v>
      </c>
      <c r="O244">
        <v>7617013</v>
      </c>
      <c r="P244">
        <v>328891</v>
      </c>
      <c r="Q244">
        <v>5280</v>
      </c>
      <c r="R244" s="3">
        <f t="shared" si="26"/>
        <v>4.3871659402445549E-2</v>
      </c>
      <c r="S244">
        <v>28</v>
      </c>
      <c r="T244" t="str">
        <f t="shared" si="27"/>
        <v>Short</v>
      </c>
    </row>
    <row r="245" spans="1:20" ht="18.75" customHeight="1" x14ac:dyDescent="0.35">
      <c r="A245" t="s">
        <v>1002</v>
      </c>
      <c r="B245" t="s">
        <v>2616</v>
      </c>
      <c r="C245" t="s">
        <v>11</v>
      </c>
      <c r="D245" s="2" t="s">
        <v>1003</v>
      </c>
      <c r="E245" s="2">
        <f t="shared" si="22"/>
        <v>45826</v>
      </c>
      <c r="F245" s="4">
        <f t="shared" si="23"/>
        <v>2025</v>
      </c>
      <c r="G245" t="str">
        <f t="shared" si="24"/>
        <v>June</v>
      </c>
      <c r="H245" t="str">
        <f t="shared" si="25"/>
        <v>2025-06</v>
      </c>
      <c r="I245" s="4">
        <f t="shared" ca="1" si="21"/>
        <v>98</v>
      </c>
      <c r="J245" t="s">
        <v>1004</v>
      </c>
      <c r="K245" t="s">
        <v>1005</v>
      </c>
      <c r="L245" t="s">
        <v>29</v>
      </c>
      <c r="M245">
        <v>28</v>
      </c>
      <c r="N245" t="str">
        <f>VLOOKUP(M245, CategoryMap!$A$2:$B$100, 2, FALSE)</f>
        <v>Science &amp; Technology</v>
      </c>
      <c r="O245">
        <v>72808</v>
      </c>
      <c r="P245">
        <v>5188</v>
      </c>
      <c r="Q245">
        <v>116</v>
      </c>
      <c r="R245" s="3">
        <f t="shared" si="26"/>
        <v>7.2849137457422261E-2</v>
      </c>
      <c r="S245">
        <v>98</v>
      </c>
      <c r="T245" t="str">
        <f t="shared" si="27"/>
        <v>Long</v>
      </c>
    </row>
    <row r="246" spans="1:20" ht="18.75" customHeight="1" x14ac:dyDescent="0.35">
      <c r="A246" t="s">
        <v>1006</v>
      </c>
      <c r="B246" t="s">
        <v>1007</v>
      </c>
      <c r="C246" t="s">
        <v>11</v>
      </c>
      <c r="D246" s="2" t="s">
        <v>1008</v>
      </c>
      <c r="E246" s="2">
        <f t="shared" si="22"/>
        <v>44462</v>
      </c>
      <c r="F246" s="4">
        <f t="shared" si="23"/>
        <v>2021</v>
      </c>
      <c r="G246" t="str">
        <f t="shared" si="24"/>
        <v>September</v>
      </c>
      <c r="H246" t="str">
        <f t="shared" si="25"/>
        <v>2021-09</v>
      </c>
      <c r="I246" s="4">
        <f t="shared" ca="1" si="21"/>
        <v>1462</v>
      </c>
      <c r="J246" t="s">
        <v>1009</v>
      </c>
      <c r="K246" t="s">
        <v>1010</v>
      </c>
      <c r="L246" t="s">
        <v>29</v>
      </c>
      <c r="M246">
        <v>22</v>
      </c>
      <c r="N246" t="str">
        <f>VLOOKUP(M246, CategoryMap!$A$2:$B$100, 2, FALSE)</f>
        <v>People &amp; Blogs</v>
      </c>
      <c r="O246">
        <v>1147649</v>
      </c>
      <c r="P246">
        <v>29710</v>
      </c>
      <c r="Q246">
        <v>1004</v>
      </c>
      <c r="R246" s="3">
        <f t="shared" si="26"/>
        <v>2.6762538023385199E-2</v>
      </c>
      <c r="S246">
        <v>6</v>
      </c>
      <c r="T246" t="str">
        <f t="shared" si="27"/>
        <v>Short</v>
      </c>
    </row>
    <row r="247" spans="1:20" ht="18.75" customHeight="1" x14ac:dyDescent="0.35">
      <c r="A247" t="s">
        <v>1011</v>
      </c>
      <c r="B247" t="s">
        <v>1012</v>
      </c>
      <c r="C247" t="s">
        <v>3096</v>
      </c>
      <c r="D247" s="2" t="s">
        <v>1013</v>
      </c>
      <c r="E247" s="2">
        <f t="shared" si="22"/>
        <v>45004</v>
      </c>
      <c r="F247" s="4">
        <f t="shared" si="23"/>
        <v>2023</v>
      </c>
      <c r="G247" t="str">
        <f t="shared" si="24"/>
        <v>March</v>
      </c>
      <c r="H247" t="str">
        <f t="shared" si="25"/>
        <v>2023-03</v>
      </c>
      <c r="I247" s="4">
        <f t="shared" ca="1" si="21"/>
        <v>920</v>
      </c>
      <c r="J247" t="s">
        <v>13</v>
      </c>
      <c r="K247" t="s">
        <v>14</v>
      </c>
      <c r="L247" t="s">
        <v>1014</v>
      </c>
      <c r="M247">
        <v>28</v>
      </c>
      <c r="N247" t="str">
        <f>VLOOKUP(M247, CategoryMap!$A$2:$B$100, 2, FALSE)</f>
        <v>Science &amp; Technology</v>
      </c>
      <c r="O247">
        <v>7739835</v>
      </c>
      <c r="P247">
        <v>450070</v>
      </c>
      <c r="Q247">
        <v>1105</v>
      </c>
      <c r="R247" s="3">
        <f t="shared" si="26"/>
        <v>5.8292586340664886E-2</v>
      </c>
      <c r="S247">
        <v>48</v>
      </c>
      <c r="T247" t="str">
        <f t="shared" si="27"/>
        <v>Short</v>
      </c>
    </row>
    <row r="248" spans="1:20" ht="18.75" customHeight="1" x14ac:dyDescent="0.35">
      <c r="A248" t="s">
        <v>1015</v>
      </c>
      <c r="B248" t="s">
        <v>2617</v>
      </c>
      <c r="C248" t="s">
        <v>3097</v>
      </c>
      <c r="D248" s="2" t="s">
        <v>1016</v>
      </c>
      <c r="E248" s="2">
        <f t="shared" si="22"/>
        <v>45822</v>
      </c>
      <c r="F248" s="4">
        <f t="shared" si="23"/>
        <v>2025</v>
      </c>
      <c r="G248" t="str">
        <f t="shared" si="24"/>
        <v>June</v>
      </c>
      <c r="H248" t="str">
        <f t="shared" si="25"/>
        <v>2025-06</v>
      </c>
      <c r="I248" s="4">
        <f t="shared" ca="1" si="21"/>
        <v>102</v>
      </c>
      <c r="J248" t="s">
        <v>1017</v>
      </c>
      <c r="K248" t="s">
        <v>1018</v>
      </c>
      <c r="L248" t="s">
        <v>29</v>
      </c>
      <c r="M248">
        <v>28</v>
      </c>
      <c r="N248" t="str">
        <f>VLOOKUP(M248, CategoryMap!$A$2:$B$100, 2, FALSE)</f>
        <v>Science &amp; Technology</v>
      </c>
      <c r="O248">
        <v>1067</v>
      </c>
      <c r="P248">
        <v>12</v>
      </c>
      <c r="Q248">
        <v>0</v>
      </c>
      <c r="R248" s="3">
        <f t="shared" si="26"/>
        <v>1.1246485473289597E-2</v>
      </c>
      <c r="S248">
        <v>27</v>
      </c>
      <c r="T248" t="str">
        <f t="shared" si="27"/>
        <v>Short</v>
      </c>
    </row>
    <row r="249" spans="1:20" ht="18.75" customHeight="1" x14ac:dyDescent="0.35">
      <c r="A249" t="s">
        <v>1019</v>
      </c>
      <c r="B249" t="s">
        <v>2618</v>
      </c>
      <c r="C249" t="s">
        <v>3098</v>
      </c>
      <c r="D249" s="2" t="s">
        <v>1020</v>
      </c>
      <c r="E249" s="2">
        <f t="shared" si="22"/>
        <v>45434</v>
      </c>
      <c r="F249" s="4">
        <f t="shared" si="23"/>
        <v>2024</v>
      </c>
      <c r="G249" t="str">
        <f t="shared" si="24"/>
        <v>May</v>
      </c>
      <c r="H249" t="str">
        <f t="shared" si="25"/>
        <v>2024-05</v>
      </c>
      <c r="I249" s="4">
        <f t="shared" ca="1" si="21"/>
        <v>490</v>
      </c>
      <c r="J249" t="s">
        <v>1021</v>
      </c>
      <c r="K249" t="s">
        <v>1022</v>
      </c>
      <c r="L249" t="s">
        <v>29</v>
      </c>
      <c r="M249">
        <v>28</v>
      </c>
      <c r="N249" t="str">
        <f>VLOOKUP(M249, CategoryMap!$A$2:$B$100, 2, FALSE)</f>
        <v>Science &amp; Technology</v>
      </c>
      <c r="O249">
        <v>1812649</v>
      </c>
      <c r="P249">
        <v>71088</v>
      </c>
      <c r="Q249">
        <v>995</v>
      </c>
      <c r="R249" s="3">
        <f t="shared" si="26"/>
        <v>3.9766661940618397E-2</v>
      </c>
      <c r="S249">
        <v>60</v>
      </c>
      <c r="T249" t="str">
        <f t="shared" si="27"/>
        <v>Short</v>
      </c>
    </row>
    <row r="250" spans="1:20" ht="18.75" customHeight="1" x14ac:dyDescent="0.35">
      <c r="A250" t="s">
        <v>1023</v>
      </c>
      <c r="B250" t="s">
        <v>2619</v>
      </c>
      <c r="C250" t="s">
        <v>3099</v>
      </c>
      <c r="D250" s="2" t="s">
        <v>1024</v>
      </c>
      <c r="E250" s="2">
        <f t="shared" si="22"/>
        <v>45646</v>
      </c>
      <c r="F250" s="4">
        <f t="shared" si="23"/>
        <v>2024</v>
      </c>
      <c r="G250" t="str">
        <f t="shared" si="24"/>
        <v>December</v>
      </c>
      <c r="H250" t="str">
        <f t="shared" si="25"/>
        <v>2024-12</v>
      </c>
      <c r="I250" s="4">
        <f t="shared" ca="1" si="21"/>
        <v>278</v>
      </c>
      <c r="J250" t="s">
        <v>1025</v>
      </c>
      <c r="K250" t="s">
        <v>1026</v>
      </c>
      <c r="L250" t="s">
        <v>29</v>
      </c>
      <c r="M250">
        <v>28</v>
      </c>
      <c r="N250" t="str">
        <f>VLOOKUP(M250, CategoryMap!$A$2:$B$100, 2, FALSE)</f>
        <v>Science &amp; Technology</v>
      </c>
      <c r="O250">
        <v>656374</v>
      </c>
      <c r="P250">
        <v>4136</v>
      </c>
      <c r="Q250">
        <v>30</v>
      </c>
      <c r="R250" s="3">
        <f t="shared" si="26"/>
        <v>6.3469911970919016E-3</v>
      </c>
      <c r="S250">
        <v>9</v>
      </c>
      <c r="T250" t="str">
        <f t="shared" si="27"/>
        <v>Short</v>
      </c>
    </row>
    <row r="251" spans="1:20" ht="18.75" customHeight="1" x14ac:dyDescent="0.35">
      <c r="A251" t="s">
        <v>1027</v>
      </c>
      <c r="B251" t="s">
        <v>2620</v>
      </c>
      <c r="C251" t="s">
        <v>3100</v>
      </c>
      <c r="D251" s="2" t="s">
        <v>1028</v>
      </c>
      <c r="E251" s="2">
        <f t="shared" si="22"/>
        <v>45438</v>
      </c>
      <c r="F251" s="4">
        <f t="shared" si="23"/>
        <v>2024</v>
      </c>
      <c r="G251" t="str">
        <f t="shared" si="24"/>
        <v>May</v>
      </c>
      <c r="H251" t="str">
        <f t="shared" si="25"/>
        <v>2024-05</v>
      </c>
      <c r="I251" s="4">
        <f t="shared" ca="1" si="21"/>
        <v>486</v>
      </c>
      <c r="J251" t="s">
        <v>1029</v>
      </c>
      <c r="K251" t="s">
        <v>1030</v>
      </c>
      <c r="L251" t="s">
        <v>1031</v>
      </c>
      <c r="M251">
        <v>28</v>
      </c>
      <c r="N251" t="str">
        <f>VLOOKUP(M251, CategoryMap!$A$2:$B$100, 2, FALSE)</f>
        <v>Science &amp; Technology</v>
      </c>
      <c r="O251">
        <v>4944688</v>
      </c>
      <c r="P251">
        <v>38775</v>
      </c>
      <c r="Q251">
        <v>2280</v>
      </c>
      <c r="R251" s="3">
        <f t="shared" si="26"/>
        <v>8.3028494416634586E-3</v>
      </c>
      <c r="S251">
        <v>68</v>
      </c>
      <c r="T251" t="str">
        <f t="shared" si="27"/>
        <v>Long</v>
      </c>
    </row>
    <row r="252" spans="1:20" ht="18.75" customHeight="1" x14ac:dyDescent="0.35">
      <c r="A252" t="s">
        <v>1032</v>
      </c>
      <c r="B252" t="s">
        <v>2621</v>
      </c>
      <c r="C252" t="s">
        <v>3101</v>
      </c>
      <c r="D252" s="2" t="s">
        <v>1033</v>
      </c>
      <c r="E252" s="2">
        <f t="shared" si="22"/>
        <v>45320</v>
      </c>
      <c r="F252" s="4">
        <f t="shared" si="23"/>
        <v>2024</v>
      </c>
      <c r="G252" t="str">
        <f t="shared" si="24"/>
        <v>January</v>
      </c>
      <c r="H252" t="str">
        <f t="shared" si="25"/>
        <v>2024-01</v>
      </c>
      <c r="I252" s="4">
        <f t="shared" ca="1" si="21"/>
        <v>604</v>
      </c>
      <c r="J252" t="s">
        <v>524</v>
      </c>
      <c r="K252" t="s">
        <v>525</v>
      </c>
      <c r="L252" t="s">
        <v>1034</v>
      </c>
      <c r="M252">
        <v>28</v>
      </c>
      <c r="N252" t="str">
        <f>VLOOKUP(M252, CategoryMap!$A$2:$B$100, 2, FALSE)</f>
        <v>Science &amp; Technology</v>
      </c>
      <c r="O252">
        <v>98602873</v>
      </c>
      <c r="P252">
        <v>2964109</v>
      </c>
      <c r="Q252">
        <v>14876</v>
      </c>
      <c r="R252" s="3">
        <f t="shared" si="26"/>
        <v>3.0211949300909317E-2</v>
      </c>
      <c r="S252">
        <v>59</v>
      </c>
      <c r="T252" t="str">
        <f t="shared" si="27"/>
        <v>Short</v>
      </c>
    </row>
    <row r="253" spans="1:20" ht="18.75" customHeight="1" x14ac:dyDescent="0.35">
      <c r="A253" t="s">
        <v>1035</v>
      </c>
      <c r="B253" t="s">
        <v>2622</v>
      </c>
      <c r="C253" t="s">
        <v>1036</v>
      </c>
      <c r="D253" s="2" t="s">
        <v>1037</v>
      </c>
      <c r="E253" s="2">
        <f t="shared" si="22"/>
        <v>45821</v>
      </c>
      <c r="F253" s="4">
        <f t="shared" si="23"/>
        <v>2025</v>
      </c>
      <c r="G253" t="str">
        <f t="shared" si="24"/>
        <v>June</v>
      </c>
      <c r="H253" t="str">
        <f t="shared" si="25"/>
        <v>2025-06</v>
      </c>
      <c r="I253" s="4">
        <f t="shared" ca="1" si="21"/>
        <v>103</v>
      </c>
      <c r="J253" t="s">
        <v>1038</v>
      </c>
      <c r="K253" t="s">
        <v>1039</v>
      </c>
      <c r="L253" t="s">
        <v>29</v>
      </c>
      <c r="M253">
        <v>28</v>
      </c>
      <c r="N253" t="str">
        <f>VLOOKUP(M253, CategoryMap!$A$2:$B$100, 2, FALSE)</f>
        <v>Science &amp; Technology</v>
      </c>
      <c r="O253">
        <v>39674</v>
      </c>
      <c r="P253">
        <v>99</v>
      </c>
      <c r="Q253">
        <v>1</v>
      </c>
      <c r="R253" s="3">
        <f t="shared" si="26"/>
        <v>2.520542420728941E-3</v>
      </c>
      <c r="S253">
        <v>11</v>
      </c>
      <c r="T253" t="str">
        <f t="shared" si="27"/>
        <v>Short</v>
      </c>
    </row>
    <row r="254" spans="1:20" ht="18.75" customHeight="1" x14ac:dyDescent="0.35">
      <c r="A254" t="s">
        <v>1040</v>
      </c>
      <c r="B254" t="s">
        <v>2623</v>
      </c>
      <c r="C254" t="s">
        <v>11</v>
      </c>
      <c r="D254" s="2" t="s">
        <v>1041</v>
      </c>
      <c r="E254" s="2">
        <f t="shared" si="22"/>
        <v>45824</v>
      </c>
      <c r="F254" s="4">
        <f t="shared" si="23"/>
        <v>2025</v>
      </c>
      <c r="G254" t="str">
        <f t="shared" si="24"/>
        <v>June</v>
      </c>
      <c r="H254" t="str">
        <f t="shared" si="25"/>
        <v>2025-06</v>
      </c>
      <c r="I254" s="4">
        <f t="shared" ca="1" si="21"/>
        <v>100</v>
      </c>
      <c r="J254" t="s">
        <v>1042</v>
      </c>
      <c r="K254" t="s">
        <v>1043</v>
      </c>
      <c r="L254" t="s">
        <v>29</v>
      </c>
      <c r="M254">
        <v>28</v>
      </c>
      <c r="N254" t="str">
        <f>VLOOKUP(M254, CategoryMap!$A$2:$B$100, 2, FALSE)</f>
        <v>Science &amp; Technology</v>
      </c>
      <c r="O254">
        <v>4722</v>
      </c>
      <c r="P254">
        <v>23</v>
      </c>
      <c r="Q254">
        <v>1</v>
      </c>
      <c r="R254" s="3">
        <f t="shared" si="26"/>
        <v>5.0825921219822112E-3</v>
      </c>
      <c r="S254">
        <v>19</v>
      </c>
      <c r="T254" t="str">
        <f t="shared" si="27"/>
        <v>Short</v>
      </c>
    </row>
    <row r="255" spans="1:20" ht="18.75" customHeight="1" x14ac:dyDescent="0.35">
      <c r="A255" t="s">
        <v>1044</v>
      </c>
      <c r="B255" t="s">
        <v>2624</v>
      </c>
      <c r="C255" t="s">
        <v>3102</v>
      </c>
      <c r="D255" s="2" t="s">
        <v>1045</v>
      </c>
      <c r="E255" s="2">
        <f t="shared" si="22"/>
        <v>45127</v>
      </c>
      <c r="F255" s="4">
        <f t="shared" si="23"/>
        <v>2023</v>
      </c>
      <c r="G255" t="str">
        <f t="shared" si="24"/>
        <v>July</v>
      </c>
      <c r="H255" t="str">
        <f t="shared" si="25"/>
        <v>2023-07</v>
      </c>
      <c r="I255" s="4">
        <f t="shared" ca="1" si="21"/>
        <v>797</v>
      </c>
      <c r="J255" t="s">
        <v>1046</v>
      </c>
      <c r="K255" t="s">
        <v>1047</v>
      </c>
      <c r="L255" t="s">
        <v>29</v>
      </c>
      <c r="M255">
        <v>22</v>
      </c>
      <c r="N255" t="str">
        <f>VLOOKUP(M255, CategoryMap!$A$2:$B$100, 2, FALSE)</f>
        <v>People &amp; Blogs</v>
      </c>
      <c r="O255">
        <v>22466362</v>
      </c>
      <c r="P255">
        <v>121015</v>
      </c>
      <c r="Q255">
        <v>128</v>
      </c>
      <c r="R255" s="3">
        <f t="shared" si="26"/>
        <v>5.3921947843625058E-3</v>
      </c>
      <c r="S255">
        <v>11</v>
      </c>
      <c r="T255" t="str">
        <f t="shared" si="27"/>
        <v>Short</v>
      </c>
    </row>
    <row r="256" spans="1:20" ht="18.75" customHeight="1" x14ac:dyDescent="0.35">
      <c r="A256" t="s">
        <v>1048</v>
      </c>
      <c r="B256" t="s">
        <v>2625</v>
      </c>
      <c r="C256" t="s">
        <v>11</v>
      </c>
      <c r="D256" s="2" t="s">
        <v>1049</v>
      </c>
      <c r="E256" s="2">
        <f t="shared" si="22"/>
        <v>45720</v>
      </c>
      <c r="F256" s="4">
        <f t="shared" si="23"/>
        <v>2025</v>
      </c>
      <c r="G256" t="str">
        <f t="shared" si="24"/>
        <v>March</v>
      </c>
      <c r="H256" t="str">
        <f t="shared" si="25"/>
        <v>2025-03</v>
      </c>
      <c r="I256" s="4">
        <f t="shared" ca="1" si="21"/>
        <v>204</v>
      </c>
      <c r="J256" t="s">
        <v>1050</v>
      </c>
      <c r="K256" t="s">
        <v>1051</v>
      </c>
      <c r="L256" t="s">
        <v>29</v>
      </c>
      <c r="M256">
        <v>22</v>
      </c>
      <c r="N256" t="str">
        <f>VLOOKUP(M256, CategoryMap!$A$2:$B$100, 2, FALSE)</f>
        <v>People &amp; Blogs</v>
      </c>
      <c r="O256">
        <v>2321055</v>
      </c>
      <c r="P256">
        <v>20135</v>
      </c>
      <c r="Q256">
        <v>1732</v>
      </c>
      <c r="R256" s="3">
        <f t="shared" si="26"/>
        <v>9.421146849169882E-3</v>
      </c>
      <c r="S256">
        <v>8</v>
      </c>
      <c r="T256" t="str">
        <f t="shared" si="27"/>
        <v>Short</v>
      </c>
    </row>
    <row r="257" spans="1:20" ht="18.75" customHeight="1" x14ac:dyDescent="0.35">
      <c r="A257" t="s">
        <v>1052</v>
      </c>
      <c r="B257" t="s">
        <v>2626</v>
      </c>
      <c r="C257" t="s">
        <v>11</v>
      </c>
      <c r="D257" s="2" t="s">
        <v>1053</v>
      </c>
      <c r="E257" s="2">
        <f t="shared" si="22"/>
        <v>45767</v>
      </c>
      <c r="F257" s="4">
        <f t="shared" si="23"/>
        <v>2025</v>
      </c>
      <c r="G257" t="str">
        <f t="shared" si="24"/>
        <v>April</v>
      </c>
      <c r="H257" t="str">
        <f t="shared" si="25"/>
        <v>2025-04</v>
      </c>
      <c r="I257" s="4">
        <f t="shared" ca="1" si="21"/>
        <v>157</v>
      </c>
      <c r="J257" t="s">
        <v>1054</v>
      </c>
      <c r="K257" t="s">
        <v>1055</v>
      </c>
      <c r="L257" t="s">
        <v>29</v>
      </c>
      <c r="M257">
        <v>22</v>
      </c>
      <c r="N257" t="str">
        <f>VLOOKUP(M257, CategoryMap!$A$2:$B$100, 2, FALSE)</f>
        <v>People &amp; Blogs</v>
      </c>
      <c r="O257">
        <v>437919</v>
      </c>
      <c r="P257">
        <v>3310</v>
      </c>
      <c r="Q257">
        <v>10</v>
      </c>
      <c r="R257" s="3">
        <f t="shared" si="26"/>
        <v>7.5813106990105473E-3</v>
      </c>
      <c r="S257">
        <v>12</v>
      </c>
      <c r="T257" t="str">
        <f t="shared" si="27"/>
        <v>Short</v>
      </c>
    </row>
    <row r="258" spans="1:20" ht="18.75" customHeight="1" x14ac:dyDescent="0.35">
      <c r="A258" t="s">
        <v>1056</v>
      </c>
      <c r="B258" t="s">
        <v>2627</v>
      </c>
      <c r="C258" t="s">
        <v>3103</v>
      </c>
      <c r="D258" s="2" t="s">
        <v>1057</v>
      </c>
      <c r="E258" s="2">
        <f t="shared" si="22"/>
        <v>45528</v>
      </c>
      <c r="F258" s="4">
        <f t="shared" si="23"/>
        <v>2024</v>
      </c>
      <c r="G258" t="str">
        <f t="shared" si="24"/>
        <v>August</v>
      </c>
      <c r="H258" t="str">
        <f t="shared" si="25"/>
        <v>2024-08</v>
      </c>
      <c r="I258" s="4">
        <f t="shared" ref="I258:I321" ca="1" si="28">TODAY() - DATEVALUE(LEFT(D258,10))</f>
        <v>396</v>
      </c>
      <c r="J258" t="s">
        <v>1058</v>
      </c>
      <c r="K258" t="s">
        <v>1059</v>
      </c>
      <c r="L258" t="s">
        <v>1060</v>
      </c>
      <c r="M258">
        <v>24</v>
      </c>
      <c r="N258" t="str">
        <f>VLOOKUP(M258, CategoryMap!$A$2:$B$100, 2, FALSE)</f>
        <v>Entertainment</v>
      </c>
      <c r="O258">
        <v>10272791</v>
      </c>
      <c r="P258">
        <v>158166</v>
      </c>
      <c r="Q258">
        <v>97</v>
      </c>
      <c r="R258" s="3">
        <f t="shared" si="26"/>
        <v>1.5406037171397725E-2</v>
      </c>
      <c r="S258">
        <v>19</v>
      </c>
      <c r="T258" t="str">
        <f t="shared" si="27"/>
        <v>Short</v>
      </c>
    </row>
    <row r="259" spans="1:20" ht="18.75" customHeight="1" x14ac:dyDescent="0.35">
      <c r="A259" t="s">
        <v>1061</v>
      </c>
      <c r="B259" t="s">
        <v>2628</v>
      </c>
      <c r="C259" t="s">
        <v>11</v>
      </c>
      <c r="D259" s="2" t="s">
        <v>1062</v>
      </c>
      <c r="E259" s="2">
        <f t="shared" ref="E259:E322" si="29">DATEVALUE(LEFT(D259,10))</f>
        <v>45382</v>
      </c>
      <c r="F259" s="4">
        <f t="shared" ref="F259:F322" si="30">YEAR(E259)</f>
        <v>2024</v>
      </c>
      <c r="G259" t="str">
        <f t="shared" ref="G259:G322" si="31">TEXT(E259,"MMMM")</f>
        <v>March</v>
      </c>
      <c r="H259" t="str">
        <f t="shared" ref="H259:H322" si="32">TEXT(E259,"YYYY-MM")</f>
        <v>2024-03</v>
      </c>
      <c r="I259" s="4">
        <f t="shared" ca="1" si="28"/>
        <v>542</v>
      </c>
      <c r="J259" t="s">
        <v>1063</v>
      </c>
      <c r="K259" t="s">
        <v>1064</v>
      </c>
      <c r="L259" t="s">
        <v>29</v>
      </c>
      <c r="M259">
        <v>28</v>
      </c>
      <c r="N259" t="str">
        <f>VLOOKUP(M259, CategoryMap!$A$2:$B$100, 2, FALSE)</f>
        <v>Science &amp; Technology</v>
      </c>
      <c r="O259">
        <v>5136061</v>
      </c>
      <c r="P259">
        <v>217464.60837887001</v>
      </c>
      <c r="Q259">
        <v>87</v>
      </c>
      <c r="R259" s="3">
        <f t="shared" ref="R259:R322" si="33">IF(O259=0, 0, (P259 + Q259) / O259)</f>
        <v>4.2357676121617324E-2</v>
      </c>
      <c r="S259">
        <v>18</v>
      </c>
      <c r="T259" t="str">
        <f t="shared" ref="T259:T322" si="34">IF(S259&lt;=60, "Short", "Long")</f>
        <v>Short</v>
      </c>
    </row>
    <row r="260" spans="1:20" ht="18.75" customHeight="1" x14ac:dyDescent="0.35">
      <c r="A260" t="s">
        <v>1065</v>
      </c>
      <c r="B260" t="s">
        <v>2629</v>
      </c>
      <c r="C260" t="s">
        <v>11</v>
      </c>
      <c r="D260" s="2" t="s">
        <v>1066</v>
      </c>
      <c r="E260" s="2">
        <f t="shared" si="29"/>
        <v>45648</v>
      </c>
      <c r="F260" s="4">
        <f t="shared" si="30"/>
        <v>2024</v>
      </c>
      <c r="G260" t="str">
        <f t="shared" si="31"/>
        <v>December</v>
      </c>
      <c r="H260" t="str">
        <f t="shared" si="32"/>
        <v>2024-12</v>
      </c>
      <c r="I260" s="4">
        <f t="shared" ca="1" si="28"/>
        <v>276</v>
      </c>
      <c r="J260" t="s">
        <v>1067</v>
      </c>
      <c r="K260" t="s">
        <v>1068</v>
      </c>
      <c r="L260" t="s">
        <v>29</v>
      </c>
      <c r="M260">
        <v>23</v>
      </c>
      <c r="N260" t="str">
        <f>VLOOKUP(M260, CategoryMap!$A$2:$B$100, 2, FALSE)</f>
        <v>Comedy</v>
      </c>
      <c r="O260">
        <v>13043462</v>
      </c>
      <c r="P260">
        <v>217464.60837887001</v>
      </c>
      <c r="Q260">
        <v>15220</v>
      </c>
      <c r="R260" s="3">
        <f t="shared" si="33"/>
        <v>1.7839175548552216E-2</v>
      </c>
      <c r="S260">
        <v>34</v>
      </c>
      <c r="T260" t="str">
        <f t="shared" si="34"/>
        <v>Short</v>
      </c>
    </row>
    <row r="261" spans="1:20" ht="18.75" customHeight="1" x14ac:dyDescent="0.35">
      <c r="A261" t="s">
        <v>1069</v>
      </c>
      <c r="B261" t="s">
        <v>2630</v>
      </c>
      <c r="C261" t="s">
        <v>3104</v>
      </c>
      <c r="D261" s="2" t="s">
        <v>1070</v>
      </c>
      <c r="E261" s="2">
        <f t="shared" si="29"/>
        <v>45774</v>
      </c>
      <c r="F261" s="4">
        <f t="shared" si="30"/>
        <v>2025</v>
      </c>
      <c r="G261" t="str">
        <f t="shared" si="31"/>
        <v>April</v>
      </c>
      <c r="H261" t="str">
        <f t="shared" si="32"/>
        <v>2025-04</v>
      </c>
      <c r="I261" s="4">
        <f t="shared" ca="1" si="28"/>
        <v>150</v>
      </c>
      <c r="J261" t="s">
        <v>1025</v>
      </c>
      <c r="K261" t="s">
        <v>1026</v>
      </c>
      <c r="L261" t="s">
        <v>29</v>
      </c>
      <c r="M261">
        <v>28</v>
      </c>
      <c r="N261" t="str">
        <f>VLOOKUP(M261, CategoryMap!$A$2:$B$100, 2, FALSE)</f>
        <v>Science &amp; Technology</v>
      </c>
      <c r="O261">
        <v>5489636</v>
      </c>
      <c r="P261">
        <v>217464.60837887001</v>
      </c>
      <c r="Q261">
        <v>27</v>
      </c>
      <c r="R261" s="3">
        <f t="shared" si="33"/>
        <v>3.9618584616333399E-2</v>
      </c>
      <c r="S261">
        <v>12</v>
      </c>
      <c r="T261" t="str">
        <f t="shared" si="34"/>
        <v>Short</v>
      </c>
    </row>
    <row r="262" spans="1:20" ht="18.75" customHeight="1" x14ac:dyDescent="0.35">
      <c r="A262" t="s">
        <v>1071</v>
      </c>
      <c r="B262" t="s">
        <v>2631</v>
      </c>
      <c r="C262" t="s">
        <v>3105</v>
      </c>
      <c r="D262" s="2" t="s">
        <v>1072</v>
      </c>
      <c r="E262" s="2">
        <f t="shared" si="29"/>
        <v>45756</v>
      </c>
      <c r="F262" s="4">
        <f t="shared" si="30"/>
        <v>2025</v>
      </c>
      <c r="G262" t="str">
        <f t="shared" si="31"/>
        <v>April</v>
      </c>
      <c r="H262" t="str">
        <f t="shared" si="32"/>
        <v>2025-04</v>
      </c>
      <c r="I262" s="4">
        <f t="shared" ca="1" si="28"/>
        <v>168</v>
      </c>
      <c r="J262" t="s">
        <v>778</v>
      </c>
      <c r="K262" t="s">
        <v>779</v>
      </c>
      <c r="L262" t="s">
        <v>1073</v>
      </c>
      <c r="M262">
        <v>28</v>
      </c>
      <c r="N262" t="str">
        <f>VLOOKUP(M262, CategoryMap!$A$2:$B$100, 2, FALSE)</f>
        <v>Science &amp; Technology</v>
      </c>
      <c r="O262">
        <v>52760</v>
      </c>
      <c r="P262">
        <v>638</v>
      </c>
      <c r="Q262">
        <v>17</v>
      </c>
      <c r="R262" s="3">
        <f t="shared" si="33"/>
        <v>1.2414708112206217E-2</v>
      </c>
      <c r="S262">
        <v>1188</v>
      </c>
      <c r="T262" t="str">
        <f t="shared" si="34"/>
        <v>Long</v>
      </c>
    </row>
    <row r="263" spans="1:20" ht="18.75" customHeight="1" x14ac:dyDescent="0.35">
      <c r="A263" t="s">
        <v>1074</v>
      </c>
      <c r="B263" t="s">
        <v>2483</v>
      </c>
      <c r="C263" t="s">
        <v>3106</v>
      </c>
      <c r="D263" s="2" t="s">
        <v>1075</v>
      </c>
      <c r="E263" s="2">
        <f t="shared" si="29"/>
        <v>45809</v>
      </c>
      <c r="F263" s="4">
        <f t="shared" si="30"/>
        <v>2025</v>
      </c>
      <c r="G263" t="str">
        <f t="shared" si="31"/>
        <v>June</v>
      </c>
      <c r="H263" t="str">
        <f t="shared" si="32"/>
        <v>2025-06</v>
      </c>
      <c r="I263" s="4">
        <f t="shared" ca="1" si="28"/>
        <v>115</v>
      </c>
      <c r="J263" t="s">
        <v>1076</v>
      </c>
      <c r="K263" t="s">
        <v>1077</v>
      </c>
      <c r="L263" t="s">
        <v>1078</v>
      </c>
      <c r="M263">
        <v>20</v>
      </c>
      <c r="N263" t="str">
        <f>VLOOKUP(M263, CategoryMap!$A$2:$B$100, 2, FALSE)</f>
        <v>Gaming</v>
      </c>
      <c r="O263">
        <v>43508</v>
      </c>
      <c r="P263">
        <v>217464.60837887001</v>
      </c>
      <c r="Q263">
        <v>26</v>
      </c>
      <c r="R263" s="3">
        <f t="shared" si="33"/>
        <v>4.9988647692118695</v>
      </c>
      <c r="S263">
        <v>14</v>
      </c>
      <c r="T263" t="str">
        <f t="shared" si="34"/>
        <v>Short</v>
      </c>
    </row>
    <row r="264" spans="1:20" ht="18.75" customHeight="1" x14ac:dyDescent="0.35">
      <c r="A264" t="s">
        <v>1079</v>
      </c>
      <c r="B264" t="s">
        <v>2632</v>
      </c>
      <c r="C264" t="s">
        <v>11</v>
      </c>
      <c r="D264" s="2" t="s">
        <v>1080</v>
      </c>
      <c r="E264" s="2">
        <f t="shared" si="29"/>
        <v>45828</v>
      </c>
      <c r="F264" s="4">
        <f t="shared" si="30"/>
        <v>2025</v>
      </c>
      <c r="G264" t="str">
        <f t="shared" si="31"/>
        <v>June</v>
      </c>
      <c r="H264" t="str">
        <f t="shared" si="32"/>
        <v>2025-06</v>
      </c>
      <c r="I264" s="4">
        <f t="shared" ca="1" si="28"/>
        <v>96</v>
      </c>
      <c r="J264" t="s">
        <v>1081</v>
      </c>
      <c r="K264" t="s">
        <v>1082</v>
      </c>
      <c r="L264" t="s">
        <v>29</v>
      </c>
      <c r="M264">
        <v>22</v>
      </c>
      <c r="N264" t="str">
        <f>VLOOKUP(M264, CategoryMap!$A$2:$B$100, 2, FALSE)</f>
        <v>People &amp; Blogs</v>
      </c>
      <c r="O264">
        <v>14481</v>
      </c>
      <c r="P264">
        <v>899</v>
      </c>
      <c r="Q264">
        <v>362</v>
      </c>
      <c r="R264" s="3">
        <f t="shared" si="33"/>
        <v>8.7079621573095775E-2</v>
      </c>
      <c r="S264">
        <v>43</v>
      </c>
      <c r="T264" t="str">
        <f t="shared" si="34"/>
        <v>Short</v>
      </c>
    </row>
    <row r="265" spans="1:20" ht="18.75" customHeight="1" x14ac:dyDescent="0.35">
      <c r="A265" t="s">
        <v>1083</v>
      </c>
      <c r="B265" t="s">
        <v>2633</v>
      </c>
      <c r="C265" t="s">
        <v>3107</v>
      </c>
      <c r="D265" s="2" t="s">
        <v>1084</v>
      </c>
      <c r="E265" s="2">
        <f t="shared" si="29"/>
        <v>45801</v>
      </c>
      <c r="F265" s="4">
        <f t="shared" si="30"/>
        <v>2025</v>
      </c>
      <c r="G265" t="str">
        <f t="shared" si="31"/>
        <v>May</v>
      </c>
      <c r="H265" t="str">
        <f t="shared" si="32"/>
        <v>2025-05</v>
      </c>
      <c r="I265" s="4">
        <f t="shared" ca="1" si="28"/>
        <v>123</v>
      </c>
      <c r="J265" t="s">
        <v>1085</v>
      </c>
      <c r="K265" t="s">
        <v>1086</v>
      </c>
      <c r="L265" t="s">
        <v>29</v>
      </c>
      <c r="M265">
        <v>24</v>
      </c>
      <c r="N265" t="str">
        <f>VLOOKUP(M265, CategoryMap!$A$2:$B$100, 2, FALSE)</f>
        <v>Entertainment</v>
      </c>
      <c r="O265">
        <v>9029</v>
      </c>
      <c r="P265">
        <v>97</v>
      </c>
      <c r="Q265">
        <v>2</v>
      </c>
      <c r="R265" s="3">
        <f t="shared" si="33"/>
        <v>1.0964669398604496E-2</v>
      </c>
      <c r="S265">
        <v>59</v>
      </c>
      <c r="T265" t="str">
        <f t="shared" si="34"/>
        <v>Short</v>
      </c>
    </row>
    <row r="266" spans="1:20" ht="18.75" customHeight="1" x14ac:dyDescent="0.35">
      <c r="A266" t="s">
        <v>1087</v>
      </c>
      <c r="B266" t="s">
        <v>2634</v>
      </c>
      <c r="C266" t="s">
        <v>11</v>
      </c>
      <c r="D266" s="2" t="s">
        <v>1088</v>
      </c>
      <c r="E266" s="2">
        <f t="shared" si="29"/>
        <v>45803</v>
      </c>
      <c r="F266" s="4">
        <f t="shared" si="30"/>
        <v>2025</v>
      </c>
      <c r="G266" t="str">
        <f t="shared" si="31"/>
        <v>May</v>
      </c>
      <c r="H266" t="str">
        <f t="shared" si="32"/>
        <v>2025-05</v>
      </c>
      <c r="I266" s="4">
        <f t="shared" ca="1" si="28"/>
        <v>121</v>
      </c>
      <c r="J266" t="s">
        <v>1089</v>
      </c>
      <c r="K266" t="s">
        <v>1090</v>
      </c>
      <c r="L266" t="s">
        <v>29</v>
      </c>
      <c r="M266">
        <v>20</v>
      </c>
      <c r="N266" t="str">
        <f>VLOOKUP(M266, CategoryMap!$A$2:$B$100, 2, FALSE)</f>
        <v>Gaming</v>
      </c>
      <c r="O266">
        <v>4007</v>
      </c>
      <c r="P266">
        <v>217464.60837887001</v>
      </c>
      <c r="Q266">
        <v>1970.1447811447799</v>
      </c>
      <c r="R266" s="3">
        <f t="shared" si="33"/>
        <v>54.762853296734406</v>
      </c>
      <c r="S266">
        <v>18</v>
      </c>
      <c r="T266" t="str">
        <f t="shared" si="34"/>
        <v>Short</v>
      </c>
    </row>
    <row r="267" spans="1:20" ht="18.75" customHeight="1" x14ac:dyDescent="0.35">
      <c r="A267" t="s">
        <v>1091</v>
      </c>
      <c r="B267" t="s">
        <v>1092</v>
      </c>
      <c r="C267" t="s">
        <v>11</v>
      </c>
      <c r="D267" s="2" t="s">
        <v>1093</v>
      </c>
      <c r="E267" s="2">
        <f t="shared" si="29"/>
        <v>45588</v>
      </c>
      <c r="F267" s="4">
        <f t="shared" si="30"/>
        <v>2024</v>
      </c>
      <c r="G267" t="str">
        <f t="shared" si="31"/>
        <v>October</v>
      </c>
      <c r="H267" t="str">
        <f t="shared" si="32"/>
        <v>2024-10</v>
      </c>
      <c r="I267" s="4">
        <f t="shared" ca="1" si="28"/>
        <v>336</v>
      </c>
      <c r="J267" t="s">
        <v>1094</v>
      </c>
      <c r="K267" t="s">
        <v>1095</v>
      </c>
      <c r="L267" t="s">
        <v>29</v>
      </c>
      <c r="M267">
        <v>27</v>
      </c>
      <c r="N267" t="str">
        <f>VLOOKUP(M267, CategoryMap!$A$2:$B$100, 2, FALSE)</f>
        <v>Education</v>
      </c>
      <c r="O267">
        <v>327908</v>
      </c>
      <c r="P267">
        <v>19296</v>
      </c>
      <c r="Q267">
        <v>82</v>
      </c>
      <c r="R267" s="3">
        <f t="shared" si="33"/>
        <v>5.9095843956231624E-2</v>
      </c>
      <c r="S267">
        <v>58</v>
      </c>
      <c r="T267" t="str">
        <f t="shared" si="34"/>
        <v>Short</v>
      </c>
    </row>
    <row r="268" spans="1:20" ht="18.75" customHeight="1" x14ac:dyDescent="0.35">
      <c r="A268" t="s">
        <v>1096</v>
      </c>
      <c r="B268" t="s">
        <v>2635</v>
      </c>
      <c r="C268" t="s">
        <v>3108</v>
      </c>
      <c r="D268" s="2" t="s">
        <v>1097</v>
      </c>
      <c r="E268" s="2">
        <f t="shared" si="29"/>
        <v>45369</v>
      </c>
      <c r="F268" s="4">
        <f t="shared" si="30"/>
        <v>2024</v>
      </c>
      <c r="G268" t="str">
        <f t="shared" si="31"/>
        <v>March</v>
      </c>
      <c r="H268" t="str">
        <f t="shared" si="32"/>
        <v>2024-03</v>
      </c>
      <c r="I268" s="4">
        <f t="shared" ca="1" si="28"/>
        <v>555</v>
      </c>
      <c r="J268" t="s">
        <v>524</v>
      </c>
      <c r="K268" t="s">
        <v>525</v>
      </c>
      <c r="L268" t="s">
        <v>1098</v>
      </c>
      <c r="M268">
        <v>28</v>
      </c>
      <c r="N268" t="str">
        <f>VLOOKUP(M268, CategoryMap!$A$2:$B$100, 2, FALSE)</f>
        <v>Science &amp; Technology</v>
      </c>
      <c r="O268">
        <v>26062005</v>
      </c>
      <c r="P268">
        <v>1256104</v>
      </c>
      <c r="Q268">
        <v>34913</v>
      </c>
      <c r="R268" s="3">
        <f t="shared" si="33"/>
        <v>4.9536365294995534E-2</v>
      </c>
      <c r="S268">
        <v>41</v>
      </c>
      <c r="T268" t="str">
        <f t="shared" si="34"/>
        <v>Short</v>
      </c>
    </row>
    <row r="269" spans="1:20" ht="18.75" customHeight="1" x14ac:dyDescent="0.35">
      <c r="A269" t="s">
        <v>1099</v>
      </c>
      <c r="B269" t="s">
        <v>2636</v>
      </c>
      <c r="C269" t="s">
        <v>11</v>
      </c>
      <c r="D269" s="2" t="s">
        <v>1100</v>
      </c>
      <c r="E269" s="2">
        <f t="shared" si="29"/>
        <v>45826</v>
      </c>
      <c r="F269" s="4">
        <f t="shared" si="30"/>
        <v>2025</v>
      </c>
      <c r="G269" t="str">
        <f t="shared" si="31"/>
        <v>June</v>
      </c>
      <c r="H269" t="str">
        <f t="shared" si="32"/>
        <v>2025-06</v>
      </c>
      <c r="I269" s="4">
        <f t="shared" ca="1" si="28"/>
        <v>98</v>
      </c>
      <c r="J269" t="s">
        <v>850</v>
      </c>
      <c r="K269" t="s">
        <v>851</v>
      </c>
      <c r="L269" t="s">
        <v>29</v>
      </c>
      <c r="M269">
        <v>28</v>
      </c>
      <c r="N269" t="str">
        <f>VLOOKUP(M269, CategoryMap!$A$2:$B$100, 2, FALSE)</f>
        <v>Science &amp; Technology</v>
      </c>
      <c r="O269">
        <v>9134</v>
      </c>
      <c r="P269">
        <v>258</v>
      </c>
      <c r="Q269">
        <v>5</v>
      </c>
      <c r="R269" s="3">
        <f t="shared" si="33"/>
        <v>2.8793518721261221E-2</v>
      </c>
      <c r="S269">
        <v>56</v>
      </c>
      <c r="T269" t="str">
        <f t="shared" si="34"/>
        <v>Short</v>
      </c>
    </row>
    <row r="270" spans="1:20" ht="18.75" customHeight="1" x14ac:dyDescent="0.35">
      <c r="A270" t="s">
        <v>1101</v>
      </c>
      <c r="B270" t="s">
        <v>2637</v>
      </c>
      <c r="C270" t="s">
        <v>3109</v>
      </c>
      <c r="D270" s="2" t="s">
        <v>1102</v>
      </c>
      <c r="E270" s="2">
        <f t="shared" si="29"/>
        <v>45385</v>
      </c>
      <c r="F270" s="4">
        <f t="shared" si="30"/>
        <v>2024</v>
      </c>
      <c r="G270" t="str">
        <f t="shared" si="31"/>
        <v>April</v>
      </c>
      <c r="H270" t="str">
        <f t="shared" si="32"/>
        <v>2024-04</v>
      </c>
      <c r="I270" s="4">
        <f t="shared" ca="1" si="28"/>
        <v>539</v>
      </c>
      <c r="J270" t="s">
        <v>1103</v>
      </c>
      <c r="K270" t="s">
        <v>1104</v>
      </c>
      <c r="L270" t="s">
        <v>29</v>
      </c>
      <c r="M270">
        <v>28</v>
      </c>
      <c r="N270" t="str">
        <f>VLOOKUP(M270, CategoryMap!$A$2:$B$100, 2, FALSE)</f>
        <v>Science &amp; Technology</v>
      </c>
      <c r="O270">
        <v>23903145</v>
      </c>
      <c r="P270">
        <v>458553</v>
      </c>
      <c r="Q270">
        <v>315</v>
      </c>
      <c r="R270" s="3">
        <f t="shared" si="33"/>
        <v>1.9196971779236582E-2</v>
      </c>
      <c r="S270">
        <v>41</v>
      </c>
      <c r="T270" t="str">
        <f t="shared" si="34"/>
        <v>Short</v>
      </c>
    </row>
    <row r="271" spans="1:20" ht="18.75" customHeight="1" x14ac:dyDescent="0.35">
      <c r="A271" t="s">
        <v>1105</v>
      </c>
      <c r="B271" t="s">
        <v>2638</v>
      </c>
      <c r="C271" t="s">
        <v>3110</v>
      </c>
      <c r="D271" s="2" t="s">
        <v>1106</v>
      </c>
      <c r="E271" s="2">
        <f t="shared" si="29"/>
        <v>45664</v>
      </c>
      <c r="F271" s="4">
        <f t="shared" si="30"/>
        <v>2025</v>
      </c>
      <c r="G271" t="str">
        <f t="shared" si="31"/>
        <v>January</v>
      </c>
      <c r="H271" t="str">
        <f t="shared" si="32"/>
        <v>2025-01</v>
      </c>
      <c r="I271" s="4">
        <f t="shared" ca="1" si="28"/>
        <v>260</v>
      </c>
      <c r="J271" t="s">
        <v>1107</v>
      </c>
      <c r="K271" t="s">
        <v>1108</v>
      </c>
      <c r="L271" t="s">
        <v>1109</v>
      </c>
      <c r="M271">
        <v>24</v>
      </c>
      <c r="N271" t="str">
        <f>VLOOKUP(M271, CategoryMap!$A$2:$B$100, 2, FALSE)</f>
        <v>Entertainment</v>
      </c>
      <c r="O271">
        <v>843703</v>
      </c>
      <c r="P271">
        <v>7197</v>
      </c>
      <c r="Q271">
        <v>32</v>
      </c>
      <c r="R271" s="3">
        <f t="shared" si="33"/>
        <v>8.5681809831184667E-3</v>
      </c>
      <c r="S271">
        <v>27</v>
      </c>
      <c r="T271" t="str">
        <f t="shared" si="34"/>
        <v>Short</v>
      </c>
    </row>
    <row r="272" spans="1:20" ht="18.75" customHeight="1" x14ac:dyDescent="0.35">
      <c r="A272" t="s">
        <v>1110</v>
      </c>
      <c r="B272" t="s">
        <v>2639</v>
      </c>
      <c r="C272" t="s">
        <v>3111</v>
      </c>
      <c r="D272" s="2" t="s">
        <v>1111</v>
      </c>
      <c r="E272" s="2">
        <f t="shared" si="29"/>
        <v>45827</v>
      </c>
      <c r="F272" s="4">
        <f t="shared" si="30"/>
        <v>2025</v>
      </c>
      <c r="G272" t="str">
        <f t="shared" si="31"/>
        <v>June</v>
      </c>
      <c r="H272" t="str">
        <f t="shared" si="32"/>
        <v>2025-06</v>
      </c>
      <c r="I272" s="4">
        <f t="shared" ca="1" si="28"/>
        <v>97</v>
      </c>
      <c r="J272" t="s">
        <v>1112</v>
      </c>
      <c r="K272" t="s">
        <v>1113</v>
      </c>
      <c r="L272" t="s">
        <v>1114</v>
      </c>
      <c r="M272">
        <v>10</v>
      </c>
      <c r="N272" t="str">
        <f>VLOOKUP(M272, CategoryMap!$A$2:$B$100, 2, FALSE)</f>
        <v>Music</v>
      </c>
      <c r="O272">
        <v>18562</v>
      </c>
      <c r="P272">
        <v>235</v>
      </c>
      <c r="Q272">
        <v>0</v>
      </c>
      <c r="R272" s="3">
        <f t="shared" si="33"/>
        <v>1.2660273677405453E-2</v>
      </c>
      <c r="S272">
        <v>60</v>
      </c>
      <c r="T272" t="str">
        <f t="shared" si="34"/>
        <v>Short</v>
      </c>
    </row>
    <row r="273" spans="1:20" ht="18.75" customHeight="1" x14ac:dyDescent="0.35">
      <c r="A273" t="s">
        <v>1115</v>
      </c>
      <c r="B273" t="s">
        <v>2640</v>
      </c>
      <c r="C273" t="s">
        <v>11</v>
      </c>
      <c r="D273" s="2" t="s">
        <v>1116</v>
      </c>
      <c r="E273" s="2">
        <f t="shared" si="29"/>
        <v>45156</v>
      </c>
      <c r="F273" s="4">
        <f t="shared" si="30"/>
        <v>2023</v>
      </c>
      <c r="G273" t="str">
        <f t="shared" si="31"/>
        <v>August</v>
      </c>
      <c r="H273" t="str">
        <f t="shared" si="32"/>
        <v>2023-08</v>
      </c>
      <c r="I273" s="4">
        <f t="shared" ca="1" si="28"/>
        <v>768</v>
      </c>
      <c r="J273" t="s">
        <v>1117</v>
      </c>
      <c r="K273" t="s">
        <v>1118</v>
      </c>
      <c r="L273" t="s">
        <v>29</v>
      </c>
      <c r="M273">
        <v>22</v>
      </c>
      <c r="N273" t="str">
        <f>VLOOKUP(M273, CategoryMap!$A$2:$B$100, 2, FALSE)</f>
        <v>People &amp; Blogs</v>
      </c>
      <c r="O273">
        <v>23594615</v>
      </c>
      <c r="P273">
        <v>1172467</v>
      </c>
      <c r="Q273">
        <v>2259</v>
      </c>
      <c r="R273" s="3">
        <f t="shared" si="33"/>
        <v>4.9787885922275059E-2</v>
      </c>
      <c r="S273">
        <v>56</v>
      </c>
      <c r="T273" t="str">
        <f t="shared" si="34"/>
        <v>Short</v>
      </c>
    </row>
    <row r="274" spans="1:20" ht="18.75" customHeight="1" x14ac:dyDescent="0.35">
      <c r="A274" t="s">
        <v>1119</v>
      </c>
      <c r="B274" t="s">
        <v>1120</v>
      </c>
      <c r="C274" t="s">
        <v>3112</v>
      </c>
      <c r="D274" s="2" t="s">
        <v>1121</v>
      </c>
      <c r="E274" s="2">
        <f t="shared" si="29"/>
        <v>45828</v>
      </c>
      <c r="F274" s="4">
        <f t="shared" si="30"/>
        <v>2025</v>
      </c>
      <c r="G274" t="str">
        <f t="shared" si="31"/>
        <v>June</v>
      </c>
      <c r="H274" t="str">
        <f t="shared" si="32"/>
        <v>2025-06</v>
      </c>
      <c r="I274" s="4">
        <f t="shared" ca="1" si="28"/>
        <v>96</v>
      </c>
      <c r="J274" t="s">
        <v>1122</v>
      </c>
      <c r="K274" t="s">
        <v>1123</v>
      </c>
      <c r="L274" t="s">
        <v>29</v>
      </c>
      <c r="M274">
        <v>24</v>
      </c>
      <c r="N274" t="str">
        <f>VLOOKUP(M274, CategoryMap!$A$2:$B$100, 2, FALSE)</f>
        <v>Entertainment</v>
      </c>
      <c r="O274">
        <v>5439</v>
      </c>
      <c r="P274">
        <v>217464.60837887001</v>
      </c>
      <c r="Q274">
        <v>0</v>
      </c>
      <c r="R274" s="3">
        <f t="shared" si="33"/>
        <v>39.982461551548077</v>
      </c>
      <c r="S274">
        <v>23</v>
      </c>
      <c r="T274" t="str">
        <f t="shared" si="34"/>
        <v>Short</v>
      </c>
    </row>
    <row r="275" spans="1:20" ht="18.75" customHeight="1" x14ac:dyDescent="0.35">
      <c r="A275" t="s">
        <v>1124</v>
      </c>
      <c r="B275" t="s">
        <v>2641</v>
      </c>
      <c r="C275" t="s">
        <v>3113</v>
      </c>
      <c r="D275" s="2" t="s">
        <v>1125</v>
      </c>
      <c r="E275" s="2">
        <f t="shared" si="29"/>
        <v>45461</v>
      </c>
      <c r="F275" s="4">
        <f t="shared" si="30"/>
        <v>2024</v>
      </c>
      <c r="G275" t="str">
        <f t="shared" si="31"/>
        <v>June</v>
      </c>
      <c r="H275" t="str">
        <f t="shared" si="32"/>
        <v>2024-06</v>
      </c>
      <c r="I275" s="4">
        <f t="shared" ca="1" si="28"/>
        <v>463</v>
      </c>
      <c r="J275" t="s">
        <v>1126</v>
      </c>
      <c r="K275" t="s">
        <v>1127</v>
      </c>
      <c r="L275" t="s">
        <v>29</v>
      </c>
      <c r="M275">
        <v>15</v>
      </c>
      <c r="N275" t="str">
        <f>VLOOKUP(M275, CategoryMap!$A$2:$B$100, 2, FALSE)</f>
        <v>Pets &amp; Animals</v>
      </c>
      <c r="O275">
        <v>292742</v>
      </c>
      <c r="P275">
        <v>3238</v>
      </c>
      <c r="Q275">
        <v>210</v>
      </c>
      <c r="R275" s="3">
        <f t="shared" si="33"/>
        <v>1.1778289415253022E-2</v>
      </c>
      <c r="S275">
        <v>15</v>
      </c>
      <c r="T275" t="str">
        <f t="shared" si="34"/>
        <v>Short</v>
      </c>
    </row>
    <row r="276" spans="1:20" ht="18.75" customHeight="1" x14ac:dyDescent="0.35">
      <c r="A276" t="s">
        <v>1128</v>
      </c>
      <c r="B276" t="s">
        <v>2642</v>
      </c>
      <c r="C276" t="s">
        <v>3114</v>
      </c>
      <c r="D276" s="2" t="s">
        <v>1129</v>
      </c>
      <c r="E276" s="2">
        <f t="shared" si="29"/>
        <v>45822</v>
      </c>
      <c r="F276" s="4">
        <f t="shared" si="30"/>
        <v>2025</v>
      </c>
      <c r="G276" t="str">
        <f t="shared" si="31"/>
        <v>June</v>
      </c>
      <c r="H276" t="str">
        <f t="shared" si="32"/>
        <v>2025-06</v>
      </c>
      <c r="I276" s="4">
        <f t="shared" ca="1" si="28"/>
        <v>102</v>
      </c>
      <c r="J276" t="s">
        <v>1130</v>
      </c>
      <c r="K276" t="s">
        <v>1131</v>
      </c>
      <c r="L276" t="s">
        <v>1132</v>
      </c>
      <c r="M276">
        <v>28</v>
      </c>
      <c r="N276" t="str">
        <f>VLOOKUP(M276, CategoryMap!$A$2:$B$100, 2, FALSE)</f>
        <v>Science &amp; Technology</v>
      </c>
      <c r="O276">
        <v>32737</v>
      </c>
      <c r="P276">
        <v>452</v>
      </c>
      <c r="Q276">
        <v>2</v>
      </c>
      <c r="R276" s="3">
        <f t="shared" si="33"/>
        <v>1.3868100314628708E-2</v>
      </c>
      <c r="S276">
        <v>24</v>
      </c>
      <c r="T276" t="str">
        <f t="shared" si="34"/>
        <v>Short</v>
      </c>
    </row>
    <row r="277" spans="1:20" ht="18.75" customHeight="1" x14ac:dyDescent="0.35">
      <c r="A277" t="s">
        <v>1133</v>
      </c>
      <c r="B277" t="s">
        <v>2643</v>
      </c>
      <c r="C277" t="s">
        <v>3115</v>
      </c>
      <c r="D277" s="2" t="s">
        <v>1134</v>
      </c>
      <c r="E277" s="2">
        <f t="shared" si="29"/>
        <v>45826</v>
      </c>
      <c r="F277" s="4">
        <f t="shared" si="30"/>
        <v>2025</v>
      </c>
      <c r="G277" t="str">
        <f t="shared" si="31"/>
        <v>June</v>
      </c>
      <c r="H277" t="str">
        <f t="shared" si="32"/>
        <v>2025-06</v>
      </c>
      <c r="I277" s="4">
        <f t="shared" ca="1" si="28"/>
        <v>98</v>
      </c>
      <c r="J277" t="s">
        <v>1135</v>
      </c>
      <c r="K277" t="s">
        <v>1136</v>
      </c>
      <c r="L277" t="s">
        <v>29</v>
      </c>
      <c r="M277">
        <v>28</v>
      </c>
      <c r="N277" t="str">
        <f>VLOOKUP(M277, CategoryMap!$A$2:$B$100, 2, FALSE)</f>
        <v>Science &amp; Technology</v>
      </c>
      <c r="O277">
        <v>9164</v>
      </c>
      <c r="P277">
        <v>426</v>
      </c>
      <c r="Q277">
        <v>2</v>
      </c>
      <c r="R277" s="3">
        <f t="shared" si="33"/>
        <v>4.6704495853339155E-2</v>
      </c>
      <c r="S277">
        <v>59</v>
      </c>
      <c r="T277" t="str">
        <f t="shared" si="34"/>
        <v>Short</v>
      </c>
    </row>
    <row r="278" spans="1:20" ht="18.75" customHeight="1" x14ac:dyDescent="0.35">
      <c r="A278" t="s">
        <v>1137</v>
      </c>
      <c r="B278" t="s">
        <v>2644</v>
      </c>
      <c r="C278" t="s">
        <v>11</v>
      </c>
      <c r="D278" s="2" t="s">
        <v>1138</v>
      </c>
      <c r="E278" s="2">
        <f t="shared" si="29"/>
        <v>45169</v>
      </c>
      <c r="F278" s="4">
        <f t="shared" si="30"/>
        <v>2023</v>
      </c>
      <c r="G278" t="str">
        <f t="shared" si="31"/>
        <v>August</v>
      </c>
      <c r="H278" t="str">
        <f t="shared" si="32"/>
        <v>2023-08</v>
      </c>
      <c r="I278" s="4">
        <f t="shared" ca="1" si="28"/>
        <v>755</v>
      </c>
      <c r="J278" t="s">
        <v>1139</v>
      </c>
      <c r="K278" t="s">
        <v>1140</v>
      </c>
      <c r="L278" t="s">
        <v>29</v>
      </c>
      <c r="M278">
        <v>27</v>
      </c>
      <c r="N278" t="str">
        <f>VLOOKUP(M278, CategoryMap!$A$2:$B$100, 2, FALSE)</f>
        <v>Education</v>
      </c>
      <c r="O278">
        <v>3648455</v>
      </c>
      <c r="P278">
        <v>210341</v>
      </c>
      <c r="Q278">
        <v>785</v>
      </c>
      <c r="R278" s="3">
        <f t="shared" si="33"/>
        <v>5.7867234212838035E-2</v>
      </c>
      <c r="S278">
        <v>44</v>
      </c>
      <c r="T278" t="str">
        <f t="shared" si="34"/>
        <v>Short</v>
      </c>
    </row>
    <row r="279" spans="1:20" ht="18.75" customHeight="1" x14ac:dyDescent="0.35">
      <c r="A279" t="s">
        <v>1141</v>
      </c>
      <c r="B279" t="s">
        <v>2645</v>
      </c>
      <c r="C279" t="s">
        <v>3116</v>
      </c>
      <c r="D279" s="2" t="s">
        <v>1142</v>
      </c>
      <c r="E279" s="2">
        <f t="shared" si="29"/>
        <v>45564</v>
      </c>
      <c r="F279" s="4">
        <f t="shared" si="30"/>
        <v>2024</v>
      </c>
      <c r="G279" t="str">
        <f t="shared" si="31"/>
        <v>September</v>
      </c>
      <c r="H279" t="str">
        <f t="shared" si="32"/>
        <v>2024-09</v>
      </c>
      <c r="I279" s="4">
        <f t="shared" ca="1" si="28"/>
        <v>360</v>
      </c>
      <c r="J279" t="s">
        <v>1143</v>
      </c>
      <c r="K279" t="s">
        <v>1144</v>
      </c>
      <c r="L279" t="s">
        <v>1145</v>
      </c>
      <c r="M279">
        <v>27</v>
      </c>
      <c r="N279" t="str">
        <f>VLOOKUP(M279, CategoryMap!$A$2:$B$100, 2, FALSE)</f>
        <v>Education</v>
      </c>
      <c r="O279">
        <v>14158160</v>
      </c>
      <c r="P279">
        <v>217464.60837887001</v>
      </c>
      <c r="Q279">
        <v>52</v>
      </c>
      <c r="R279" s="3">
        <f t="shared" si="33"/>
        <v>1.536333876569201E-2</v>
      </c>
      <c r="S279">
        <v>15</v>
      </c>
      <c r="T279" t="str">
        <f t="shared" si="34"/>
        <v>Short</v>
      </c>
    </row>
    <row r="280" spans="1:20" ht="18.75" customHeight="1" x14ac:dyDescent="0.35">
      <c r="A280" t="s">
        <v>1146</v>
      </c>
      <c r="B280" t="s">
        <v>2646</v>
      </c>
      <c r="C280" t="s">
        <v>3117</v>
      </c>
      <c r="D280" s="2" t="s">
        <v>1147</v>
      </c>
      <c r="E280" s="2">
        <f t="shared" si="29"/>
        <v>45735</v>
      </c>
      <c r="F280" s="4">
        <f t="shared" si="30"/>
        <v>2025</v>
      </c>
      <c r="G280" t="str">
        <f t="shared" si="31"/>
        <v>March</v>
      </c>
      <c r="H280" t="str">
        <f t="shared" si="32"/>
        <v>2025-03</v>
      </c>
      <c r="I280" s="4">
        <f t="shared" ca="1" si="28"/>
        <v>189</v>
      </c>
      <c r="J280" t="s">
        <v>1148</v>
      </c>
      <c r="K280" t="s">
        <v>1149</v>
      </c>
      <c r="L280" t="s">
        <v>29</v>
      </c>
      <c r="M280">
        <v>28</v>
      </c>
      <c r="N280" t="str">
        <f>VLOOKUP(M280, CategoryMap!$A$2:$B$100, 2, FALSE)</f>
        <v>Science &amp; Technology</v>
      </c>
      <c r="O280">
        <v>44510330</v>
      </c>
      <c r="P280">
        <v>144821</v>
      </c>
      <c r="Q280">
        <v>812</v>
      </c>
      <c r="R280" s="3">
        <f t="shared" si="33"/>
        <v>3.271892165256919E-3</v>
      </c>
      <c r="S280">
        <v>8</v>
      </c>
      <c r="T280" t="str">
        <f t="shared" si="34"/>
        <v>Short</v>
      </c>
    </row>
    <row r="281" spans="1:20" ht="18.75" customHeight="1" x14ac:dyDescent="0.35">
      <c r="A281" t="s">
        <v>1150</v>
      </c>
      <c r="B281" t="s">
        <v>2647</v>
      </c>
      <c r="C281" t="s">
        <v>3118</v>
      </c>
      <c r="D281" s="2" t="s">
        <v>1151</v>
      </c>
      <c r="E281" s="2">
        <f t="shared" si="29"/>
        <v>45539</v>
      </c>
      <c r="F281" s="4">
        <f t="shared" si="30"/>
        <v>2024</v>
      </c>
      <c r="G281" t="str">
        <f t="shared" si="31"/>
        <v>September</v>
      </c>
      <c r="H281" t="str">
        <f t="shared" si="32"/>
        <v>2024-09</v>
      </c>
      <c r="I281" s="4">
        <f t="shared" ca="1" si="28"/>
        <v>385</v>
      </c>
      <c r="J281" t="s">
        <v>1152</v>
      </c>
      <c r="K281" t="s">
        <v>1153</v>
      </c>
      <c r="L281" t="s">
        <v>1154</v>
      </c>
      <c r="M281">
        <v>27</v>
      </c>
      <c r="N281" t="str">
        <f>VLOOKUP(M281, CategoryMap!$A$2:$B$100, 2, FALSE)</f>
        <v>Education</v>
      </c>
      <c r="O281">
        <v>1249</v>
      </c>
      <c r="P281">
        <v>23</v>
      </c>
      <c r="Q281">
        <v>1</v>
      </c>
      <c r="R281" s="3">
        <f t="shared" si="33"/>
        <v>1.9215372297838269E-2</v>
      </c>
      <c r="S281">
        <v>45</v>
      </c>
      <c r="T281" t="str">
        <f t="shared" si="34"/>
        <v>Short</v>
      </c>
    </row>
    <row r="282" spans="1:20" ht="18.75" customHeight="1" x14ac:dyDescent="0.35">
      <c r="A282" t="s">
        <v>1155</v>
      </c>
      <c r="B282" t="s">
        <v>2648</v>
      </c>
      <c r="C282" t="s">
        <v>1036</v>
      </c>
      <c r="D282" s="2" t="s">
        <v>1156</v>
      </c>
      <c r="E282" s="2">
        <f t="shared" si="29"/>
        <v>45822</v>
      </c>
      <c r="F282" s="4">
        <f t="shared" si="30"/>
        <v>2025</v>
      </c>
      <c r="G282" t="str">
        <f t="shared" si="31"/>
        <v>June</v>
      </c>
      <c r="H282" t="str">
        <f t="shared" si="32"/>
        <v>2025-06</v>
      </c>
      <c r="I282" s="4">
        <f t="shared" ca="1" si="28"/>
        <v>102</v>
      </c>
      <c r="J282" t="s">
        <v>1038</v>
      </c>
      <c r="K282" t="s">
        <v>1039</v>
      </c>
      <c r="L282" t="s">
        <v>29</v>
      </c>
      <c r="M282">
        <v>28</v>
      </c>
      <c r="N282" t="str">
        <f>VLOOKUP(M282, CategoryMap!$A$2:$B$100, 2, FALSE)</f>
        <v>Science &amp; Technology</v>
      </c>
      <c r="O282">
        <v>64733</v>
      </c>
      <c r="P282">
        <v>173</v>
      </c>
      <c r="Q282">
        <v>0</v>
      </c>
      <c r="R282" s="3">
        <f t="shared" si="33"/>
        <v>2.6725163363354085E-3</v>
      </c>
      <c r="S282">
        <v>10</v>
      </c>
      <c r="T282" t="str">
        <f t="shared" si="34"/>
        <v>Short</v>
      </c>
    </row>
    <row r="283" spans="1:20" ht="18.75" customHeight="1" x14ac:dyDescent="0.35">
      <c r="A283" t="s">
        <v>1157</v>
      </c>
      <c r="B283" t="s">
        <v>2649</v>
      </c>
      <c r="C283" t="s">
        <v>11</v>
      </c>
      <c r="D283" s="2" t="s">
        <v>1158</v>
      </c>
      <c r="E283" s="2">
        <f t="shared" si="29"/>
        <v>45779</v>
      </c>
      <c r="F283" s="4">
        <f t="shared" si="30"/>
        <v>2025</v>
      </c>
      <c r="G283" t="str">
        <f t="shared" si="31"/>
        <v>May</v>
      </c>
      <c r="H283" t="str">
        <f t="shared" si="32"/>
        <v>2025-05</v>
      </c>
      <c r="I283" s="4">
        <f t="shared" ca="1" si="28"/>
        <v>145</v>
      </c>
      <c r="J283" t="s">
        <v>1159</v>
      </c>
      <c r="K283" t="s">
        <v>1160</v>
      </c>
      <c r="L283" t="s">
        <v>29</v>
      </c>
      <c r="M283">
        <v>20</v>
      </c>
      <c r="N283" t="str">
        <f>VLOOKUP(M283, CategoryMap!$A$2:$B$100, 2, FALSE)</f>
        <v>Gaming</v>
      </c>
      <c r="O283">
        <v>984172</v>
      </c>
      <c r="P283">
        <v>7121</v>
      </c>
      <c r="Q283">
        <v>16</v>
      </c>
      <c r="R283" s="3">
        <f t="shared" si="33"/>
        <v>7.2517811927183462E-3</v>
      </c>
      <c r="S283">
        <v>10</v>
      </c>
      <c r="T283" t="str">
        <f t="shared" si="34"/>
        <v>Short</v>
      </c>
    </row>
    <row r="284" spans="1:20" ht="18.75" customHeight="1" x14ac:dyDescent="0.35">
      <c r="A284" t="s">
        <v>1161</v>
      </c>
      <c r="B284" t="s">
        <v>2650</v>
      </c>
      <c r="C284" t="s">
        <v>11</v>
      </c>
      <c r="D284" s="2" t="s">
        <v>1162</v>
      </c>
      <c r="E284" s="2">
        <f t="shared" si="29"/>
        <v>45822</v>
      </c>
      <c r="F284" s="4">
        <f t="shared" si="30"/>
        <v>2025</v>
      </c>
      <c r="G284" t="str">
        <f t="shared" si="31"/>
        <v>June</v>
      </c>
      <c r="H284" t="str">
        <f t="shared" si="32"/>
        <v>2025-06</v>
      </c>
      <c r="I284" s="4">
        <f t="shared" ca="1" si="28"/>
        <v>102</v>
      </c>
      <c r="J284" t="s">
        <v>1163</v>
      </c>
      <c r="K284" t="s">
        <v>1164</v>
      </c>
      <c r="L284" t="s">
        <v>29</v>
      </c>
      <c r="M284">
        <v>22</v>
      </c>
      <c r="N284" t="str">
        <f>VLOOKUP(M284, CategoryMap!$A$2:$B$100, 2, FALSE)</f>
        <v>People &amp; Blogs</v>
      </c>
      <c r="O284">
        <v>4743578</v>
      </c>
      <c r="P284">
        <v>20716</v>
      </c>
      <c r="Q284">
        <v>13</v>
      </c>
      <c r="R284" s="3">
        <f t="shared" si="33"/>
        <v>4.3699081157725249E-3</v>
      </c>
      <c r="S284">
        <v>15</v>
      </c>
      <c r="T284" t="str">
        <f t="shared" si="34"/>
        <v>Short</v>
      </c>
    </row>
    <row r="285" spans="1:20" ht="18.75" customHeight="1" x14ac:dyDescent="0.35">
      <c r="A285" t="s">
        <v>1165</v>
      </c>
      <c r="B285" t="s">
        <v>2566</v>
      </c>
      <c r="C285" t="s">
        <v>2929</v>
      </c>
      <c r="D285" s="2" t="s">
        <v>1166</v>
      </c>
      <c r="E285" s="2">
        <f t="shared" si="29"/>
        <v>45349</v>
      </c>
      <c r="F285" s="4">
        <f t="shared" si="30"/>
        <v>2024</v>
      </c>
      <c r="G285" t="str">
        <f t="shared" si="31"/>
        <v>February</v>
      </c>
      <c r="H285" t="str">
        <f t="shared" si="32"/>
        <v>2024-02</v>
      </c>
      <c r="I285" s="4">
        <f t="shared" ca="1" si="28"/>
        <v>575</v>
      </c>
      <c r="J285" t="s">
        <v>64</v>
      </c>
      <c r="K285" t="s">
        <v>65</v>
      </c>
      <c r="L285" t="s">
        <v>29</v>
      </c>
      <c r="M285">
        <v>28</v>
      </c>
      <c r="N285" t="str">
        <f>VLOOKUP(M285, CategoryMap!$A$2:$B$100, 2, FALSE)</f>
        <v>Science &amp; Technology</v>
      </c>
      <c r="O285">
        <v>78819965</v>
      </c>
      <c r="P285">
        <v>1181196</v>
      </c>
      <c r="Q285">
        <v>1229</v>
      </c>
      <c r="R285" s="3">
        <f t="shared" si="33"/>
        <v>1.5001592553358783E-2</v>
      </c>
      <c r="S285">
        <v>17</v>
      </c>
      <c r="T285" t="str">
        <f t="shared" si="34"/>
        <v>Short</v>
      </c>
    </row>
    <row r="286" spans="1:20" ht="18.75" customHeight="1" x14ac:dyDescent="0.35">
      <c r="A286" t="s">
        <v>1167</v>
      </c>
      <c r="B286" t="s">
        <v>2651</v>
      </c>
      <c r="C286" t="s">
        <v>11</v>
      </c>
      <c r="D286" s="2" t="s">
        <v>1168</v>
      </c>
      <c r="E286" s="2">
        <f t="shared" si="29"/>
        <v>45170</v>
      </c>
      <c r="F286" s="4">
        <f t="shared" si="30"/>
        <v>2023</v>
      </c>
      <c r="G286" t="str">
        <f t="shared" si="31"/>
        <v>September</v>
      </c>
      <c r="H286" t="str">
        <f t="shared" si="32"/>
        <v>2023-09</v>
      </c>
      <c r="I286" s="4">
        <f t="shared" ca="1" si="28"/>
        <v>754</v>
      </c>
      <c r="J286" t="s">
        <v>1117</v>
      </c>
      <c r="K286" t="s">
        <v>1118</v>
      </c>
      <c r="L286" t="s">
        <v>29</v>
      </c>
      <c r="M286">
        <v>22</v>
      </c>
      <c r="N286" t="str">
        <f>VLOOKUP(M286, CategoryMap!$A$2:$B$100, 2, FALSE)</f>
        <v>People &amp; Blogs</v>
      </c>
      <c r="O286">
        <v>60581042</v>
      </c>
      <c r="P286">
        <v>2466928</v>
      </c>
      <c r="Q286">
        <v>4655</v>
      </c>
      <c r="R286" s="3">
        <f t="shared" si="33"/>
        <v>4.0797961183962471E-2</v>
      </c>
      <c r="S286">
        <v>56</v>
      </c>
      <c r="T286" t="str">
        <f t="shared" si="34"/>
        <v>Short</v>
      </c>
    </row>
    <row r="287" spans="1:20" ht="18.75" customHeight="1" x14ac:dyDescent="0.35">
      <c r="A287" t="s">
        <v>1169</v>
      </c>
      <c r="B287" t="s">
        <v>2652</v>
      </c>
      <c r="C287" t="s">
        <v>3119</v>
      </c>
      <c r="D287" s="2" t="s">
        <v>1170</v>
      </c>
      <c r="E287" s="2">
        <f t="shared" si="29"/>
        <v>45787</v>
      </c>
      <c r="F287" s="4">
        <f t="shared" si="30"/>
        <v>2025</v>
      </c>
      <c r="G287" t="str">
        <f t="shared" si="31"/>
        <v>May</v>
      </c>
      <c r="H287" t="str">
        <f t="shared" si="32"/>
        <v>2025-05</v>
      </c>
      <c r="I287" s="4">
        <f t="shared" ca="1" si="28"/>
        <v>137</v>
      </c>
      <c r="J287" t="s">
        <v>1171</v>
      </c>
      <c r="K287" t="s">
        <v>1172</v>
      </c>
      <c r="L287" t="s">
        <v>1173</v>
      </c>
      <c r="M287">
        <v>24</v>
      </c>
      <c r="N287" t="str">
        <f>VLOOKUP(M287, CategoryMap!$A$2:$B$100, 2, FALSE)</f>
        <v>Entertainment</v>
      </c>
      <c r="O287">
        <v>5475121</v>
      </c>
      <c r="P287">
        <v>61780</v>
      </c>
      <c r="Q287">
        <v>1286</v>
      </c>
      <c r="R287" s="3">
        <f t="shared" si="33"/>
        <v>1.1518649542174502E-2</v>
      </c>
      <c r="S287">
        <v>268</v>
      </c>
      <c r="T287" t="str">
        <f t="shared" si="34"/>
        <v>Long</v>
      </c>
    </row>
    <row r="288" spans="1:20" ht="18.75" customHeight="1" x14ac:dyDescent="0.35">
      <c r="A288" t="s">
        <v>1174</v>
      </c>
      <c r="B288" t="s">
        <v>2653</v>
      </c>
      <c r="C288" t="s">
        <v>3120</v>
      </c>
      <c r="D288" s="2" t="s">
        <v>1175</v>
      </c>
      <c r="E288" s="2">
        <f t="shared" si="29"/>
        <v>45273</v>
      </c>
      <c r="F288" s="4">
        <f t="shared" si="30"/>
        <v>2023</v>
      </c>
      <c r="G288" t="str">
        <f t="shared" si="31"/>
        <v>December</v>
      </c>
      <c r="H288" t="str">
        <f t="shared" si="32"/>
        <v>2023-12</v>
      </c>
      <c r="I288" s="4">
        <f t="shared" ca="1" si="28"/>
        <v>651</v>
      </c>
      <c r="J288" t="s">
        <v>1176</v>
      </c>
      <c r="K288" t="s">
        <v>1177</v>
      </c>
      <c r="L288" t="s">
        <v>1178</v>
      </c>
      <c r="M288">
        <v>27</v>
      </c>
      <c r="N288" t="str">
        <f>VLOOKUP(M288, CategoryMap!$A$2:$B$100, 2, FALSE)</f>
        <v>Education</v>
      </c>
      <c r="O288">
        <v>127859</v>
      </c>
      <c r="P288">
        <v>2306</v>
      </c>
      <c r="Q288">
        <v>6</v>
      </c>
      <c r="R288" s="3">
        <f t="shared" si="33"/>
        <v>1.8082418914585598E-2</v>
      </c>
      <c r="S288">
        <v>29</v>
      </c>
      <c r="T288" t="str">
        <f t="shared" si="34"/>
        <v>Short</v>
      </c>
    </row>
    <row r="289" spans="1:20" ht="18.75" customHeight="1" x14ac:dyDescent="0.35">
      <c r="A289" t="s">
        <v>1179</v>
      </c>
      <c r="B289" t="s">
        <v>2654</v>
      </c>
      <c r="C289" t="s">
        <v>3121</v>
      </c>
      <c r="D289" s="2" t="s">
        <v>1180</v>
      </c>
      <c r="E289" s="2">
        <f t="shared" si="29"/>
        <v>45573</v>
      </c>
      <c r="F289" s="4">
        <f t="shared" si="30"/>
        <v>2024</v>
      </c>
      <c r="G289" t="str">
        <f t="shared" si="31"/>
        <v>October</v>
      </c>
      <c r="H289" t="str">
        <f t="shared" si="32"/>
        <v>2024-10</v>
      </c>
      <c r="I289" s="4">
        <f t="shared" ca="1" si="28"/>
        <v>351</v>
      </c>
      <c r="J289" t="s">
        <v>1181</v>
      </c>
      <c r="K289" t="s">
        <v>1182</v>
      </c>
      <c r="L289" t="s">
        <v>1183</v>
      </c>
      <c r="M289">
        <v>22</v>
      </c>
      <c r="N289" t="str">
        <f>VLOOKUP(M289, CategoryMap!$A$2:$B$100, 2, FALSE)</f>
        <v>People &amp; Blogs</v>
      </c>
      <c r="O289">
        <v>3007853</v>
      </c>
      <c r="P289">
        <v>65075</v>
      </c>
      <c r="Q289">
        <v>204</v>
      </c>
      <c r="R289" s="3">
        <f t="shared" si="33"/>
        <v>2.1702855824403653E-2</v>
      </c>
      <c r="S289">
        <v>10</v>
      </c>
      <c r="T289" t="str">
        <f t="shared" si="34"/>
        <v>Short</v>
      </c>
    </row>
    <row r="290" spans="1:20" ht="18.75" customHeight="1" x14ac:dyDescent="0.35">
      <c r="A290" t="s">
        <v>1184</v>
      </c>
      <c r="B290" t="s">
        <v>2655</v>
      </c>
      <c r="C290" t="s">
        <v>3122</v>
      </c>
      <c r="D290" s="2" t="s">
        <v>1185</v>
      </c>
      <c r="E290" s="2">
        <f t="shared" si="29"/>
        <v>45806</v>
      </c>
      <c r="F290" s="4">
        <f t="shared" si="30"/>
        <v>2025</v>
      </c>
      <c r="G290" t="str">
        <f t="shared" si="31"/>
        <v>May</v>
      </c>
      <c r="H290" t="str">
        <f t="shared" si="32"/>
        <v>2025-05</v>
      </c>
      <c r="I290" s="4">
        <f t="shared" ca="1" si="28"/>
        <v>118</v>
      </c>
      <c r="J290" t="s">
        <v>1186</v>
      </c>
      <c r="K290" t="s">
        <v>1187</v>
      </c>
      <c r="L290" t="s">
        <v>29</v>
      </c>
      <c r="M290">
        <v>27</v>
      </c>
      <c r="N290" t="str">
        <f>VLOOKUP(M290, CategoryMap!$A$2:$B$100, 2, FALSE)</f>
        <v>Education</v>
      </c>
      <c r="O290">
        <v>4001755</v>
      </c>
      <c r="P290">
        <v>62505</v>
      </c>
      <c r="Q290">
        <v>294</v>
      </c>
      <c r="R290" s="3">
        <f t="shared" si="33"/>
        <v>1.5692864755588485E-2</v>
      </c>
      <c r="S290">
        <v>16</v>
      </c>
      <c r="T290" t="str">
        <f t="shared" si="34"/>
        <v>Short</v>
      </c>
    </row>
    <row r="291" spans="1:20" ht="18.75" customHeight="1" x14ac:dyDescent="0.35">
      <c r="A291" t="s">
        <v>1188</v>
      </c>
      <c r="B291" t="s">
        <v>2656</v>
      </c>
      <c r="C291" t="s">
        <v>3123</v>
      </c>
      <c r="D291" s="2" t="s">
        <v>1189</v>
      </c>
      <c r="E291" s="2">
        <f t="shared" si="29"/>
        <v>44534</v>
      </c>
      <c r="F291" s="4">
        <f t="shared" si="30"/>
        <v>2021</v>
      </c>
      <c r="G291" t="str">
        <f t="shared" si="31"/>
        <v>December</v>
      </c>
      <c r="H291" t="str">
        <f t="shared" si="32"/>
        <v>2021-12</v>
      </c>
      <c r="I291" s="4">
        <f t="shared" ca="1" si="28"/>
        <v>1390</v>
      </c>
      <c r="J291" t="s">
        <v>13</v>
      </c>
      <c r="K291" t="s">
        <v>14</v>
      </c>
      <c r="L291" t="s">
        <v>29</v>
      </c>
      <c r="M291">
        <v>28</v>
      </c>
      <c r="N291" t="str">
        <f>VLOOKUP(M291, CategoryMap!$A$2:$B$100, 2, FALSE)</f>
        <v>Science &amp; Technology</v>
      </c>
      <c r="O291">
        <v>19951447</v>
      </c>
      <c r="P291">
        <v>451980</v>
      </c>
      <c r="Q291">
        <v>20106</v>
      </c>
      <c r="R291" s="3">
        <f t="shared" si="33"/>
        <v>2.366174242900778E-2</v>
      </c>
      <c r="S291">
        <v>1153</v>
      </c>
      <c r="T291" t="str">
        <f t="shared" si="34"/>
        <v>Long</v>
      </c>
    </row>
    <row r="292" spans="1:20" ht="18.75" customHeight="1" x14ac:dyDescent="0.35">
      <c r="A292" t="s">
        <v>1190</v>
      </c>
      <c r="B292" t="s">
        <v>2657</v>
      </c>
      <c r="C292" t="s">
        <v>3124</v>
      </c>
      <c r="D292" s="2" t="s">
        <v>1191</v>
      </c>
      <c r="E292" s="2">
        <f t="shared" si="29"/>
        <v>45814</v>
      </c>
      <c r="F292" s="4">
        <f t="shared" si="30"/>
        <v>2025</v>
      </c>
      <c r="G292" t="str">
        <f t="shared" si="31"/>
        <v>June</v>
      </c>
      <c r="H292" t="str">
        <f t="shared" si="32"/>
        <v>2025-06</v>
      </c>
      <c r="I292" s="4">
        <f t="shared" ca="1" si="28"/>
        <v>110</v>
      </c>
      <c r="J292" t="s">
        <v>1192</v>
      </c>
      <c r="K292" t="s">
        <v>1193</v>
      </c>
      <c r="L292" t="s">
        <v>1194</v>
      </c>
      <c r="M292">
        <v>22</v>
      </c>
      <c r="N292" t="str">
        <f>VLOOKUP(M292, CategoryMap!$A$2:$B$100, 2, FALSE)</f>
        <v>People &amp; Blogs</v>
      </c>
      <c r="O292">
        <v>146570</v>
      </c>
      <c r="P292">
        <v>560</v>
      </c>
      <c r="Q292">
        <v>5</v>
      </c>
      <c r="R292" s="3">
        <f t="shared" si="33"/>
        <v>3.8548133997407382E-3</v>
      </c>
      <c r="S292">
        <v>12</v>
      </c>
      <c r="T292" t="str">
        <f t="shared" si="34"/>
        <v>Short</v>
      </c>
    </row>
    <row r="293" spans="1:20" ht="18.75" customHeight="1" x14ac:dyDescent="0.35">
      <c r="A293" t="s">
        <v>1195</v>
      </c>
      <c r="B293" t="s">
        <v>1196</v>
      </c>
      <c r="C293" t="s">
        <v>3125</v>
      </c>
      <c r="D293" s="2" t="s">
        <v>1197</v>
      </c>
      <c r="E293" s="2">
        <f t="shared" si="29"/>
        <v>45799</v>
      </c>
      <c r="F293" s="4">
        <f t="shared" si="30"/>
        <v>2025</v>
      </c>
      <c r="G293" t="str">
        <f t="shared" si="31"/>
        <v>May</v>
      </c>
      <c r="H293" t="str">
        <f t="shared" si="32"/>
        <v>2025-05</v>
      </c>
      <c r="I293" s="4">
        <f t="shared" ca="1" si="28"/>
        <v>125</v>
      </c>
      <c r="J293" t="s">
        <v>42</v>
      </c>
      <c r="K293" t="s">
        <v>43</v>
      </c>
      <c r="L293" t="s">
        <v>1198</v>
      </c>
      <c r="M293">
        <v>24</v>
      </c>
      <c r="N293" t="str">
        <f>VLOOKUP(M293, CategoryMap!$A$2:$B$100, 2, FALSE)</f>
        <v>Entertainment</v>
      </c>
      <c r="O293">
        <v>1087696</v>
      </c>
      <c r="P293">
        <v>21642</v>
      </c>
      <c r="Q293">
        <v>2403</v>
      </c>
      <c r="R293" s="3">
        <f t="shared" si="33"/>
        <v>2.2106360600756093E-2</v>
      </c>
      <c r="S293">
        <v>1245</v>
      </c>
      <c r="T293" t="str">
        <f t="shared" si="34"/>
        <v>Long</v>
      </c>
    </row>
    <row r="294" spans="1:20" ht="18.75" customHeight="1" x14ac:dyDescent="0.35">
      <c r="A294" t="s">
        <v>1199</v>
      </c>
      <c r="B294" t="s">
        <v>2658</v>
      </c>
      <c r="C294" t="s">
        <v>3126</v>
      </c>
      <c r="D294" s="2" t="s">
        <v>1200</v>
      </c>
      <c r="E294" s="2">
        <f t="shared" si="29"/>
        <v>45774</v>
      </c>
      <c r="F294" s="4">
        <f t="shared" si="30"/>
        <v>2025</v>
      </c>
      <c r="G294" t="str">
        <f t="shared" si="31"/>
        <v>April</v>
      </c>
      <c r="H294" t="str">
        <f t="shared" si="32"/>
        <v>2025-04</v>
      </c>
      <c r="I294" s="4">
        <f t="shared" ca="1" si="28"/>
        <v>150</v>
      </c>
      <c r="J294" t="s">
        <v>1201</v>
      </c>
      <c r="K294" t="s">
        <v>1202</v>
      </c>
      <c r="L294" t="s">
        <v>29</v>
      </c>
      <c r="M294">
        <v>20</v>
      </c>
      <c r="N294" t="str">
        <f>VLOOKUP(M294, CategoryMap!$A$2:$B$100, 2, FALSE)</f>
        <v>Gaming</v>
      </c>
      <c r="O294">
        <v>339484</v>
      </c>
      <c r="P294">
        <v>2223</v>
      </c>
      <c r="Q294">
        <v>25</v>
      </c>
      <c r="R294" s="3">
        <f t="shared" si="33"/>
        <v>6.6218142828528004E-3</v>
      </c>
      <c r="S294">
        <v>7</v>
      </c>
      <c r="T294" t="str">
        <f t="shared" si="34"/>
        <v>Short</v>
      </c>
    </row>
    <row r="295" spans="1:20" ht="18.75" customHeight="1" x14ac:dyDescent="0.35">
      <c r="A295" t="s">
        <v>1203</v>
      </c>
      <c r="B295" t="s">
        <v>2659</v>
      </c>
      <c r="C295" t="s">
        <v>3127</v>
      </c>
      <c r="D295" s="2" t="s">
        <v>1204</v>
      </c>
      <c r="E295" s="2">
        <f t="shared" si="29"/>
        <v>45375</v>
      </c>
      <c r="F295" s="4">
        <f t="shared" si="30"/>
        <v>2024</v>
      </c>
      <c r="G295" t="str">
        <f t="shared" si="31"/>
        <v>March</v>
      </c>
      <c r="H295" t="str">
        <f t="shared" si="32"/>
        <v>2024-03</v>
      </c>
      <c r="I295" s="4">
        <f t="shared" ca="1" si="28"/>
        <v>549</v>
      </c>
      <c r="J295" t="s">
        <v>77</v>
      </c>
      <c r="K295" t="s">
        <v>78</v>
      </c>
      <c r="L295" t="s">
        <v>29</v>
      </c>
      <c r="M295">
        <v>28</v>
      </c>
      <c r="N295" t="str">
        <f>VLOOKUP(M295, CategoryMap!$A$2:$B$100, 2, FALSE)</f>
        <v>Science &amp; Technology</v>
      </c>
      <c r="O295">
        <v>6261022</v>
      </c>
      <c r="P295">
        <v>445870</v>
      </c>
      <c r="Q295">
        <v>2741</v>
      </c>
      <c r="R295" s="3">
        <f t="shared" si="33"/>
        <v>7.1651401320742839E-2</v>
      </c>
      <c r="S295">
        <v>61</v>
      </c>
      <c r="T295" t="str">
        <f t="shared" si="34"/>
        <v>Long</v>
      </c>
    </row>
    <row r="296" spans="1:20" ht="18.75" customHeight="1" x14ac:dyDescent="0.35">
      <c r="A296" t="s">
        <v>1205</v>
      </c>
      <c r="B296" t="s">
        <v>2660</v>
      </c>
      <c r="C296" t="s">
        <v>3128</v>
      </c>
      <c r="D296" s="2" t="s">
        <v>1206</v>
      </c>
      <c r="E296" s="2">
        <f t="shared" si="29"/>
        <v>45748</v>
      </c>
      <c r="F296" s="4">
        <f t="shared" si="30"/>
        <v>2025</v>
      </c>
      <c r="G296" t="str">
        <f t="shared" si="31"/>
        <v>April</v>
      </c>
      <c r="H296" t="str">
        <f t="shared" si="32"/>
        <v>2025-04</v>
      </c>
      <c r="I296" s="4">
        <f t="shared" ca="1" si="28"/>
        <v>176</v>
      </c>
      <c r="J296" t="s">
        <v>1207</v>
      </c>
      <c r="K296" t="s">
        <v>1208</v>
      </c>
      <c r="L296" t="s">
        <v>1209</v>
      </c>
      <c r="M296">
        <v>23</v>
      </c>
      <c r="N296" t="str">
        <f>VLOOKUP(M296, CategoryMap!$A$2:$B$100, 2, FALSE)</f>
        <v>Comedy</v>
      </c>
      <c r="O296">
        <v>156792</v>
      </c>
      <c r="P296">
        <v>217464.60837887001</v>
      </c>
      <c r="Q296">
        <v>20</v>
      </c>
      <c r="R296" s="3">
        <f t="shared" si="33"/>
        <v>1.3870899559854457</v>
      </c>
      <c r="S296">
        <v>43</v>
      </c>
      <c r="T296" t="str">
        <f t="shared" si="34"/>
        <v>Short</v>
      </c>
    </row>
    <row r="297" spans="1:20" ht="18.75" customHeight="1" x14ac:dyDescent="0.35">
      <c r="A297" t="s">
        <v>1210</v>
      </c>
      <c r="B297" t="s">
        <v>2661</v>
      </c>
      <c r="C297" t="s">
        <v>11</v>
      </c>
      <c r="D297" s="2" t="s">
        <v>1211</v>
      </c>
      <c r="E297" s="2">
        <f t="shared" si="29"/>
        <v>45824</v>
      </c>
      <c r="F297" s="4">
        <f t="shared" si="30"/>
        <v>2025</v>
      </c>
      <c r="G297" t="str">
        <f t="shared" si="31"/>
        <v>June</v>
      </c>
      <c r="H297" t="str">
        <f t="shared" si="32"/>
        <v>2025-06</v>
      </c>
      <c r="I297" s="4">
        <f t="shared" ca="1" si="28"/>
        <v>100</v>
      </c>
      <c r="J297" t="s">
        <v>1212</v>
      </c>
      <c r="K297" t="s">
        <v>1213</v>
      </c>
      <c r="L297" t="s">
        <v>29</v>
      </c>
      <c r="M297">
        <v>22</v>
      </c>
      <c r="N297" t="str">
        <f>VLOOKUP(M297, CategoryMap!$A$2:$B$100, 2, FALSE)</f>
        <v>People &amp; Blogs</v>
      </c>
      <c r="O297">
        <v>649056</v>
      </c>
      <c r="P297">
        <v>2435</v>
      </c>
      <c r="Q297">
        <v>2</v>
      </c>
      <c r="R297" s="3">
        <f t="shared" si="33"/>
        <v>3.7546837252871862E-3</v>
      </c>
      <c r="S297">
        <v>6</v>
      </c>
      <c r="T297" t="str">
        <f t="shared" si="34"/>
        <v>Short</v>
      </c>
    </row>
    <row r="298" spans="1:20" ht="18.75" customHeight="1" x14ac:dyDescent="0.35">
      <c r="A298" t="s">
        <v>1214</v>
      </c>
      <c r="B298" t="s">
        <v>2662</v>
      </c>
      <c r="C298" t="s">
        <v>3129</v>
      </c>
      <c r="D298" s="2" t="s">
        <v>1215</v>
      </c>
      <c r="E298" s="2">
        <f t="shared" si="29"/>
        <v>45654</v>
      </c>
      <c r="F298" s="4">
        <f t="shared" si="30"/>
        <v>2024</v>
      </c>
      <c r="G298" t="str">
        <f t="shared" si="31"/>
        <v>December</v>
      </c>
      <c r="H298" t="str">
        <f t="shared" si="32"/>
        <v>2024-12</v>
      </c>
      <c r="I298" s="4">
        <f t="shared" ca="1" si="28"/>
        <v>270</v>
      </c>
      <c r="J298" t="s">
        <v>1216</v>
      </c>
      <c r="K298" t="s">
        <v>1217</v>
      </c>
      <c r="L298" t="s">
        <v>1218</v>
      </c>
      <c r="M298">
        <v>22</v>
      </c>
      <c r="N298" t="str">
        <f>VLOOKUP(M298, CategoryMap!$A$2:$B$100, 2, FALSE)</f>
        <v>People &amp; Blogs</v>
      </c>
      <c r="O298">
        <v>2707209</v>
      </c>
      <c r="P298">
        <v>74116</v>
      </c>
      <c r="Q298">
        <v>714</v>
      </c>
      <c r="R298" s="3">
        <f t="shared" si="33"/>
        <v>2.7641013309279039E-2</v>
      </c>
      <c r="S298">
        <v>13</v>
      </c>
      <c r="T298" t="str">
        <f t="shared" si="34"/>
        <v>Short</v>
      </c>
    </row>
    <row r="299" spans="1:20" ht="18.75" customHeight="1" x14ac:dyDescent="0.35">
      <c r="A299" t="s">
        <v>1219</v>
      </c>
      <c r="B299" t="s">
        <v>2663</v>
      </c>
      <c r="C299" t="s">
        <v>3130</v>
      </c>
      <c r="D299" s="2" t="s">
        <v>1220</v>
      </c>
      <c r="E299" s="2">
        <f t="shared" si="29"/>
        <v>45818</v>
      </c>
      <c r="F299" s="4">
        <f t="shared" si="30"/>
        <v>2025</v>
      </c>
      <c r="G299" t="str">
        <f t="shared" si="31"/>
        <v>June</v>
      </c>
      <c r="H299" t="str">
        <f t="shared" si="32"/>
        <v>2025-06</v>
      </c>
      <c r="I299" s="4">
        <f t="shared" ca="1" si="28"/>
        <v>106</v>
      </c>
      <c r="J299" t="s">
        <v>13</v>
      </c>
      <c r="K299" t="s">
        <v>14</v>
      </c>
      <c r="L299" t="s">
        <v>1221</v>
      </c>
      <c r="M299">
        <v>28</v>
      </c>
      <c r="N299" t="str">
        <f>VLOOKUP(M299, CategoryMap!$A$2:$B$100, 2, FALSE)</f>
        <v>Science &amp; Technology</v>
      </c>
      <c r="O299">
        <v>2359964</v>
      </c>
      <c r="P299">
        <v>76764</v>
      </c>
      <c r="Q299">
        <v>4946</v>
      </c>
      <c r="R299" s="3">
        <f t="shared" si="33"/>
        <v>3.4623409509636591E-2</v>
      </c>
      <c r="S299">
        <v>1002</v>
      </c>
      <c r="T299" t="str">
        <f t="shared" si="34"/>
        <v>Long</v>
      </c>
    </row>
    <row r="300" spans="1:20" ht="18.75" customHeight="1" x14ac:dyDescent="0.35">
      <c r="A300" t="e">
        <v>#NAME?</v>
      </c>
      <c r="B300" t="s">
        <v>2664</v>
      </c>
      <c r="C300" t="s">
        <v>3131</v>
      </c>
      <c r="D300" s="2" t="s">
        <v>1222</v>
      </c>
      <c r="E300" s="2">
        <f t="shared" si="29"/>
        <v>45827</v>
      </c>
      <c r="F300" s="4">
        <f t="shared" si="30"/>
        <v>2025</v>
      </c>
      <c r="G300" t="str">
        <f t="shared" si="31"/>
        <v>June</v>
      </c>
      <c r="H300" t="str">
        <f t="shared" si="32"/>
        <v>2025-06</v>
      </c>
      <c r="I300" s="4">
        <f t="shared" ca="1" si="28"/>
        <v>97</v>
      </c>
      <c r="J300" t="s">
        <v>1223</v>
      </c>
      <c r="K300" t="s">
        <v>1224</v>
      </c>
      <c r="L300" t="s">
        <v>29</v>
      </c>
      <c r="M300">
        <v>22</v>
      </c>
      <c r="N300" t="str">
        <f>VLOOKUP(M300, CategoryMap!$A$2:$B$100, 2, FALSE)</f>
        <v>People &amp; Blogs</v>
      </c>
      <c r="O300">
        <v>32968</v>
      </c>
      <c r="P300">
        <v>345</v>
      </c>
      <c r="Q300">
        <v>0</v>
      </c>
      <c r="R300" s="3">
        <f t="shared" si="33"/>
        <v>1.0464693035670953E-2</v>
      </c>
      <c r="S300">
        <v>24</v>
      </c>
      <c r="T300" t="str">
        <f t="shared" si="34"/>
        <v>Short</v>
      </c>
    </row>
    <row r="301" spans="1:20" ht="18.75" customHeight="1" x14ac:dyDescent="0.35">
      <c r="A301" t="s">
        <v>1225</v>
      </c>
      <c r="B301" t="s">
        <v>1226</v>
      </c>
      <c r="C301" t="s">
        <v>3132</v>
      </c>
      <c r="D301" s="2" t="s">
        <v>1227</v>
      </c>
      <c r="E301" s="2">
        <f t="shared" si="29"/>
        <v>45745</v>
      </c>
      <c r="F301" s="4">
        <f t="shared" si="30"/>
        <v>2025</v>
      </c>
      <c r="G301" t="str">
        <f t="shared" si="31"/>
        <v>March</v>
      </c>
      <c r="H301" t="str">
        <f t="shared" si="32"/>
        <v>2025-03</v>
      </c>
      <c r="I301" s="4">
        <f t="shared" ca="1" si="28"/>
        <v>179</v>
      </c>
      <c r="J301" t="s">
        <v>1228</v>
      </c>
      <c r="K301" t="s">
        <v>1229</v>
      </c>
      <c r="L301" t="s">
        <v>1230</v>
      </c>
      <c r="M301">
        <v>28</v>
      </c>
      <c r="N301" t="str">
        <f>VLOOKUP(M301, CategoryMap!$A$2:$B$100, 2, FALSE)</f>
        <v>Science &amp; Technology</v>
      </c>
      <c r="O301">
        <v>7339248</v>
      </c>
      <c r="P301">
        <v>194778</v>
      </c>
      <c r="Q301">
        <v>14438</v>
      </c>
      <c r="R301" s="3">
        <f t="shared" si="33"/>
        <v>2.8506462787468143E-2</v>
      </c>
      <c r="S301">
        <v>1012</v>
      </c>
      <c r="T301" t="str">
        <f t="shared" si="34"/>
        <v>Long</v>
      </c>
    </row>
    <row r="302" spans="1:20" ht="18.75" customHeight="1" x14ac:dyDescent="0.35">
      <c r="A302" t="s">
        <v>1231</v>
      </c>
      <c r="B302" t="s">
        <v>2665</v>
      </c>
      <c r="C302" t="s">
        <v>3133</v>
      </c>
      <c r="D302" s="2" t="s">
        <v>1232</v>
      </c>
      <c r="E302" s="2">
        <f t="shared" si="29"/>
        <v>45682</v>
      </c>
      <c r="F302" s="4">
        <f t="shared" si="30"/>
        <v>2025</v>
      </c>
      <c r="G302" t="str">
        <f t="shared" si="31"/>
        <v>January</v>
      </c>
      <c r="H302" t="str">
        <f t="shared" si="32"/>
        <v>2025-01</v>
      </c>
      <c r="I302" s="4">
        <f t="shared" ca="1" si="28"/>
        <v>242</v>
      </c>
      <c r="J302" t="s">
        <v>1233</v>
      </c>
      <c r="K302" t="s">
        <v>1234</v>
      </c>
      <c r="L302" t="s">
        <v>1235</v>
      </c>
      <c r="M302">
        <v>28</v>
      </c>
      <c r="N302" t="str">
        <f>VLOOKUP(M302, CategoryMap!$A$2:$B$100, 2, FALSE)</f>
        <v>Science &amp; Technology</v>
      </c>
      <c r="O302">
        <v>20936016</v>
      </c>
      <c r="P302">
        <v>217464.60837887001</v>
      </c>
      <c r="Q302">
        <v>24</v>
      </c>
      <c r="R302" s="3">
        <f t="shared" si="33"/>
        <v>1.0388251918553654E-2</v>
      </c>
      <c r="S302">
        <v>6</v>
      </c>
      <c r="T302" t="str">
        <f t="shared" si="34"/>
        <v>Short</v>
      </c>
    </row>
    <row r="303" spans="1:20" ht="18.75" customHeight="1" x14ac:dyDescent="0.35">
      <c r="A303" t="s">
        <v>1236</v>
      </c>
      <c r="B303" t="s">
        <v>2666</v>
      </c>
      <c r="C303" t="s">
        <v>3134</v>
      </c>
      <c r="D303" s="2" t="s">
        <v>1237</v>
      </c>
      <c r="E303" s="2">
        <f t="shared" si="29"/>
        <v>45329</v>
      </c>
      <c r="F303" s="4">
        <f t="shared" si="30"/>
        <v>2024</v>
      </c>
      <c r="G303" t="str">
        <f t="shared" si="31"/>
        <v>February</v>
      </c>
      <c r="H303" t="str">
        <f t="shared" si="32"/>
        <v>2024-02</v>
      </c>
      <c r="I303" s="4">
        <f t="shared" ca="1" si="28"/>
        <v>595</v>
      </c>
      <c r="J303" t="s">
        <v>524</v>
      </c>
      <c r="K303" t="s">
        <v>525</v>
      </c>
      <c r="L303" t="s">
        <v>1238</v>
      </c>
      <c r="M303">
        <v>28</v>
      </c>
      <c r="N303" t="str">
        <f>VLOOKUP(M303, CategoryMap!$A$2:$B$100, 2, FALSE)</f>
        <v>Science &amp; Technology</v>
      </c>
      <c r="O303">
        <v>4473021</v>
      </c>
      <c r="P303">
        <v>257456</v>
      </c>
      <c r="Q303">
        <v>406</v>
      </c>
      <c r="R303" s="3">
        <f t="shared" si="33"/>
        <v>5.764828736551874E-2</v>
      </c>
      <c r="S303">
        <v>51</v>
      </c>
      <c r="T303" t="str">
        <f t="shared" si="34"/>
        <v>Short</v>
      </c>
    </row>
    <row r="304" spans="1:20" ht="18.75" customHeight="1" x14ac:dyDescent="0.35">
      <c r="A304" t="s">
        <v>1239</v>
      </c>
      <c r="B304" t="s">
        <v>2667</v>
      </c>
      <c r="C304" t="s">
        <v>11</v>
      </c>
      <c r="D304" s="2" t="s">
        <v>1240</v>
      </c>
      <c r="E304" s="2">
        <f t="shared" si="29"/>
        <v>45395</v>
      </c>
      <c r="F304" s="4">
        <f t="shared" si="30"/>
        <v>2024</v>
      </c>
      <c r="G304" t="str">
        <f t="shared" si="31"/>
        <v>April</v>
      </c>
      <c r="H304" t="str">
        <f t="shared" si="32"/>
        <v>2024-04</v>
      </c>
      <c r="I304" s="4">
        <f t="shared" ca="1" si="28"/>
        <v>529</v>
      </c>
      <c r="J304" t="s">
        <v>1241</v>
      </c>
      <c r="K304" t="s">
        <v>1242</v>
      </c>
      <c r="L304" t="s">
        <v>29</v>
      </c>
      <c r="M304">
        <v>28</v>
      </c>
      <c r="N304" t="str">
        <f>VLOOKUP(M304, CategoryMap!$A$2:$B$100, 2, FALSE)</f>
        <v>Science &amp; Technology</v>
      </c>
      <c r="O304">
        <v>28700120</v>
      </c>
      <c r="P304">
        <v>217464.60837887001</v>
      </c>
      <c r="Q304">
        <v>1460</v>
      </c>
      <c r="R304" s="3">
        <f t="shared" si="33"/>
        <v>7.6280032410620587E-3</v>
      </c>
      <c r="S304">
        <v>14</v>
      </c>
      <c r="T304" t="str">
        <f t="shared" si="34"/>
        <v>Short</v>
      </c>
    </row>
    <row r="305" spans="1:20" ht="18.75" customHeight="1" x14ac:dyDescent="0.35">
      <c r="A305" t="s">
        <v>1243</v>
      </c>
      <c r="B305" t="s">
        <v>2668</v>
      </c>
      <c r="C305" t="s">
        <v>3135</v>
      </c>
      <c r="D305" s="2" t="s">
        <v>1244</v>
      </c>
      <c r="E305" s="2">
        <f t="shared" si="29"/>
        <v>45828</v>
      </c>
      <c r="F305" s="4">
        <f t="shared" si="30"/>
        <v>2025</v>
      </c>
      <c r="G305" t="str">
        <f t="shared" si="31"/>
        <v>June</v>
      </c>
      <c r="H305" t="str">
        <f t="shared" si="32"/>
        <v>2025-06</v>
      </c>
      <c r="I305" s="4">
        <f t="shared" ca="1" si="28"/>
        <v>96</v>
      </c>
      <c r="J305" t="s">
        <v>1245</v>
      </c>
      <c r="K305" t="s">
        <v>1246</v>
      </c>
      <c r="L305" t="s">
        <v>29</v>
      </c>
      <c r="M305">
        <v>28</v>
      </c>
      <c r="N305" t="str">
        <f>VLOOKUP(M305, CategoryMap!$A$2:$B$100, 2, FALSE)</f>
        <v>Science &amp; Technology</v>
      </c>
      <c r="O305">
        <v>476</v>
      </c>
      <c r="P305">
        <v>2</v>
      </c>
      <c r="Q305">
        <v>0</v>
      </c>
      <c r="R305" s="3">
        <f t="shared" si="33"/>
        <v>4.2016806722689074E-3</v>
      </c>
      <c r="S305">
        <v>20</v>
      </c>
      <c r="T305" t="str">
        <f t="shared" si="34"/>
        <v>Short</v>
      </c>
    </row>
    <row r="306" spans="1:20" ht="18.75" customHeight="1" x14ac:dyDescent="0.35">
      <c r="A306" t="s">
        <v>1247</v>
      </c>
      <c r="B306" t="s">
        <v>2669</v>
      </c>
      <c r="C306" t="s">
        <v>11</v>
      </c>
      <c r="D306" s="2" t="s">
        <v>1248</v>
      </c>
      <c r="E306" s="2">
        <f t="shared" si="29"/>
        <v>44788</v>
      </c>
      <c r="F306" s="4">
        <f t="shared" si="30"/>
        <v>2022</v>
      </c>
      <c r="G306" t="str">
        <f t="shared" si="31"/>
        <v>August</v>
      </c>
      <c r="H306" t="str">
        <f t="shared" si="32"/>
        <v>2022-08</v>
      </c>
      <c r="I306" s="4">
        <f t="shared" ca="1" si="28"/>
        <v>1136</v>
      </c>
      <c r="J306" t="s">
        <v>678</v>
      </c>
      <c r="K306" t="s">
        <v>679</v>
      </c>
      <c r="L306" t="s">
        <v>29</v>
      </c>
      <c r="M306">
        <v>1</v>
      </c>
      <c r="N306" t="str">
        <f>VLOOKUP(M306, CategoryMap!$A$2:$B$100, 2, FALSE)</f>
        <v>Film &amp; Animation</v>
      </c>
      <c r="O306">
        <v>4006570</v>
      </c>
      <c r="P306">
        <v>45260</v>
      </c>
      <c r="Q306">
        <v>184</v>
      </c>
      <c r="R306" s="3">
        <f t="shared" si="33"/>
        <v>1.13423701570171E-2</v>
      </c>
      <c r="S306">
        <v>12</v>
      </c>
      <c r="T306" t="str">
        <f t="shared" si="34"/>
        <v>Short</v>
      </c>
    </row>
    <row r="307" spans="1:20" ht="18.75" customHeight="1" x14ac:dyDescent="0.35">
      <c r="A307" t="s">
        <v>1249</v>
      </c>
      <c r="B307" t="s">
        <v>2670</v>
      </c>
      <c r="C307" t="s">
        <v>3136</v>
      </c>
      <c r="D307" s="2" t="s">
        <v>1250</v>
      </c>
      <c r="E307" s="2">
        <f t="shared" si="29"/>
        <v>45820</v>
      </c>
      <c r="F307" s="4">
        <f t="shared" si="30"/>
        <v>2025</v>
      </c>
      <c r="G307" t="str">
        <f t="shared" si="31"/>
        <v>June</v>
      </c>
      <c r="H307" t="str">
        <f t="shared" si="32"/>
        <v>2025-06</v>
      </c>
      <c r="I307" s="4">
        <f t="shared" ca="1" si="28"/>
        <v>104</v>
      </c>
      <c r="J307" t="s">
        <v>1251</v>
      </c>
      <c r="K307" t="s">
        <v>1252</v>
      </c>
      <c r="L307" t="s">
        <v>1253</v>
      </c>
      <c r="M307">
        <v>27</v>
      </c>
      <c r="N307" t="str">
        <f>VLOOKUP(M307, CategoryMap!$A$2:$B$100, 2, FALSE)</f>
        <v>Education</v>
      </c>
      <c r="O307">
        <v>287788</v>
      </c>
      <c r="P307">
        <v>16726</v>
      </c>
      <c r="Q307">
        <v>887</v>
      </c>
      <c r="R307" s="3">
        <f t="shared" si="33"/>
        <v>6.1201300957649384E-2</v>
      </c>
      <c r="S307">
        <v>1158</v>
      </c>
      <c r="T307" t="str">
        <f t="shared" si="34"/>
        <v>Long</v>
      </c>
    </row>
    <row r="308" spans="1:20" ht="18.75" customHeight="1" x14ac:dyDescent="0.35">
      <c r="A308" t="s">
        <v>1254</v>
      </c>
      <c r="B308" t="s">
        <v>2671</v>
      </c>
      <c r="C308" t="s">
        <v>3137</v>
      </c>
      <c r="D308" s="2" t="s">
        <v>1255</v>
      </c>
      <c r="E308" s="2">
        <f t="shared" si="29"/>
        <v>45685</v>
      </c>
      <c r="F308" s="4">
        <f t="shared" si="30"/>
        <v>2025</v>
      </c>
      <c r="G308" t="str">
        <f t="shared" si="31"/>
        <v>January</v>
      </c>
      <c r="H308" t="str">
        <f t="shared" si="32"/>
        <v>2025-01</v>
      </c>
      <c r="I308" s="4">
        <f t="shared" ca="1" si="28"/>
        <v>239</v>
      </c>
      <c r="J308" t="s">
        <v>1256</v>
      </c>
      <c r="K308" t="s">
        <v>1257</v>
      </c>
      <c r="L308" t="s">
        <v>1258</v>
      </c>
      <c r="M308">
        <v>28</v>
      </c>
      <c r="N308" t="str">
        <f>VLOOKUP(M308, CategoryMap!$A$2:$B$100, 2, FALSE)</f>
        <v>Science &amp; Technology</v>
      </c>
      <c r="O308">
        <v>3245054</v>
      </c>
      <c r="P308">
        <v>217464.60837887001</v>
      </c>
      <c r="Q308">
        <v>498</v>
      </c>
      <c r="R308" s="3">
        <f t="shared" si="33"/>
        <v>6.716763677241426E-2</v>
      </c>
      <c r="S308">
        <v>9</v>
      </c>
      <c r="T308" t="str">
        <f t="shared" si="34"/>
        <v>Short</v>
      </c>
    </row>
    <row r="309" spans="1:20" ht="18.75" customHeight="1" x14ac:dyDescent="0.35">
      <c r="A309" t="s">
        <v>1259</v>
      </c>
      <c r="B309" t="s">
        <v>2672</v>
      </c>
      <c r="C309" t="s">
        <v>3138</v>
      </c>
      <c r="D309" s="2" t="s">
        <v>1260</v>
      </c>
      <c r="E309" s="2">
        <f t="shared" si="29"/>
        <v>45363</v>
      </c>
      <c r="F309" s="4">
        <f t="shared" si="30"/>
        <v>2024</v>
      </c>
      <c r="G309" t="str">
        <f t="shared" si="31"/>
        <v>March</v>
      </c>
      <c r="H309" t="str">
        <f t="shared" si="32"/>
        <v>2024-03</v>
      </c>
      <c r="I309" s="4">
        <f t="shared" ca="1" si="28"/>
        <v>561</v>
      </c>
      <c r="J309" t="s">
        <v>524</v>
      </c>
      <c r="K309" t="s">
        <v>525</v>
      </c>
      <c r="L309" t="s">
        <v>1261</v>
      </c>
      <c r="M309">
        <v>28</v>
      </c>
      <c r="N309" t="str">
        <f>VLOOKUP(M309, CategoryMap!$A$2:$B$100, 2, FALSE)</f>
        <v>Science &amp; Technology</v>
      </c>
      <c r="O309">
        <v>17888444</v>
      </c>
      <c r="P309">
        <v>709022</v>
      </c>
      <c r="Q309">
        <v>5800</v>
      </c>
      <c r="R309" s="3">
        <f t="shared" si="33"/>
        <v>3.9959987576336994E-2</v>
      </c>
      <c r="S309">
        <v>58</v>
      </c>
      <c r="T309" t="str">
        <f t="shared" si="34"/>
        <v>Short</v>
      </c>
    </row>
    <row r="310" spans="1:20" ht="18.75" customHeight="1" x14ac:dyDescent="0.35">
      <c r="A310" t="s">
        <v>1262</v>
      </c>
      <c r="B310" t="s">
        <v>1263</v>
      </c>
      <c r="C310" t="s">
        <v>3139</v>
      </c>
      <c r="D310" s="2" t="s">
        <v>1264</v>
      </c>
      <c r="E310" s="2">
        <f t="shared" si="29"/>
        <v>45822</v>
      </c>
      <c r="F310" s="4">
        <f t="shared" si="30"/>
        <v>2025</v>
      </c>
      <c r="G310" t="str">
        <f t="shared" si="31"/>
        <v>June</v>
      </c>
      <c r="H310" t="str">
        <f t="shared" si="32"/>
        <v>2025-06</v>
      </c>
      <c r="I310" s="4">
        <f t="shared" ca="1" si="28"/>
        <v>102</v>
      </c>
      <c r="J310" t="s">
        <v>1265</v>
      </c>
      <c r="K310" t="s">
        <v>1266</v>
      </c>
      <c r="L310" t="s">
        <v>1267</v>
      </c>
      <c r="M310">
        <v>28</v>
      </c>
      <c r="N310" t="str">
        <f>VLOOKUP(M310, CategoryMap!$A$2:$B$100, 2, FALSE)</f>
        <v>Science &amp; Technology</v>
      </c>
      <c r="O310">
        <v>419707</v>
      </c>
      <c r="P310">
        <v>19816</v>
      </c>
      <c r="Q310">
        <v>2192</v>
      </c>
      <c r="R310" s="3">
        <f t="shared" si="33"/>
        <v>5.2436580757528467E-2</v>
      </c>
      <c r="S310">
        <v>880</v>
      </c>
      <c r="T310" t="str">
        <f t="shared" si="34"/>
        <v>Long</v>
      </c>
    </row>
    <row r="311" spans="1:20" ht="18.75" customHeight="1" x14ac:dyDescent="0.35">
      <c r="A311" t="s">
        <v>1268</v>
      </c>
      <c r="B311" t="s">
        <v>2673</v>
      </c>
      <c r="C311" t="s">
        <v>11</v>
      </c>
      <c r="D311" s="2" t="s">
        <v>1269</v>
      </c>
      <c r="E311" s="2">
        <f t="shared" si="29"/>
        <v>45821</v>
      </c>
      <c r="F311" s="4">
        <f t="shared" si="30"/>
        <v>2025</v>
      </c>
      <c r="G311" t="str">
        <f t="shared" si="31"/>
        <v>June</v>
      </c>
      <c r="H311" t="str">
        <f t="shared" si="32"/>
        <v>2025-06</v>
      </c>
      <c r="I311" s="4">
        <f t="shared" ca="1" si="28"/>
        <v>103</v>
      </c>
      <c r="J311" t="s">
        <v>850</v>
      </c>
      <c r="K311" t="s">
        <v>851</v>
      </c>
      <c r="L311" t="s">
        <v>29</v>
      </c>
      <c r="M311">
        <v>28</v>
      </c>
      <c r="N311" t="str">
        <f>VLOOKUP(M311, CategoryMap!$A$2:$B$100, 2, FALSE)</f>
        <v>Science &amp; Technology</v>
      </c>
      <c r="O311">
        <v>21724</v>
      </c>
      <c r="P311">
        <v>377</v>
      </c>
      <c r="Q311">
        <v>4</v>
      </c>
      <c r="R311" s="3">
        <f t="shared" si="33"/>
        <v>1.7538206591787883E-2</v>
      </c>
      <c r="S311">
        <v>58</v>
      </c>
      <c r="T311" t="str">
        <f t="shared" si="34"/>
        <v>Short</v>
      </c>
    </row>
    <row r="312" spans="1:20" ht="18.75" customHeight="1" x14ac:dyDescent="0.35">
      <c r="A312" t="s">
        <v>1270</v>
      </c>
      <c r="B312" t="s">
        <v>2674</v>
      </c>
      <c r="C312" t="s">
        <v>11</v>
      </c>
      <c r="D312" s="2" t="s">
        <v>1271</v>
      </c>
      <c r="E312" s="2">
        <f t="shared" si="29"/>
        <v>45827</v>
      </c>
      <c r="F312" s="4">
        <f t="shared" si="30"/>
        <v>2025</v>
      </c>
      <c r="G312" t="str">
        <f t="shared" si="31"/>
        <v>June</v>
      </c>
      <c r="H312" t="str">
        <f t="shared" si="32"/>
        <v>2025-06</v>
      </c>
      <c r="I312" s="4">
        <f t="shared" ca="1" si="28"/>
        <v>97</v>
      </c>
      <c r="J312" t="s">
        <v>850</v>
      </c>
      <c r="K312" t="s">
        <v>851</v>
      </c>
      <c r="L312" t="s">
        <v>29</v>
      </c>
      <c r="M312">
        <v>28</v>
      </c>
      <c r="N312" t="str">
        <f>VLOOKUP(M312, CategoryMap!$A$2:$B$100, 2, FALSE)</f>
        <v>Science &amp; Technology</v>
      </c>
      <c r="O312">
        <v>11342</v>
      </c>
      <c r="P312">
        <v>282</v>
      </c>
      <c r="Q312">
        <v>3</v>
      </c>
      <c r="R312" s="3">
        <f t="shared" si="33"/>
        <v>2.5127843413859988E-2</v>
      </c>
      <c r="S312">
        <v>56</v>
      </c>
      <c r="T312" t="str">
        <f t="shared" si="34"/>
        <v>Short</v>
      </c>
    </row>
    <row r="313" spans="1:20" ht="18.75" customHeight="1" x14ac:dyDescent="0.35">
      <c r="A313" t="s">
        <v>1272</v>
      </c>
      <c r="B313" t="s">
        <v>2675</v>
      </c>
      <c r="C313" t="s">
        <v>3140</v>
      </c>
      <c r="D313" s="2" t="s">
        <v>1273</v>
      </c>
      <c r="E313" s="2">
        <f t="shared" si="29"/>
        <v>45449</v>
      </c>
      <c r="F313" s="4">
        <f t="shared" si="30"/>
        <v>2024</v>
      </c>
      <c r="G313" t="str">
        <f t="shared" si="31"/>
        <v>June</v>
      </c>
      <c r="H313" t="str">
        <f t="shared" si="32"/>
        <v>2024-06</v>
      </c>
      <c r="I313" s="4">
        <f t="shared" ca="1" si="28"/>
        <v>475</v>
      </c>
      <c r="J313" t="s">
        <v>271</v>
      </c>
      <c r="K313" t="s">
        <v>272</v>
      </c>
      <c r="L313" t="s">
        <v>273</v>
      </c>
      <c r="M313">
        <v>25</v>
      </c>
      <c r="N313" t="str">
        <f>VLOOKUP(M313, CategoryMap!$A$2:$B$100, 2, FALSE)</f>
        <v>News &amp; Politics</v>
      </c>
      <c r="O313">
        <v>1588183</v>
      </c>
      <c r="P313">
        <v>24567</v>
      </c>
      <c r="Q313">
        <v>1562</v>
      </c>
      <c r="R313" s="3">
        <f t="shared" si="33"/>
        <v>1.6452134294347692E-2</v>
      </c>
      <c r="S313">
        <v>20</v>
      </c>
      <c r="T313" t="str">
        <f t="shared" si="34"/>
        <v>Short</v>
      </c>
    </row>
    <row r="314" spans="1:20" ht="18.75" customHeight="1" x14ac:dyDescent="0.35">
      <c r="A314" t="s">
        <v>1274</v>
      </c>
      <c r="B314" t="s">
        <v>2676</v>
      </c>
      <c r="C314" t="s">
        <v>3141</v>
      </c>
      <c r="D314" s="2" t="s">
        <v>1275</v>
      </c>
      <c r="E314" s="2">
        <f t="shared" si="29"/>
        <v>45558</v>
      </c>
      <c r="F314" s="4">
        <f t="shared" si="30"/>
        <v>2024</v>
      </c>
      <c r="G314" t="str">
        <f t="shared" si="31"/>
        <v>September</v>
      </c>
      <c r="H314" t="str">
        <f t="shared" si="32"/>
        <v>2024-09</v>
      </c>
      <c r="I314" s="4">
        <f t="shared" ca="1" si="28"/>
        <v>366</v>
      </c>
      <c r="J314" t="s">
        <v>524</v>
      </c>
      <c r="K314" t="s">
        <v>525</v>
      </c>
      <c r="L314" t="s">
        <v>1276</v>
      </c>
      <c r="M314">
        <v>28</v>
      </c>
      <c r="N314" t="str">
        <f>VLOOKUP(M314, CategoryMap!$A$2:$B$100, 2, FALSE)</f>
        <v>Science &amp; Technology</v>
      </c>
      <c r="O314">
        <v>5990153</v>
      </c>
      <c r="P314">
        <v>252198</v>
      </c>
      <c r="Q314">
        <v>826</v>
      </c>
      <c r="R314" s="3">
        <f t="shared" si="33"/>
        <v>4.2239989529482803E-2</v>
      </c>
      <c r="S314">
        <v>41</v>
      </c>
      <c r="T314" t="str">
        <f t="shared" si="34"/>
        <v>Short</v>
      </c>
    </row>
    <row r="315" spans="1:20" ht="18.75" customHeight="1" x14ac:dyDescent="0.35">
      <c r="A315" t="s">
        <v>1277</v>
      </c>
      <c r="B315" t="s">
        <v>2677</v>
      </c>
      <c r="C315" t="s">
        <v>3142</v>
      </c>
      <c r="D315" s="2" t="s">
        <v>1278</v>
      </c>
      <c r="E315" s="2">
        <f t="shared" si="29"/>
        <v>45827</v>
      </c>
      <c r="F315" s="4">
        <f t="shared" si="30"/>
        <v>2025</v>
      </c>
      <c r="G315" t="str">
        <f t="shared" si="31"/>
        <v>June</v>
      </c>
      <c r="H315" t="str">
        <f t="shared" si="32"/>
        <v>2025-06</v>
      </c>
      <c r="I315" s="4">
        <f t="shared" ca="1" si="28"/>
        <v>97</v>
      </c>
      <c r="J315" t="s">
        <v>1279</v>
      </c>
      <c r="K315" t="s">
        <v>1280</v>
      </c>
      <c r="L315" t="s">
        <v>1281</v>
      </c>
      <c r="M315">
        <v>10</v>
      </c>
      <c r="N315" t="str">
        <f>VLOOKUP(M315, CategoryMap!$A$2:$B$100, 2, FALSE)</f>
        <v>Music</v>
      </c>
      <c r="O315">
        <v>662796</v>
      </c>
      <c r="P315">
        <v>4871</v>
      </c>
      <c r="Q315">
        <v>9</v>
      </c>
      <c r="R315" s="3">
        <f t="shared" si="33"/>
        <v>7.3627481155589354E-3</v>
      </c>
      <c r="S315">
        <v>16</v>
      </c>
      <c r="T315" t="str">
        <f t="shared" si="34"/>
        <v>Short</v>
      </c>
    </row>
    <row r="316" spans="1:20" ht="18.75" customHeight="1" x14ac:dyDescent="0.35">
      <c r="A316" t="s">
        <v>1282</v>
      </c>
      <c r="B316" t="s">
        <v>2678</v>
      </c>
      <c r="C316" t="s">
        <v>3143</v>
      </c>
      <c r="D316" s="2" t="s">
        <v>1283</v>
      </c>
      <c r="E316" s="2">
        <f t="shared" si="29"/>
        <v>44897</v>
      </c>
      <c r="F316" s="4">
        <f t="shared" si="30"/>
        <v>2022</v>
      </c>
      <c r="G316" t="str">
        <f t="shared" si="31"/>
        <v>December</v>
      </c>
      <c r="H316" t="str">
        <f t="shared" si="32"/>
        <v>2022-12</v>
      </c>
      <c r="I316" s="4">
        <f t="shared" ca="1" si="28"/>
        <v>1027</v>
      </c>
      <c r="J316" t="s">
        <v>524</v>
      </c>
      <c r="K316" t="s">
        <v>525</v>
      </c>
      <c r="L316" t="s">
        <v>1284</v>
      </c>
      <c r="M316">
        <v>22</v>
      </c>
      <c r="N316" t="str">
        <f>VLOOKUP(M316, CategoryMap!$A$2:$B$100, 2, FALSE)</f>
        <v>People &amp; Blogs</v>
      </c>
      <c r="O316">
        <v>33338250</v>
      </c>
      <c r="P316">
        <v>1663541</v>
      </c>
      <c r="Q316">
        <v>1048</v>
      </c>
      <c r="R316" s="3">
        <f t="shared" si="33"/>
        <v>4.9930305279971207E-2</v>
      </c>
      <c r="S316">
        <v>48</v>
      </c>
      <c r="T316" t="str">
        <f t="shared" si="34"/>
        <v>Short</v>
      </c>
    </row>
    <row r="317" spans="1:20" ht="18.75" customHeight="1" x14ac:dyDescent="0.35">
      <c r="A317" t="s">
        <v>1285</v>
      </c>
      <c r="B317" t="s">
        <v>2679</v>
      </c>
      <c r="C317" t="s">
        <v>3144</v>
      </c>
      <c r="D317" s="2" t="s">
        <v>1286</v>
      </c>
      <c r="E317" s="2">
        <f t="shared" si="29"/>
        <v>45813</v>
      </c>
      <c r="F317" s="4">
        <f t="shared" si="30"/>
        <v>2025</v>
      </c>
      <c r="G317" t="str">
        <f t="shared" si="31"/>
        <v>June</v>
      </c>
      <c r="H317" t="str">
        <f t="shared" si="32"/>
        <v>2025-06</v>
      </c>
      <c r="I317" s="4">
        <f t="shared" ca="1" si="28"/>
        <v>111</v>
      </c>
      <c r="J317" t="s">
        <v>1287</v>
      </c>
      <c r="K317" t="s">
        <v>1288</v>
      </c>
      <c r="L317" t="s">
        <v>1289</v>
      </c>
      <c r="M317">
        <v>28</v>
      </c>
      <c r="N317" t="str">
        <f>VLOOKUP(M317, CategoryMap!$A$2:$B$100, 2, FALSE)</f>
        <v>Science &amp; Technology</v>
      </c>
      <c r="O317">
        <v>1141872</v>
      </c>
      <c r="P317">
        <v>55294</v>
      </c>
      <c r="Q317">
        <v>4840</v>
      </c>
      <c r="R317" s="3">
        <f t="shared" si="33"/>
        <v>5.266264520016254E-2</v>
      </c>
      <c r="S317">
        <v>1668</v>
      </c>
      <c r="T317" t="str">
        <f t="shared" si="34"/>
        <v>Long</v>
      </c>
    </row>
    <row r="318" spans="1:20" ht="18.75" customHeight="1" x14ac:dyDescent="0.35">
      <c r="A318" t="s">
        <v>1290</v>
      </c>
      <c r="B318" t="s">
        <v>2680</v>
      </c>
      <c r="C318" t="s">
        <v>3145</v>
      </c>
      <c r="D318" s="2" t="s">
        <v>1291</v>
      </c>
      <c r="E318" s="2">
        <f t="shared" si="29"/>
        <v>45786</v>
      </c>
      <c r="F318" s="4">
        <f t="shared" si="30"/>
        <v>2025</v>
      </c>
      <c r="G318" t="str">
        <f t="shared" si="31"/>
        <v>May</v>
      </c>
      <c r="H318" t="str">
        <f t="shared" si="32"/>
        <v>2025-05</v>
      </c>
      <c r="I318" s="4">
        <f t="shared" ca="1" si="28"/>
        <v>138</v>
      </c>
      <c r="J318" t="s">
        <v>86</v>
      </c>
      <c r="K318" t="s">
        <v>87</v>
      </c>
      <c r="L318" t="s">
        <v>29</v>
      </c>
      <c r="M318">
        <v>28</v>
      </c>
      <c r="N318" t="str">
        <f>VLOOKUP(M318, CategoryMap!$A$2:$B$100, 2, FALSE)</f>
        <v>Science &amp; Technology</v>
      </c>
      <c r="O318">
        <v>270931</v>
      </c>
      <c r="P318">
        <v>11290</v>
      </c>
      <c r="Q318">
        <v>152</v>
      </c>
      <c r="R318" s="3">
        <f t="shared" si="33"/>
        <v>4.2232155050547927E-2</v>
      </c>
      <c r="S318">
        <v>58</v>
      </c>
      <c r="T318" t="str">
        <f t="shared" si="34"/>
        <v>Short</v>
      </c>
    </row>
    <row r="319" spans="1:20" ht="18.75" customHeight="1" x14ac:dyDescent="0.35">
      <c r="A319" t="s">
        <v>1292</v>
      </c>
      <c r="B319" t="s">
        <v>2681</v>
      </c>
      <c r="C319" t="s">
        <v>3146</v>
      </c>
      <c r="D319" s="2" t="s">
        <v>1293</v>
      </c>
      <c r="E319" s="2">
        <f t="shared" si="29"/>
        <v>45252</v>
      </c>
      <c r="F319" s="4">
        <f t="shared" si="30"/>
        <v>2023</v>
      </c>
      <c r="G319" t="str">
        <f t="shared" si="31"/>
        <v>November</v>
      </c>
      <c r="H319" t="str">
        <f t="shared" si="32"/>
        <v>2023-11</v>
      </c>
      <c r="I319" s="4">
        <f t="shared" ca="1" si="28"/>
        <v>672</v>
      </c>
      <c r="J319" t="s">
        <v>524</v>
      </c>
      <c r="K319" t="s">
        <v>525</v>
      </c>
      <c r="L319" t="s">
        <v>1294</v>
      </c>
      <c r="M319">
        <v>28</v>
      </c>
      <c r="N319" t="str">
        <f>VLOOKUP(M319, CategoryMap!$A$2:$B$100, 2, FALSE)</f>
        <v>Science &amp; Technology</v>
      </c>
      <c r="O319">
        <v>17351050</v>
      </c>
      <c r="P319">
        <v>828343</v>
      </c>
      <c r="Q319">
        <v>3094</v>
      </c>
      <c r="R319" s="3">
        <f t="shared" si="33"/>
        <v>4.7918540952853E-2</v>
      </c>
      <c r="S319">
        <v>56</v>
      </c>
      <c r="T319" t="str">
        <f t="shared" si="34"/>
        <v>Short</v>
      </c>
    </row>
    <row r="320" spans="1:20" ht="18.75" customHeight="1" x14ac:dyDescent="0.35">
      <c r="A320" t="s">
        <v>1295</v>
      </c>
      <c r="B320" t="s">
        <v>2682</v>
      </c>
      <c r="C320" t="s">
        <v>3147</v>
      </c>
      <c r="D320" s="2" t="s">
        <v>1296</v>
      </c>
      <c r="E320" s="2">
        <f t="shared" si="29"/>
        <v>45805</v>
      </c>
      <c r="F320" s="4">
        <f t="shared" si="30"/>
        <v>2025</v>
      </c>
      <c r="G320" t="str">
        <f t="shared" si="31"/>
        <v>May</v>
      </c>
      <c r="H320" t="str">
        <f t="shared" si="32"/>
        <v>2025-05</v>
      </c>
      <c r="I320" s="4">
        <f t="shared" ca="1" si="28"/>
        <v>119</v>
      </c>
      <c r="J320" t="s">
        <v>1297</v>
      </c>
      <c r="K320" t="s">
        <v>1298</v>
      </c>
      <c r="L320" t="s">
        <v>1299</v>
      </c>
      <c r="M320">
        <v>10</v>
      </c>
      <c r="N320" t="str">
        <f>VLOOKUP(M320, CategoryMap!$A$2:$B$100, 2, FALSE)</f>
        <v>Music</v>
      </c>
      <c r="O320">
        <v>290154</v>
      </c>
      <c r="P320">
        <v>1255</v>
      </c>
      <c r="Q320">
        <v>4</v>
      </c>
      <c r="R320" s="3">
        <f t="shared" si="33"/>
        <v>4.3390751118371623E-3</v>
      </c>
      <c r="S320">
        <v>5</v>
      </c>
      <c r="T320" t="str">
        <f t="shared" si="34"/>
        <v>Short</v>
      </c>
    </row>
    <row r="321" spans="1:20" ht="18.75" customHeight="1" x14ac:dyDescent="0.35">
      <c r="A321" t="s">
        <v>1300</v>
      </c>
      <c r="B321" t="s">
        <v>2683</v>
      </c>
      <c r="C321" t="s">
        <v>3148</v>
      </c>
      <c r="D321" s="2" t="s">
        <v>1301</v>
      </c>
      <c r="E321" s="2">
        <f t="shared" si="29"/>
        <v>45071</v>
      </c>
      <c r="F321" s="4">
        <f t="shared" si="30"/>
        <v>2023</v>
      </c>
      <c r="G321" t="str">
        <f t="shared" si="31"/>
        <v>May</v>
      </c>
      <c r="H321" t="str">
        <f t="shared" si="32"/>
        <v>2023-05</v>
      </c>
      <c r="I321" s="4">
        <f t="shared" ca="1" si="28"/>
        <v>853</v>
      </c>
      <c r="J321" t="s">
        <v>326</v>
      </c>
      <c r="K321" t="s">
        <v>327</v>
      </c>
      <c r="L321" t="s">
        <v>328</v>
      </c>
      <c r="M321">
        <v>28</v>
      </c>
      <c r="N321" t="str">
        <f>VLOOKUP(M321, CategoryMap!$A$2:$B$100, 2, FALSE)</f>
        <v>Science &amp; Technology</v>
      </c>
      <c r="O321">
        <v>3989344</v>
      </c>
      <c r="P321">
        <v>76633</v>
      </c>
      <c r="Q321">
        <v>502</v>
      </c>
      <c r="R321" s="3">
        <f t="shared" si="33"/>
        <v>1.933525913032318E-2</v>
      </c>
      <c r="S321">
        <v>8</v>
      </c>
      <c r="T321" t="str">
        <f t="shared" si="34"/>
        <v>Short</v>
      </c>
    </row>
    <row r="322" spans="1:20" ht="18.75" customHeight="1" x14ac:dyDescent="0.35">
      <c r="A322" t="s">
        <v>1302</v>
      </c>
      <c r="B322" t="s">
        <v>2684</v>
      </c>
      <c r="C322" t="s">
        <v>11</v>
      </c>
      <c r="D322" s="2" t="s">
        <v>1303</v>
      </c>
      <c r="E322" s="2">
        <f t="shared" si="29"/>
        <v>45826</v>
      </c>
      <c r="F322" s="4">
        <f t="shared" si="30"/>
        <v>2025</v>
      </c>
      <c r="G322" t="str">
        <f t="shared" si="31"/>
        <v>June</v>
      </c>
      <c r="H322" t="str">
        <f t="shared" si="32"/>
        <v>2025-06</v>
      </c>
      <c r="I322" s="4">
        <f t="shared" ref="I322:I385" ca="1" si="35">TODAY() - DATEVALUE(LEFT(D322,10))</f>
        <v>98</v>
      </c>
      <c r="J322" t="s">
        <v>854</v>
      </c>
      <c r="K322" t="s">
        <v>855</v>
      </c>
      <c r="L322" t="s">
        <v>29</v>
      </c>
      <c r="M322">
        <v>24</v>
      </c>
      <c r="N322" t="str">
        <f>VLOOKUP(M322, CategoryMap!$A$2:$B$100, 2, FALSE)</f>
        <v>Entertainment</v>
      </c>
      <c r="O322">
        <v>217758</v>
      </c>
      <c r="P322">
        <v>14038</v>
      </c>
      <c r="Q322">
        <v>83</v>
      </c>
      <c r="R322" s="3">
        <f t="shared" si="33"/>
        <v>6.4847215716529363E-2</v>
      </c>
      <c r="S322">
        <v>41</v>
      </c>
      <c r="T322" t="str">
        <f t="shared" si="34"/>
        <v>Short</v>
      </c>
    </row>
    <row r="323" spans="1:20" ht="18.75" customHeight="1" x14ac:dyDescent="0.35">
      <c r="A323" t="s">
        <v>1304</v>
      </c>
      <c r="B323" t="s">
        <v>2685</v>
      </c>
      <c r="C323" t="s">
        <v>3149</v>
      </c>
      <c r="D323" s="2" t="s">
        <v>1305</v>
      </c>
      <c r="E323" s="2">
        <f t="shared" ref="E323:E386" si="36">DATEVALUE(LEFT(D323,10))</f>
        <v>45397</v>
      </c>
      <c r="F323" s="4">
        <f t="shared" ref="F323:F386" si="37">YEAR(E323)</f>
        <v>2024</v>
      </c>
      <c r="G323" t="str">
        <f t="shared" ref="G323:G386" si="38">TEXT(E323,"MMMM")</f>
        <v>April</v>
      </c>
      <c r="H323" t="str">
        <f t="shared" ref="H323:H386" si="39">TEXT(E323,"YYYY-MM")</f>
        <v>2024-04</v>
      </c>
      <c r="I323" s="4">
        <f t="shared" ca="1" si="35"/>
        <v>527</v>
      </c>
      <c r="J323" t="s">
        <v>524</v>
      </c>
      <c r="K323" t="s">
        <v>525</v>
      </c>
      <c r="L323" t="s">
        <v>1306</v>
      </c>
      <c r="M323">
        <v>28</v>
      </c>
      <c r="N323" t="str">
        <f>VLOOKUP(M323, CategoryMap!$A$2:$B$100, 2, FALSE)</f>
        <v>Science &amp; Technology</v>
      </c>
      <c r="O323">
        <v>14522160</v>
      </c>
      <c r="P323">
        <v>632659</v>
      </c>
      <c r="Q323">
        <v>745</v>
      </c>
      <c r="R323" s="3">
        <f t="shared" ref="R323:R386" si="40">IF(O323=0, 0, (P323 + Q323) / O323)</f>
        <v>4.3616376627168413E-2</v>
      </c>
      <c r="S323">
        <v>60</v>
      </c>
      <c r="T323" t="str">
        <f t="shared" ref="T323:T386" si="41">IF(S323&lt;=60, "Short", "Long")</f>
        <v>Short</v>
      </c>
    </row>
    <row r="324" spans="1:20" ht="18.75" customHeight="1" x14ac:dyDescent="0.35">
      <c r="A324" t="s">
        <v>1307</v>
      </c>
      <c r="B324" t="s">
        <v>1308</v>
      </c>
      <c r="C324" t="s">
        <v>3150</v>
      </c>
      <c r="D324" s="2" t="s">
        <v>1309</v>
      </c>
      <c r="E324" s="2">
        <f t="shared" si="36"/>
        <v>45824</v>
      </c>
      <c r="F324" s="4">
        <f t="shared" si="37"/>
        <v>2025</v>
      </c>
      <c r="G324" t="str">
        <f t="shared" si="38"/>
        <v>June</v>
      </c>
      <c r="H324" t="str">
        <f t="shared" si="39"/>
        <v>2025-06</v>
      </c>
      <c r="I324" s="4">
        <f t="shared" ca="1" si="35"/>
        <v>100</v>
      </c>
      <c r="J324" t="s">
        <v>1310</v>
      </c>
      <c r="K324" t="s">
        <v>1311</v>
      </c>
      <c r="L324" t="s">
        <v>1312</v>
      </c>
      <c r="M324">
        <v>28</v>
      </c>
      <c r="N324" t="str">
        <f>VLOOKUP(M324, CategoryMap!$A$2:$B$100, 2, FALSE)</f>
        <v>Science &amp; Technology</v>
      </c>
      <c r="O324">
        <v>320398</v>
      </c>
      <c r="P324">
        <v>19299</v>
      </c>
      <c r="Q324">
        <v>2555</v>
      </c>
      <c r="R324" s="3">
        <f t="shared" si="40"/>
        <v>6.8208915161767553E-2</v>
      </c>
      <c r="S324">
        <v>505</v>
      </c>
      <c r="T324" t="str">
        <f t="shared" si="41"/>
        <v>Long</v>
      </c>
    </row>
    <row r="325" spans="1:20" ht="18.75" customHeight="1" x14ac:dyDescent="0.35">
      <c r="A325" t="s">
        <v>1313</v>
      </c>
      <c r="B325" t="s">
        <v>2686</v>
      </c>
      <c r="C325" t="s">
        <v>3151</v>
      </c>
      <c r="D325" s="2" t="s">
        <v>1314</v>
      </c>
      <c r="E325" s="2">
        <f t="shared" si="36"/>
        <v>45549</v>
      </c>
      <c r="F325" s="4">
        <f t="shared" si="37"/>
        <v>2024</v>
      </c>
      <c r="G325" t="str">
        <f t="shared" si="38"/>
        <v>September</v>
      </c>
      <c r="H325" t="str">
        <f t="shared" si="39"/>
        <v>2024-09</v>
      </c>
      <c r="I325" s="4">
        <f t="shared" ca="1" si="35"/>
        <v>375</v>
      </c>
      <c r="J325" t="s">
        <v>1315</v>
      </c>
      <c r="K325" t="s">
        <v>1316</v>
      </c>
      <c r="L325" t="s">
        <v>1317</v>
      </c>
      <c r="M325">
        <v>22</v>
      </c>
      <c r="N325" t="str">
        <f>VLOOKUP(M325, CategoryMap!$A$2:$B$100, 2, FALSE)</f>
        <v>People &amp; Blogs</v>
      </c>
      <c r="O325">
        <v>29050969</v>
      </c>
      <c r="P325">
        <v>385458</v>
      </c>
      <c r="Q325">
        <v>1027</v>
      </c>
      <c r="R325" s="3">
        <f t="shared" si="40"/>
        <v>1.3303687047409675E-2</v>
      </c>
      <c r="S325">
        <v>36</v>
      </c>
      <c r="T325" t="str">
        <f t="shared" si="41"/>
        <v>Short</v>
      </c>
    </row>
    <row r="326" spans="1:20" ht="18.75" customHeight="1" x14ac:dyDescent="0.35">
      <c r="A326" t="s">
        <v>1318</v>
      </c>
      <c r="B326" t="s">
        <v>1319</v>
      </c>
      <c r="C326" t="s">
        <v>3152</v>
      </c>
      <c r="D326" s="2" t="s">
        <v>1320</v>
      </c>
      <c r="E326" s="2">
        <f t="shared" si="36"/>
        <v>45466</v>
      </c>
      <c r="F326" s="4">
        <f t="shared" si="37"/>
        <v>2024</v>
      </c>
      <c r="G326" t="str">
        <f t="shared" si="38"/>
        <v>June</v>
      </c>
      <c r="H326" t="str">
        <f t="shared" si="39"/>
        <v>2024-06</v>
      </c>
      <c r="I326" s="4">
        <f t="shared" ca="1" si="35"/>
        <v>458</v>
      </c>
      <c r="J326" t="s">
        <v>1321</v>
      </c>
      <c r="K326" t="s">
        <v>1322</v>
      </c>
      <c r="L326" t="s">
        <v>1323</v>
      </c>
      <c r="M326">
        <v>27</v>
      </c>
      <c r="N326" t="str">
        <f>VLOOKUP(M326, CategoryMap!$A$2:$B$100, 2, FALSE)</f>
        <v>Education</v>
      </c>
      <c r="O326">
        <v>3190790</v>
      </c>
      <c r="P326">
        <v>142107</v>
      </c>
      <c r="Q326">
        <v>310</v>
      </c>
      <c r="R326" s="3">
        <f t="shared" si="40"/>
        <v>4.4633774081026957E-2</v>
      </c>
      <c r="S326">
        <v>58</v>
      </c>
      <c r="T326" t="str">
        <f t="shared" si="41"/>
        <v>Short</v>
      </c>
    </row>
    <row r="327" spans="1:20" ht="18.75" customHeight="1" x14ac:dyDescent="0.35">
      <c r="A327" t="s">
        <v>1324</v>
      </c>
      <c r="B327" t="s">
        <v>2687</v>
      </c>
      <c r="C327" t="s">
        <v>3153</v>
      </c>
      <c r="D327" s="2" t="s">
        <v>1325</v>
      </c>
      <c r="E327" s="2">
        <f t="shared" si="36"/>
        <v>45514</v>
      </c>
      <c r="F327" s="4">
        <f t="shared" si="37"/>
        <v>2024</v>
      </c>
      <c r="G327" t="str">
        <f t="shared" si="38"/>
        <v>August</v>
      </c>
      <c r="H327" t="str">
        <f t="shared" si="39"/>
        <v>2024-08</v>
      </c>
      <c r="I327" s="4">
        <f t="shared" ca="1" si="35"/>
        <v>410</v>
      </c>
      <c r="J327" t="s">
        <v>1326</v>
      </c>
      <c r="K327" t="s">
        <v>1327</v>
      </c>
      <c r="L327" t="s">
        <v>1328</v>
      </c>
      <c r="M327">
        <v>28</v>
      </c>
      <c r="N327" t="str">
        <f>VLOOKUP(M327, CategoryMap!$A$2:$B$100, 2, FALSE)</f>
        <v>Science &amp; Technology</v>
      </c>
      <c r="O327">
        <v>1694957</v>
      </c>
      <c r="P327">
        <v>30137</v>
      </c>
      <c r="Q327">
        <v>903</v>
      </c>
      <c r="R327" s="3">
        <f t="shared" si="40"/>
        <v>1.8313148947141433E-2</v>
      </c>
      <c r="S327">
        <v>1548</v>
      </c>
      <c r="T327" t="str">
        <f t="shared" si="41"/>
        <v>Long</v>
      </c>
    </row>
    <row r="328" spans="1:20" ht="18.75" customHeight="1" x14ac:dyDescent="0.35">
      <c r="A328" t="s">
        <v>1329</v>
      </c>
      <c r="B328" t="s">
        <v>2688</v>
      </c>
      <c r="C328" t="s">
        <v>11</v>
      </c>
      <c r="D328" s="2" t="s">
        <v>1330</v>
      </c>
      <c r="E328" s="2">
        <f t="shared" si="36"/>
        <v>45823</v>
      </c>
      <c r="F328" s="4">
        <f t="shared" si="37"/>
        <v>2025</v>
      </c>
      <c r="G328" t="str">
        <f t="shared" si="38"/>
        <v>June</v>
      </c>
      <c r="H328" t="str">
        <f t="shared" si="39"/>
        <v>2025-06</v>
      </c>
      <c r="I328" s="4">
        <f t="shared" ca="1" si="35"/>
        <v>101</v>
      </c>
      <c r="J328" t="s">
        <v>1331</v>
      </c>
      <c r="K328" t="s">
        <v>1332</v>
      </c>
      <c r="L328" t="s">
        <v>29</v>
      </c>
      <c r="M328">
        <v>22</v>
      </c>
      <c r="N328" t="str">
        <f>VLOOKUP(M328, CategoryMap!$A$2:$B$100, 2, FALSE)</f>
        <v>People &amp; Blogs</v>
      </c>
      <c r="O328">
        <v>35769</v>
      </c>
      <c r="P328">
        <v>126</v>
      </c>
      <c r="Q328">
        <v>17</v>
      </c>
      <c r="R328" s="3">
        <f t="shared" si="40"/>
        <v>3.9978752551091731E-3</v>
      </c>
      <c r="S328">
        <v>10</v>
      </c>
      <c r="T328" t="str">
        <f t="shared" si="41"/>
        <v>Short</v>
      </c>
    </row>
    <row r="329" spans="1:20" ht="18.75" customHeight="1" x14ac:dyDescent="0.35">
      <c r="A329" t="s">
        <v>1333</v>
      </c>
      <c r="B329" t="s">
        <v>2689</v>
      </c>
      <c r="C329" t="s">
        <v>3154</v>
      </c>
      <c r="D329" s="2" t="s">
        <v>1334</v>
      </c>
      <c r="E329" s="2">
        <f t="shared" si="36"/>
        <v>44781</v>
      </c>
      <c r="F329" s="4">
        <f t="shared" si="37"/>
        <v>2022</v>
      </c>
      <c r="G329" t="str">
        <f t="shared" si="38"/>
        <v>August</v>
      </c>
      <c r="H329" t="str">
        <f t="shared" si="39"/>
        <v>2022-08</v>
      </c>
      <c r="I329" s="4">
        <f t="shared" ca="1" si="35"/>
        <v>1143</v>
      </c>
      <c r="J329" t="s">
        <v>1335</v>
      </c>
      <c r="K329" t="s">
        <v>1336</v>
      </c>
      <c r="L329" t="s">
        <v>29</v>
      </c>
      <c r="M329">
        <v>26</v>
      </c>
      <c r="N329" t="str">
        <f>VLOOKUP(M329, CategoryMap!$A$2:$B$100, 2, FALSE)</f>
        <v>Howto &amp; Style</v>
      </c>
      <c r="O329">
        <v>51334598</v>
      </c>
      <c r="P329">
        <v>3061219</v>
      </c>
      <c r="Q329">
        <v>11926</v>
      </c>
      <c r="R329" s="3">
        <f t="shared" si="40"/>
        <v>5.9864986183392338E-2</v>
      </c>
      <c r="S329">
        <v>60</v>
      </c>
      <c r="T329" t="str">
        <f t="shared" si="41"/>
        <v>Short</v>
      </c>
    </row>
    <row r="330" spans="1:20" ht="18.75" customHeight="1" x14ac:dyDescent="0.35">
      <c r="A330" t="s">
        <v>1337</v>
      </c>
      <c r="B330" t="s">
        <v>2690</v>
      </c>
      <c r="C330" t="s">
        <v>3155</v>
      </c>
      <c r="D330" s="2" t="s">
        <v>1338</v>
      </c>
      <c r="E330" s="2">
        <f t="shared" si="36"/>
        <v>45570</v>
      </c>
      <c r="F330" s="4">
        <f t="shared" si="37"/>
        <v>2024</v>
      </c>
      <c r="G330" t="str">
        <f t="shared" si="38"/>
        <v>October</v>
      </c>
      <c r="H330" t="str">
        <f t="shared" si="39"/>
        <v>2024-10</v>
      </c>
      <c r="I330" s="4">
        <f t="shared" ca="1" si="35"/>
        <v>354</v>
      </c>
      <c r="J330" t="s">
        <v>13</v>
      </c>
      <c r="K330" t="s">
        <v>14</v>
      </c>
      <c r="L330" t="s">
        <v>1339</v>
      </c>
      <c r="M330">
        <v>28</v>
      </c>
      <c r="N330" t="str">
        <f>VLOOKUP(M330, CategoryMap!$A$2:$B$100, 2, FALSE)</f>
        <v>Science &amp; Technology</v>
      </c>
      <c r="O330">
        <v>8359570</v>
      </c>
      <c r="P330">
        <v>217368</v>
      </c>
      <c r="Q330">
        <v>6425</v>
      </c>
      <c r="R330" s="3">
        <f t="shared" si="40"/>
        <v>2.6770874578477124E-2</v>
      </c>
      <c r="S330">
        <v>1635</v>
      </c>
      <c r="T330" t="str">
        <f t="shared" si="41"/>
        <v>Long</v>
      </c>
    </row>
    <row r="331" spans="1:20" ht="18.75" customHeight="1" x14ac:dyDescent="0.35">
      <c r="A331" t="s">
        <v>1340</v>
      </c>
      <c r="B331" t="s">
        <v>2691</v>
      </c>
      <c r="C331" t="s">
        <v>3156</v>
      </c>
      <c r="D331" s="2" t="s">
        <v>1341</v>
      </c>
      <c r="E331" s="2">
        <f t="shared" si="36"/>
        <v>45359</v>
      </c>
      <c r="F331" s="4">
        <f t="shared" si="37"/>
        <v>2024</v>
      </c>
      <c r="G331" t="str">
        <f t="shared" si="38"/>
        <v>March</v>
      </c>
      <c r="H331" t="str">
        <f t="shared" si="39"/>
        <v>2024-03</v>
      </c>
      <c r="I331" s="4">
        <f t="shared" ca="1" si="35"/>
        <v>565</v>
      </c>
      <c r="J331" t="s">
        <v>1342</v>
      </c>
      <c r="K331" t="s">
        <v>1343</v>
      </c>
      <c r="L331" t="s">
        <v>1344</v>
      </c>
      <c r="M331">
        <v>27</v>
      </c>
      <c r="N331" t="str">
        <f>VLOOKUP(M331, CategoryMap!$A$2:$B$100, 2, FALSE)</f>
        <v>Education</v>
      </c>
      <c r="O331">
        <v>1706186</v>
      </c>
      <c r="P331">
        <v>6555</v>
      </c>
      <c r="Q331">
        <v>0</v>
      </c>
      <c r="R331" s="3">
        <f t="shared" si="40"/>
        <v>3.8419023482785582E-3</v>
      </c>
      <c r="S331">
        <v>343</v>
      </c>
      <c r="T331" t="str">
        <f t="shared" si="41"/>
        <v>Long</v>
      </c>
    </row>
    <row r="332" spans="1:20" ht="18.75" customHeight="1" x14ac:dyDescent="0.35">
      <c r="A332" t="s">
        <v>1345</v>
      </c>
      <c r="B332" t="s">
        <v>2692</v>
      </c>
      <c r="C332" t="s">
        <v>3157</v>
      </c>
      <c r="D332" s="2" t="s">
        <v>1346</v>
      </c>
      <c r="E332" s="2">
        <f t="shared" si="36"/>
        <v>45581</v>
      </c>
      <c r="F332" s="4">
        <f t="shared" si="37"/>
        <v>2024</v>
      </c>
      <c r="G332" t="str">
        <f t="shared" si="38"/>
        <v>October</v>
      </c>
      <c r="H332" t="str">
        <f t="shared" si="39"/>
        <v>2024-10</v>
      </c>
      <c r="I332" s="4">
        <f t="shared" ca="1" si="35"/>
        <v>343</v>
      </c>
      <c r="J332" t="s">
        <v>669</v>
      </c>
      <c r="K332" t="s">
        <v>670</v>
      </c>
      <c r="L332" t="s">
        <v>1347</v>
      </c>
      <c r="M332">
        <v>27</v>
      </c>
      <c r="N332" t="str">
        <f>VLOOKUP(M332, CategoryMap!$A$2:$B$100, 2, FALSE)</f>
        <v>Education</v>
      </c>
      <c r="O332">
        <v>3880144</v>
      </c>
      <c r="P332">
        <v>217464.60837887001</v>
      </c>
      <c r="Q332">
        <v>116</v>
      </c>
      <c r="R332" s="3">
        <f t="shared" si="40"/>
        <v>5.6075395237617474E-2</v>
      </c>
      <c r="S332">
        <v>18</v>
      </c>
      <c r="T332" t="str">
        <f t="shared" si="41"/>
        <v>Short</v>
      </c>
    </row>
    <row r="333" spans="1:20" ht="18.75" customHeight="1" x14ac:dyDescent="0.35">
      <c r="A333" t="s">
        <v>1348</v>
      </c>
      <c r="B333" t="s">
        <v>2693</v>
      </c>
      <c r="C333" t="s">
        <v>3158</v>
      </c>
      <c r="D333" s="2" t="s">
        <v>1349</v>
      </c>
      <c r="E333" s="2">
        <f t="shared" si="36"/>
        <v>43611</v>
      </c>
      <c r="F333" s="4">
        <f t="shared" si="37"/>
        <v>2019</v>
      </c>
      <c r="G333" t="str">
        <f t="shared" si="38"/>
        <v>May</v>
      </c>
      <c r="H333" t="str">
        <f t="shared" si="39"/>
        <v>2019-05</v>
      </c>
      <c r="I333" s="4">
        <f t="shared" ca="1" si="35"/>
        <v>2313</v>
      </c>
      <c r="J333" t="s">
        <v>1350</v>
      </c>
      <c r="K333" t="s">
        <v>1351</v>
      </c>
      <c r="L333" t="s">
        <v>1352</v>
      </c>
      <c r="M333">
        <v>28</v>
      </c>
      <c r="N333" t="str">
        <f>VLOOKUP(M333, CategoryMap!$A$2:$B$100, 2, FALSE)</f>
        <v>Science &amp; Technology</v>
      </c>
      <c r="O333">
        <v>6377933</v>
      </c>
      <c r="P333">
        <v>83467</v>
      </c>
      <c r="Q333">
        <v>2823</v>
      </c>
      <c r="R333" s="3">
        <f t="shared" si="40"/>
        <v>1.352946166101149E-2</v>
      </c>
      <c r="S333">
        <v>617</v>
      </c>
      <c r="T333" t="str">
        <f t="shared" si="41"/>
        <v>Long</v>
      </c>
    </row>
    <row r="334" spans="1:20" ht="18.75" customHeight="1" x14ac:dyDescent="0.35">
      <c r="A334" t="s">
        <v>1353</v>
      </c>
      <c r="B334" t="s">
        <v>2694</v>
      </c>
      <c r="C334" t="s">
        <v>3159</v>
      </c>
      <c r="D334" s="2" t="s">
        <v>1354</v>
      </c>
      <c r="E334" s="2">
        <f t="shared" si="36"/>
        <v>45492</v>
      </c>
      <c r="F334" s="4">
        <f t="shared" si="37"/>
        <v>2024</v>
      </c>
      <c r="G334" t="str">
        <f t="shared" si="38"/>
        <v>July</v>
      </c>
      <c r="H334" t="str">
        <f t="shared" si="39"/>
        <v>2024-07</v>
      </c>
      <c r="I334" s="4">
        <f t="shared" ca="1" si="35"/>
        <v>432</v>
      </c>
      <c r="J334" t="s">
        <v>458</v>
      </c>
      <c r="K334" t="s">
        <v>459</v>
      </c>
      <c r="L334" t="s">
        <v>1355</v>
      </c>
      <c r="M334">
        <v>28</v>
      </c>
      <c r="N334" t="str">
        <f>VLOOKUP(M334, CategoryMap!$A$2:$B$100, 2, FALSE)</f>
        <v>Science &amp; Technology</v>
      </c>
      <c r="O334">
        <v>10693689</v>
      </c>
      <c r="P334">
        <v>276100</v>
      </c>
      <c r="Q334">
        <v>12385</v>
      </c>
      <c r="R334" s="3">
        <f t="shared" si="40"/>
        <v>2.6977126415402581E-2</v>
      </c>
      <c r="S334">
        <v>45</v>
      </c>
      <c r="T334" t="str">
        <f t="shared" si="41"/>
        <v>Short</v>
      </c>
    </row>
    <row r="335" spans="1:20" ht="18.75" customHeight="1" x14ac:dyDescent="0.35">
      <c r="A335" t="s">
        <v>1356</v>
      </c>
      <c r="B335" t="s">
        <v>2695</v>
      </c>
      <c r="C335" t="s">
        <v>11</v>
      </c>
      <c r="D335" s="2" t="s">
        <v>1357</v>
      </c>
      <c r="E335" s="2">
        <f t="shared" si="36"/>
        <v>45822</v>
      </c>
      <c r="F335" s="4">
        <f t="shared" si="37"/>
        <v>2025</v>
      </c>
      <c r="G335" t="str">
        <f t="shared" si="38"/>
        <v>June</v>
      </c>
      <c r="H335" t="str">
        <f t="shared" si="39"/>
        <v>2025-06</v>
      </c>
      <c r="I335" s="4">
        <f t="shared" ca="1" si="35"/>
        <v>102</v>
      </c>
      <c r="J335" t="s">
        <v>1358</v>
      </c>
      <c r="K335" t="s">
        <v>1359</v>
      </c>
      <c r="L335" t="s">
        <v>29</v>
      </c>
      <c r="M335">
        <v>24</v>
      </c>
      <c r="N335" t="str">
        <f>VLOOKUP(M335, CategoryMap!$A$2:$B$100, 2, FALSE)</f>
        <v>Entertainment</v>
      </c>
      <c r="O335">
        <v>22934</v>
      </c>
      <c r="P335">
        <v>454</v>
      </c>
      <c r="Q335">
        <v>3</v>
      </c>
      <c r="R335" s="3">
        <f t="shared" si="40"/>
        <v>1.9926746315514082E-2</v>
      </c>
      <c r="S335">
        <v>49</v>
      </c>
      <c r="T335" t="str">
        <f t="shared" si="41"/>
        <v>Short</v>
      </c>
    </row>
    <row r="336" spans="1:20" ht="18.75" customHeight="1" x14ac:dyDescent="0.35">
      <c r="A336" t="s">
        <v>1360</v>
      </c>
      <c r="B336" t="s">
        <v>2696</v>
      </c>
      <c r="C336" t="s">
        <v>3160</v>
      </c>
      <c r="D336" s="2" t="s">
        <v>1361</v>
      </c>
      <c r="E336" s="2">
        <f t="shared" si="36"/>
        <v>45814</v>
      </c>
      <c r="F336" s="4">
        <f t="shared" si="37"/>
        <v>2025</v>
      </c>
      <c r="G336" t="str">
        <f t="shared" si="38"/>
        <v>June</v>
      </c>
      <c r="H336" t="str">
        <f t="shared" si="39"/>
        <v>2025-06</v>
      </c>
      <c r="I336" s="4">
        <f t="shared" ca="1" si="35"/>
        <v>110</v>
      </c>
      <c r="J336" t="s">
        <v>1362</v>
      </c>
      <c r="K336" t="s">
        <v>1363</v>
      </c>
      <c r="L336" t="s">
        <v>1364</v>
      </c>
      <c r="M336">
        <v>28</v>
      </c>
      <c r="N336" t="str">
        <f>VLOOKUP(M336, CategoryMap!$A$2:$B$100, 2, FALSE)</f>
        <v>Science &amp; Technology</v>
      </c>
      <c r="O336">
        <v>36807</v>
      </c>
      <c r="P336">
        <v>217464.60837887001</v>
      </c>
      <c r="Q336">
        <v>6</v>
      </c>
      <c r="R336" s="3">
        <f t="shared" si="40"/>
        <v>5.9084035204952867</v>
      </c>
      <c r="S336">
        <v>19</v>
      </c>
      <c r="T336" t="str">
        <f t="shared" si="41"/>
        <v>Short</v>
      </c>
    </row>
    <row r="337" spans="1:20" ht="18.75" customHeight="1" x14ac:dyDescent="0.35">
      <c r="A337" t="s">
        <v>1365</v>
      </c>
      <c r="B337" t="s">
        <v>2697</v>
      </c>
      <c r="C337" t="s">
        <v>11</v>
      </c>
      <c r="D337" s="2" t="s">
        <v>1366</v>
      </c>
      <c r="E337" s="2">
        <f t="shared" si="36"/>
        <v>45612</v>
      </c>
      <c r="F337" s="4">
        <f t="shared" si="37"/>
        <v>2024</v>
      </c>
      <c r="G337" t="str">
        <f t="shared" si="38"/>
        <v>November</v>
      </c>
      <c r="H337" t="str">
        <f t="shared" si="39"/>
        <v>2024-11</v>
      </c>
      <c r="I337" s="4">
        <f t="shared" ca="1" si="35"/>
        <v>312</v>
      </c>
      <c r="J337" t="s">
        <v>846</v>
      </c>
      <c r="K337" t="s">
        <v>847</v>
      </c>
      <c r="L337" t="s">
        <v>29</v>
      </c>
      <c r="M337">
        <v>28</v>
      </c>
      <c r="N337" t="str">
        <f>VLOOKUP(M337, CategoryMap!$A$2:$B$100, 2, FALSE)</f>
        <v>Science &amp; Technology</v>
      </c>
      <c r="O337">
        <v>18704366</v>
      </c>
      <c r="P337">
        <v>217464.60837887001</v>
      </c>
      <c r="Q337">
        <v>913</v>
      </c>
      <c r="R337" s="3">
        <f t="shared" si="40"/>
        <v>1.1675221088962332E-2</v>
      </c>
      <c r="S337">
        <v>56</v>
      </c>
      <c r="T337" t="str">
        <f t="shared" si="41"/>
        <v>Short</v>
      </c>
    </row>
    <row r="338" spans="1:20" ht="18.75" customHeight="1" x14ac:dyDescent="0.35">
      <c r="A338" t="s">
        <v>1367</v>
      </c>
      <c r="B338" t="s">
        <v>2698</v>
      </c>
      <c r="C338" t="s">
        <v>3161</v>
      </c>
      <c r="D338" s="2" t="s">
        <v>1368</v>
      </c>
      <c r="E338" s="2">
        <f t="shared" si="36"/>
        <v>45743</v>
      </c>
      <c r="F338" s="4">
        <f t="shared" si="37"/>
        <v>2025</v>
      </c>
      <c r="G338" t="str">
        <f t="shared" si="38"/>
        <v>March</v>
      </c>
      <c r="H338" t="str">
        <f t="shared" si="39"/>
        <v>2025-03</v>
      </c>
      <c r="I338" s="4">
        <f t="shared" ca="1" si="35"/>
        <v>181</v>
      </c>
      <c r="J338" t="s">
        <v>1369</v>
      </c>
      <c r="K338" t="s">
        <v>1370</v>
      </c>
      <c r="L338" t="s">
        <v>29</v>
      </c>
      <c r="M338">
        <v>24</v>
      </c>
      <c r="N338" t="str">
        <f>VLOOKUP(M338, CategoryMap!$A$2:$B$100, 2, FALSE)</f>
        <v>Entertainment</v>
      </c>
      <c r="O338">
        <v>514264</v>
      </c>
      <c r="P338">
        <v>2969</v>
      </c>
      <c r="Q338">
        <v>34</v>
      </c>
      <c r="R338" s="3">
        <f t="shared" si="40"/>
        <v>5.8394132196692749E-3</v>
      </c>
      <c r="S338">
        <v>8</v>
      </c>
      <c r="T338" t="str">
        <f t="shared" si="41"/>
        <v>Short</v>
      </c>
    </row>
    <row r="339" spans="1:20" ht="18.75" customHeight="1" x14ac:dyDescent="0.35">
      <c r="A339" t="s">
        <v>1371</v>
      </c>
      <c r="B339" t="s">
        <v>1372</v>
      </c>
      <c r="C339" t="s">
        <v>3162</v>
      </c>
      <c r="D339" s="2" t="s">
        <v>1373</v>
      </c>
      <c r="E339" s="2">
        <f t="shared" si="36"/>
        <v>45791</v>
      </c>
      <c r="F339" s="4">
        <f t="shared" si="37"/>
        <v>2025</v>
      </c>
      <c r="G339" t="str">
        <f t="shared" si="38"/>
        <v>May</v>
      </c>
      <c r="H339" t="str">
        <f t="shared" si="39"/>
        <v>2025-05</v>
      </c>
      <c r="I339" s="4">
        <f t="shared" ca="1" si="35"/>
        <v>133</v>
      </c>
      <c r="J339" t="s">
        <v>1374</v>
      </c>
      <c r="K339" t="s">
        <v>1375</v>
      </c>
      <c r="L339" t="s">
        <v>29</v>
      </c>
      <c r="M339">
        <v>22</v>
      </c>
      <c r="N339" t="str">
        <f>VLOOKUP(M339, CategoryMap!$A$2:$B$100, 2, FALSE)</f>
        <v>People &amp; Blogs</v>
      </c>
      <c r="O339">
        <v>11891087</v>
      </c>
      <c r="P339">
        <v>204109</v>
      </c>
      <c r="Q339">
        <v>649</v>
      </c>
      <c r="R339" s="3">
        <f t="shared" si="40"/>
        <v>1.7219451846580552E-2</v>
      </c>
      <c r="S339">
        <v>11</v>
      </c>
      <c r="T339" t="str">
        <f t="shared" si="41"/>
        <v>Short</v>
      </c>
    </row>
    <row r="340" spans="1:20" ht="18.75" customHeight="1" x14ac:dyDescent="0.35">
      <c r="A340" t="s">
        <v>1376</v>
      </c>
      <c r="B340" t="s">
        <v>2699</v>
      </c>
      <c r="C340" t="s">
        <v>3163</v>
      </c>
      <c r="D340" s="2" t="s">
        <v>1377</v>
      </c>
      <c r="E340" s="2">
        <f t="shared" si="36"/>
        <v>45767</v>
      </c>
      <c r="F340" s="4">
        <f t="shared" si="37"/>
        <v>2025</v>
      </c>
      <c r="G340" t="str">
        <f t="shared" si="38"/>
        <v>April</v>
      </c>
      <c r="H340" t="str">
        <f t="shared" si="39"/>
        <v>2025-04</v>
      </c>
      <c r="I340" s="4">
        <f t="shared" ca="1" si="35"/>
        <v>157</v>
      </c>
      <c r="J340" t="s">
        <v>1378</v>
      </c>
      <c r="K340" t="s">
        <v>1379</v>
      </c>
      <c r="L340" t="s">
        <v>1380</v>
      </c>
      <c r="M340">
        <v>22</v>
      </c>
      <c r="N340" t="str">
        <f>VLOOKUP(M340, CategoryMap!$A$2:$B$100, 2, FALSE)</f>
        <v>People &amp; Blogs</v>
      </c>
      <c r="O340">
        <v>43254</v>
      </c>
      <c r="P340">
        <v>335</v>
      </c>
      <c r="Q340">
        <v>8</v>
      </c>
      <c r="R340" s="3">
        <f t="shared" si="40"/>
        <v>7.9299024367688545E-3</v>
      </c>
      <c r="S340">
        <v>9</v>
      </c>
      <c r="T340" t="str">
        <f t="shared" si="41"/>
        <v>Short</v>
      </c>
    </row>
    <row r="341" spans="1:20" ht="18.75" customHeight="1" x14ac:dyDescent="0.35">
      <c r="A341" t="s">
        <v>1381</v>
      </c>
      <c r="B341" t="s">
        <v>2700</v>
      </c>
      <c r="C341" t="s">
        <v>11</v>
      </c>
      <c r="D341" s="2" t="s">
        <v>1382</v>
      </c>
      <c r="E341" s="2">
        <f t="shared" si="36"/>
        <v>45828</v>
      </c>
      <c r="F341" s="4">
        <f t="shared" si="37"/>
        <v>2025</v>
      </c>
      <c r="G341" t="str">
        <f t="shared" si="38"/>
        <v>June</v>
      </c>
      <c r="H341" t="str">
        <f t="shared" si="39"/>
        <v>2025-06</v>
      </c>
      <c r="I341" s="4">
        <f t="shared" ca="1" si="35"/>
        <v>96</v>
      </c>
      <c r="J341" t="s">
        <v>1383</v>
      </c>
      <c r="K341" t="s">
        <v>1384</v>
      </c>
      <c r="L341" t="s">
        <v>29</v>
      </c>
      <c r="M341">
        <v>22</v>
      </c>
      <c r="N341" t="str">
        <f>VLOOKUP(M341, CategoryMap!$A$2:$B$100, 2, FALSE)</f>
        <v>People &amp; Blogs</v>
      </c>
      <c r="O341">
        <v>1069</v>
      </c>
      <c r="P341">
        <v>41</v>
      </c>
      <c r="Q341">
        <v>2</v>
      </c>
      <c r="R341" s="3">
        <f t="shared" si="40"/>
        <v>4.0224508886810104E-2</v>
      </c>
      <c r="S341">
        <v>50</v>
      </c>
      <c r="T341" t="str">
        <f t="shared" si="41"/>
        <v>Short</v>
      </c>
    </row>
    <row r="342" spans="1:20" ht="18.75" customHeight="1" x14ac:dyDescent="0.35">
      <c r="A342" t="s">
        <v>1385</v>
      </c>
      <c r="B342" t="s">
        <v>2701</v>
      </c>
      <c r="C342" t="s">
        <v>3164</v>
      </c>
      <c r="D342" s="2" t="s">
        <v>1386</v>
      </c>
      <c r="E342" s="2">
        <f t="shared" si="36"/>
        <v>45583</v>
      </c>
      <c r="F342" s="4">
        <f t="shared" si="37"/>
        <v>2024</v>
      </c>
      <c r="G342" t="str">
        <f t="shared" si="38"/>
        <v>October</v>
      </c>
      <c r="H342" t="str">
        <f t="shared" si="39"/>
        <v>2024-10</v>
      </c>
      <c r="I342" s="4">
        <f t="shared" ca="1" si="35"/>
        <v>341</v>
      </c>
      <c r="J342" t="s">
        <v>139</v>
      </c>
      <c r="K342" t="s">
        <v>140</v>
      </c>
      <c r="L342" t="s">
        <v>1387</v>
      </c>
      <c r="M342">
        <v>28</v>
      </c>
      <c r="N342" t="str">
        <f>VLOOKUP(M342, CategoryMap!$A$2:$B$100, 2, FALSE)</f>
        <v>Science &amp; Technology</v>
      </c>
      <c r="O342">
        <v>1735597</v>
      </c>
      <c r="P342">
        <v>91350</v>
      </c>
      <c r="Q342">
        <v>426</v>
      </c>
      <c r="R342" s="3">
        <f t="shared" si="40"/>
        <v>5.2878634844379199E-2</v>
      </c>
      <c r="S342">
        <v>33</v>
      </c>
      <c r="T342" t="str">
        <f t="shared" si="41"/>
        <v>Short</v>
      </c>
    </row>
    <row r="343" spans="1:20" ht="18.75" customHeight="1" x14ac:dyDescent="0.35">
      <c r="A343" t="s">
        <v>1388</v>
      </c>
      <c r="B343" t="s">
        <v>2702</v>
      </c>
      <c r="C343" t="s">
        <v>3165</v>
      </c>
      <c r="D343" s="2" t="s">
        <v>1389</v>
      </c>
      <c r="E343" s="2">
        <f t="shared" si="36"/>
        <v>45825</v>
      </c>
      <c r="F343" s="4">
        <f t="shared" si="37"/>
        <v>2025</v>
      </c>
      <c r="G343" t="str">
        <f t="shared" si="38"/>
        <v>June</v>
      </c>
      <c r="H343" t="str">
        <f t="shared" si="39"/>
        <v>2025-06</v>
      </c>
      <c r="I343" s="4">
        <f t="shared" ca="1" si="35"/>
        <v>99</v>
      </c>
      <c r="J343" t="s">
        <v>419</v>
      </c>
      <c r="K343" t="s">
        <v>420</v>
      </c>
      <c r="L343" t="s">
        <v>29</v>
      </c>
      <c r="M343">
        <v>22</v>
      </c>
      <c r="N343" t="str">
        <f>VLOOKUP(M343, CategoryMap!$A$2:$B$100, 2, FALSE)</f>
        <v>People &amp; Blogs</v>
      </c>
      <c r="O343">
        <v>1313123</v>
      </c>
      <c r="P343">
        <v>5389</v>
      </c>
      <c r="Q343">
        <v>10</v>
      </c>
      <c r="R343" s="3">
        <f t="shared" si="40"/>
        <v>4.1115721832608214E-3</v>
      </c>
      <c r="S343">
        <v>8</v>
      </c>
      <c r="T343" t="str">
        <f t="shared" si="41"/>
        <v>Short</v>
      </c>
    </row>
    <row r="344" spans="1:20" ht="18.75" customHeight="1" x14ac:dyDescent="0.35">
      <c r="A344" t="s">
        <v>1390</v>
      </c>
      <c r="B344" t="s">
        <v>2703</v>
      </c>
      <c r="C344" t="s">
        <v>3166</v>
      </c>
      <c r="D344" s="2" t="s">
        <v>1391</v>
      </c>
      <c r="E344" s="2">
        <f t="shared" si="36"/>
        <v>45155</v>
      </c>
      <c r="F344" s="4">
        <f t="shared" si="37"/>
        <v>2023</v>
      </c>
      <c r="G344" t="str">
        <f t="shared" si="38"/>
        <v>August</v>
      </c>
      <c r="H344" t="str">
        <f t="shared" si="39"/>
        <v>2023-08</v>
      </c>
      <c r="I344" s="4">
        <f t="shared" ca="1" si="35"/>
        <v>769</v>
      </c>
      <c r="J344" t="s">
        <v>524</v>
      </c>
      <c r="K344" t="s">
        <v>525</v>
      </c>
      <c r="L344" t="s">
        <v>1392</v>
      </c>
      <c r="M344">
        <v>28</v>
      </c>
      <c r="N344" t="str">
        <f>VLOOKUP(M344, CategoryMap!$A$2:$B$100, 2, FALSE)</f>
        <v>Science &amp; Technology</v>
      </c>
      <c r="O344">
        <v>15812438</v>
      </c>
      <c r="P344">
        <v>710249</v>
      </c>
      <c r="Q344">
        <v>953</v>
      </c>
      <c r="R344" s="3">
        <f t="shared" si="40"/>
        <v>4.497737793501546E-2</v>
      </c>
      <c r="S344">
        <v>49</v>
      </c>
      <c r="T344" t="str">
        <f t="shared" si="41"/>
        <v>Short</v>
      </c>
    </row>
    <row r="345" spans="1:20" ht="18.75" customHeight="1" x14ac:dyDescent="0.35">
      <c r="A345" t="s">
        <v>1393</v>
      </c>
      <c r="B345" t="s">
        <v>2704</v>
      </c>
      <c r="C345" t="s">
        <v>3167</v>
      </c>
      <c r="D345" s="2" t="s">
        <v>1394</v>
      </c>
      <c r="E345" s="2">
        <f t="shared" si="36"/>
        <v>45752</v>
      </c>
      <c r="F345" s="4">
        <f t="shared" si="37"/>
        <v>2025</v>
      </c>
      <c r="G345" t="str">
        <f t="shared" si="38"/>
        <v>April</v>
      </c>
      <c r="H345" t="str">
        <f t="shared" si="39"/>
        <v>2025-04</v>
      </c>
      <c r="I345" s="4">
        <f t="shared" ca="1" si="35"/>
        <v>172</v>
      </c>
      <c r="J345" t="s">
        <v>1395</v>
      </c>
      <c r="K345" t="s">
        <v>1396</v>
      </c>
      <c r="L345" t="s">
        <v>29</v>
      </c>
      <c r="M345">
        <v>22</v>
      </c>
      <c r="N345" t="str">
        <f>VLOOKUP(M345, CategoryMap!$A$2:$B$100, 2, FALSE)</f>
        <v>People &amp; Blogs</v>
      </c>
      <c r="O345">
        <v>60494473</v>
      </c>
      <c r="P345">
        <v>567006</v>
      </c>
      <c r="Q345">
        <v>825</v>
      </c>
      <c r="R345" s="3">
        <f t="shared" si="40"/>
        <v>9.3864938702747282E-3</v>
      </c>
      <c r="S345">
        <v>10</v>
      </c>
      <c r="T345" t="str">
        <f t="shared" si="41"/>
        <v>Short</v>
      </c>
    </row>
    <row r="346" spans="1:20" ht="18.75" customHeight="1" x14ac:dyDescent="0.35">
      <c r="A346" t="s">
        <v>1397</v>
      </c>
      <c r="B346" t="s">
        <v>2705</v>
      </c>
      <c r="C346" t="s">
        <v>3168</v>
      </c>
      <c r="D346" s="2" t="s">
        <v>1398</v>
      </c>
      <c r="E346" s="2">
        <f t="shared" si="36"/>
        <v>45814</v>
      </c>
      <c r="F346" s="4">
        <f t="shared" si="37"/>
        <v>2025</v>
      </c>
      <c r="G346" t="str">
        <f t="shared" si="38"/>
        <v>June</v>
      </c>
      <c r="H346" t="str">
        <f t="shared" si="39"/>
        <v>2025-06</v>
      </c>
      <c r="I346" s="4">
        <f t="shared" ca="1" si="35"/>
        <v>110</v>
      </c>
      <c r="J346" t="s">
        <v>1399</v>
      </c>
      <c r="K346" t="s">
        <v>1400</v>
      </c>
      <c r="L346" t="s">
        <v>1401</v>
      </c>
      <c r="M346">
        <v>28</v>
      </c>
      <c r="N346" t="str">
        <f>VLOOKUP(M346, CategoryMap!$A$2:$B$100, 2, FALSE)</f>
        <v>Science &amp; Technology</v>
      </c>
      <c r="O346">
        <v>128919</v>
      </c>
      <c r="P346">
        <v>1765</v>
      </c>
      <c r="Q346">
        <v>5</v>
      </c>
      <c r="R346" s="3">
        <f t="shared" si="40"/>
        <v>1.3729551113489866E-2</v>
      </c>
      <c r="S346">
        <v>49</v>
      </c>
      <c r="T346" t="str">
        <f t="shared" si="41"/>
        <v>Short</v>
      </c>
    </row>
    <row r="347" spans="1:20" ht="18.75" customHeight="1" x14ac:dyDescent="0.35">
      <c r="A347" t="s">
        <v>1402</v>
      </c>
      <c r="B347" t="s">
        <v>1403</v>
      </c>
      <c r="C347" t="s">
        <v>1403</v>
      </c>
      <c r="D347" s="2" t="s">
        <v>1404</v>
      </c>
      <c r="E347" s="2">
        <f t="shared" si="36"/>
        <v>45819</v>
      </c>
      <c r="F347" s="4">
        <f t="shared" si="37"/>
        <v>2025</v>
      </c>
      <c r="G347" t="str">
        <f t="shared" si="38"/>
        <v>June</v>
      </c>
      <c r="H347" t="str">
        <f t="shared" si="39"/>
        <v>2025-06</v>
      </c>
      <c r="I347" s="4">
        <f t="shared" ca="1" si="35"/>
        <v>105</v>
      </c>
      <c r="J347" t="s">
        <v>1405</v>
      </c>
      <c r="K347" t="s">
        <v>1406</v>
      </c>
      <c r="L347" t="s">
        <v>1407</v>
      </c>
      <c r="M347">
        <v>20</v>
      </c>
      <c r="N347" t="str">
        <f>VLOOKUP(M347, CategoryMap!$A$2:$B$100, 2, FALSE)</f>
        <v>Gaming</v>
      </c>
      <c r="O347">
        <v>42124</v>
      </c>
      <c r="P347">
        <v>337</v>
      </c>
      <c r="Q347">
        <v>2</v>
      </c>
      <c r="R347" s="3">
        <f t="shared" si="40"/>
        <v>8.047668787389611E-3</v>
      </c>
      <c r="S347">
        <v>14</v>
      </c>
      <c r="T347" t="str">
        <f t="shared" si="41"/>
        <v>Short</v>
      </c>
    </row>
    <row r="348" spans="1:20" ht="18.75" customHeight="1" x14ac:dyDescent="0.35">
      <c r="A348" t="s">
        <v>1408</v>
      </c>
      <c r="B348" t="s">
        <v>2706</v>
      </c>
      <c r="C348" t="s">
        <v>11</v>
      </c>
      <c r="D348" s="2" t="s">
        <v>1409</v>
      </c>
      <c r="E348" s="2">
        <f t="shared" si="36"/>
        <v>45523</v>
      </c>
      <c r="F348" s="4">
        <f t="shared" si="37"/>
        <v>2024</v>
      </c>
      <c r="G348" t="str">
        <f t="shared" si="38"/>
        <v>August</v>
      </c>
      <c r="H348" t="str">
        <f t="shared" si="39"/>
        <v>2024-08</v>
      </c>
      <c r="I348" s="4">
        <f t="shared" ca="1" si="35"/>
        <v>401</v>
      </c>
      <c r="J348" t="s">
        <v>1410</v>
      </c>
      <c r="K348" t="s">
        <v>1411</v>
      </c>
      <c r="L348" t="s">
        <v>29</v>
      </c>
      <c r="M348">
        <v>22</v>
      </c>
      <c r="N348" t="str">
        <f>VLOOKUP(M348, CategoryMap!$A$2:$B$100, 2, FALSE)</f>
        <v>People &amp; Blogs</v>
      </c>
      <c r="O348">
        <v>16558980</v>
      </c>
      <c r="P348">
        <v>635651</v>
      </c>
      <c r="Q348">
        <v>3588</v>
      </c>
      <c r="R348" s="3">
        <f t="shared" si="40"/>
        <v>3.8603766657125019E-2</v>
      </c>
      <c r="S348">
        <v>60</v>
      </c>
      <c r="T348" t="str">
        <f t="shared" si="41"/>
        <v>Short</v>
      </c>
    </row>
    <row r="349" spans="1:20" ht="18.75" customHeight="1" x14ac:dyDescent="0.35">
      <c r="A349" t="s">
        <v>1412</v>
      </c>
      <c r="B349" t="s">
        <v>2707</v>
      </c>
      <c r="C349" t="s">
        <v>3169</v>
      </c>
      <c r="D349" s="2" t="s">
        <v>1413</v>
      </c>
      <c r="E349" s="2">
        <f t="shared" si="36"/>
        <v>45487</v>
      </c>
      <c r="F349" s="4">
        <f t="shared" si="37"/>
        <v>2024</v>
      </c>
      <c r="G349" t="str">
        <f t="shared" si="38"/>
        <v>July</v>
      </c>
      <c r="H349" t="str">
        <f t="shared" si="39"/>
        <v>2024-07</v>
      </c>
      <c r="I349" s="4">
        <f t="shared" ca="1" si="35"/>
        <v>437</v>
      </c>
      <c r="J349" t="s">
        <v>1414</v>
      </c>
      <c r="K349" t="s">
        <v>1415</v>
      </c>
      <c r="L349" t="s">
        <v>1416</v>
      </c>
      <c r="M349">
        <v>22</v>
      </c>
      <c r="N349" t="str">
        <f>VLOOKUP(M349, CategoryMap!$A$2:$B$100, 2, FALSE)</f>
        <v>People &amp; Blogs</v>
      </c>
      <c r="O349">
        <v>1006574</v>
      </c>
      <c r="P349">
        <v>6913</v>
      </c>
      <c r="Q349">
        <v>281</v>
      </c>
      <c r="R349" s="3">
        <f t="shared" si="40"/>
        <v>7.1470155199717059E-3</v>
      </c>
      <c r="S349">
        <v>1210</v>
      </c>
      <c r="T349" t="str">
        <f t="shared" si="41"/>
        <v>Long</v>
      </c>
    </row>
    <row r="350" spans="1:20" ht="18.75" customHeight="1" x14ac:dyDescent="0.35">
      <c r="A350" t="s">
        <v>1417</v>
      </c>
      <c r="B350" t="s">
        <v>2708</v>
      </c>
      <c r="C350" t="s">
        <v>3170</v>
      </c>
      <c r="D350" s="2" t="s">
        <v>1418</v>
      </c>
      <c r="E350" s="2">
        <f t="shared" si="36"/>
        <v>45819</v>
      </c>
      <c r="F350" s="4">
        <f t="shared" si="37"/>
        <v>2025</v>
      </c>
      <c r="G350" t="str">
        <f t="shared" si="38"/>
        <v>June</v>
      </c>
      <c r="H350" t="str">
        <f t="shared" si="39"/>
        <v>2025-06</v>
      </c>
      <c r="I350" s="4">
        <f t="shared" ca="1" si="35"/>
        <v>105</v>
      </c>
      <c r="J350" t="s">
        <v>1419</v>
      </c>
      <c r="K350" t="s">
        <v>1420</v>
      </c>
      <c r="L350" t="s">
        <v>1421</v>
      </c>
      <c r="M350">
        <v>2</v>
      </c>
      <c r="N350" t="str">
        <f>VLOOKUP(M350, CategoryMap!$A$2:$B$100, 2, FALSE)</f>
        <v>Autos &amp; Vehicles</v>
      </c>
      <c r="O350">
        <v>133709</v>
      </c>
      <c r="P350">
        <v>3740</v>
      </c>
      <c r="Q350">
        <v>221</v>
      </c>
      <c r="R350" s="3">
        <f t="shared" si="40"/>
        <v>2.9624034283406504E-2</v>
      </c>
      <c r="S350">
        <v>360</v>
      </c>
      <c r="T350" t="str">
        <f t="shared" si="41"/>
        <v>Long</v>
      </c>
    </row>
    <row r="351" spans="1:20" ht="18.75" customHeight="1" x14ac:dyDescent="0.35">
      <c r="A351" t="s">
        <v>1422</v>
      </c>
      <c r="B351" t="s">
        <v>2709</v>
      </c>
      <c r="C351" t="s">
        <v>3171</v>
      </c>
      <c r="D351" s="2" t="s">
        <v>1423</v>
      </c>
      <c r="E351" s="2">
        <f t="shared" si="36"/>
        <v>45781</v>
      </c>
      <c r="F351" s="4">
        <f t="shared" si="37"/>
        <v>2025</v>
      </c>
      <c r="G351" t="str">
        <f t="shared" si="38"/>
        <v>May</v>
      </c>
      <c r="H351" t="str">
        <f t="shared" si="39"/>
        <v>2025-05</v>
      </c>
      <c r="I351" s="4">
        <f t="shared" ca="1" si="35"/>
        <v>143</v>
      </c>
      <c r="J351" t="s">
        <v>1424</v>
      </c>
      <c r="K351" t="s">
        <v>1425</v>
      </c>
      <c r="L351" t="s">
        <v>1426</v>
      </c>
      <c r="M351">
        <v>28</v>
      </c>
      <c r="N351" t="str">
        <f>VLOOKUP(M351, CategoryMap!$A$2:$B$100, 2, FALSE)</f>
        <v>Science &amp; Technology</v>
      </c>
      <c r="O351">
        <v>481832</v>
      </c>
      <c r="P351">
        <v>16362</v>
      </c>
      <c r="Q351">
        <v>3226</v>
      </c>
      <c r="R351" s="3">
        <f t="shared" si="40"/>
        <v>4.0653173720300854E-2</v>
      </c>
      <c r="S351">
        <v>1287</v>
      </c>
      <c r="T351" t="str">
        <f t="shared" si="41"/>
        <v>Long</v>
      </c>
    </row>
    <row r="352" spans="1:20" ht="18.75" customHeight="1" x14ac:dyDescent="0.35">
      <c r="A352" t="s">
        <v>1427</v>
      </c>
      <c r="B352" t="s">
        <v>2710</v>
      </c>
      <c r="C352" t="s">
        <v>3172</v>
      </c>
      <c r="D352" s="2" t="s">
        <v>1428</v>
      </c>
      <c r="E352" s="2">
        <f t="shared" si="36"/>
        <v>45746</v>
      </c>
      <c r="F352" s="4">
        <f t="shared" si="37"/>
        <v>2025</v>
      </c>
      <c r="G352" t="str">
        <f t="shared" si="38"/>
        <v>March</v>
      </c>
      <c r="H352" t="str">
        <f t="shared" si="39"/>
        <v>2025-03</v>
      </c>
      <c r="I352" s="4">
        <f t="shared" ca="1" si="35"/>
        <v>178</v>
      </c>
      <c r="J352" t="s">
        <v>1429</v>
      </c>
      <c r="K352" t="s">
        <v>1430</v>
      </c>
      <c r="L352" t="s">
        <v>1431</v>
      </c>
      <c r="M352">
        <v>20</v>
      </c>
      <c r="N352" t="str">
        <f>VLOOKUP(M352, CategoryMap!$A$2:$B$100, 2, FALSE)</f>
        <v>Gaming</v>
      </c>
      <c r="O352">
        <v>75262</v>
      </c>
      <c r="P352">
        <v>1046</v>
      </c>
      <c r="Q352">
        <v>12</v>
      </c>
      <c r="R352" s="3">
        <f t="shared" si="40"/>
        <v>1.4057558927480004E-2</v>
      </c>
      <c r="S352">
        <v>15</v>
      </c>
      <c r="T352" t="str">
        <f t="shared" si="41"/>
        <v>Short</v>
      </c>
    </row>
    <row r="353" spans="1:20" ht="18.75" customHeight="1" x14ac:dyDescent="0.35">
      <c r="A353" t="s">
        <v>1432</v>
      </c>
      <c r="B353" t="s">
        <v>2711</v>
      </c>
      <c r="C353" t="s">
        <v>11</v>
      </c>
      <c r="D353" s="2" t="s">
        <v>1433</v>
      </c>
      <c r="E353" s="2">
        <f t="shared" si="36"/>
        <v>45790</v>
      </c>
      <c r="F353" s="4">
        <f t="shared" si="37"/>
        <v>2025</v>
      </c>
      <c r="G353" t="str">
        <f t="shared" si="38"/>
        <v>May</v>
      </c>
      <c r="H353" t="str">
        <f t="shared" si="39"/>
        <v>2025-05</v>
      </c>
      <c r="I353" s="4">
        <f t="shared" ca="1" si="35"/>
        <v>134</v>
      </c>
      <c r="J353" t="s">
        <v>1434</v>
      </c>
      <c r="K353" t="s">
        <v>1435</v>
      </c>
      <c r="L353" t="s">
        <v>29</v>
      </c>
      <c r="M353">
        <v>23</v>
      </c>
      <c r="N353" t="str">
        <f>VLOOKUP(M353, CategoryMap!$A$2:$B$100, 2, FALSE)</f>
        <v>Comedy</v>
      </c>
      <c r="O353">
        <v>17485</v>
      </c>
      <c r="P353">
        <v>103</v>
      </c>
      <c r="Q353">
        <v>1</v>
      </c>
      <c r="R353" s="3">
        <f t="shared" si="40"/>
        <v>5.9479553903345724E-3</v>
      </c>
      <c r="S353">
        <v>11</v>
      </c>
      <c r="T353" t="str">
        <f t="shared" si="41"/>
        <v>Short</v>
      </c>
    </row>
    <row r="354" spans="1:20" ht="18.75" customHeight="1" x14ac:dyDescent="0.35">
      <c r="A354" t="s">
        <v>1436</v>
      </c>
      <c r="B354" t="s">
        <v>2712</v>
      </c>
      <c r="C354" t="s">
        <v>3173</v>
      </c>
      <c r="D354" s="2" t="s">
        <v>1437</v>
      </c>
      <c r="E354" s="2">
        <f t="shared" si="36"/>
        <v>45769</v>
      </c>
      <c r="F354" s="4">
        <f t="shared" si="37"/>
        <v>2025</v>
      </c>
      <c r="G354" t="str">
        <f t="shared" si="38"/>
        <v>April</v>
      </c>
      <c r="H354" t="str">
        <f t="shared" si="39"/>
        <v>2025-04</v>
      </c>
      <c r="I354" s="4">
        <f t="shared" ca="1" si="35"/>
        <v>155</v>
      </c>
      <c r="J354" t="s">
        <v>1135</v>
      </c>
      <c r="K354" t="s">
        <v>1136</v>
      </c>
      <c r="L354" t="s">
        <v>29</v>
      </c>
      <c r="M354">
        <v>28</v>
      </c>
      <c r="N354" t="str">
        <f>VLOOKUP(M354, CategoryMap!$A$2:$B$100, 2, FALSE)</f>
        <v>Science &amp; Technology</v>
      </c>
      <c r="O354">
        <v>11238</v>
      </c>
      <c r="P354">
        <v>357</v>
      </c>
      <c r="Q354">
        <v>4</v>
      </c>
      <c r="R354" s="3">
        <f t="shared" si="40"/>
        <v>3.2123153586047337E-2</v>
      </c>
      <c r="S354">
        <v>46</v>
      </c>
      <c r="T354" t="str">
        <f t="shared" si="41"/>
        <v>Short</v>
      </c>
    </row>
    <row r="355" spans="1:20" ht="18.75" customHeight="1" x14ac:dyDescent="0.35">
      <c r="A355" t="s">
        <v>1438</v>
      </c>
      <c r="B355" t="s">
        <v>2713</v>
      </c>
      <c r="C355" t="s">
        <v>3174</v>
      </c>
      <c r="D355" s="2" t="s">
        <v>1439</v>
      </c>
      <c r="E355" s="2">
        <f t="shared" si="36"/>
        <v>45822</v>
      </c>
      <c r="F355" s="4">
        <f t="shared" si="37"/>
        <v>2025</v>
      </c>
      <c r="G355" t="str">
        <f t="shared" si="38"/>
        <v>June</v>
      </c>
      <c r="H355" t="str">
        <f t="shared" si="39"/>
        <v>2025-06</v>
      </c>
      <c r="I355" s="4">
        <f t="shared" ca="1" si="35"/>
        <v>102</v>
      </c>
      <c r="J355" t="s">
        <v>1440</v>
      </c>
      <c r="K355" t="s">
        <v>1441</v>
      </c>
      <c r="L355" t="s">
        <v>29</v>
      </c>
      <c r="M355">
        <v>22</v>
      </c>
      <c r="N355" t="str">
        <f>VLOOKUP(M355, CategoryMap!$A$2:$B$100, 2, FALSE)</f>
        <v>People &amp; Blogs</v>
      </c>
      <c r="O355">
        <v>444678</v>
      </c>
      <c r="P355">
        <v>4890</v>
      </c>
      <c r="Q355">
        <v>25</v>
      </c>
      <c r="R355" s="3">
        <f t="shared" si="40"/>
        <v>1.1052941679147608E-2</v>
      </c>
      <c r="S355">
        <v>48</v>
      </c>
      <c r="T355" t="str">
        <f t="shared" si="41"/>
        <v>Short</v>
      </c>
    </row>
    <row r="356" spans="1:20" ht="18.75" customHeight="1" x14ac:dyDescent="0.35">
      <c r="A356" t="s">
        <v>1442</v>
      </c>
      <c r="B356" t="s">
        <v>2714</v>
      </c>
      <c r="C356" t="s">
        <v>3175</v>
      </c>
      <c r="D356" s="2" t="s">
        <v>1443</v>
      </c>
      <c r="E356" s="2">
        <f t="shared" si="36"/>
        <v>45828</v>
      </c>
      <c r="F356" s="4">
        <f t="shared" si="37"/>
        <v>2025</v>
      </c>
      <c r="G356" t="str">
        <f t="shared" si="38"/>
        <v>June</v>
      </c>
      <c r="H356" t="str">
        <f t="shared" si="39"/>
        <v>2025-06</v>
      </c>
      <c r="I356" s="4">
        <f t="shared" ca="1" si="35"/>
        <v>96</v>
      </c>
      <c r="J356" t="s">
        <v>1444</v>
      </c>
      <c r="K356" t="s">
        <v>1445</v>
      </c>
      <c r="L356" t="s">
        <v>29</v>
      </c>
      <c r="M356">
        <v>15</v>
      </c>
      <c r="N356" t="str">
        <f>VLOOKUP(M356, CategoryMap!$A$2:$B$100, 2, FALSE)</f>
        <v>Pets &amp; Animals</v>
      </c>
      <c r="O356">
        <v>6783</v>
      </c>
      <c r="P356">
        <v>42</v>
      </c>
      <c r="Q356">
        <v>0</v>
      </c>
      <c r="R356" s="3">
        <f t="shared" si="40"/>
        <v>6.1919504643962852E-3</v>
      </c>
      <c r="S356">
        <v>10</v>
      </c>
      <c r="T356" t="str">
        <f t="shared" si="41"/>
        <v>Short</v>
      </c>
    </row>
    <row r="357" spans="1:20" ht="18.75" customHeight="1" x14ac:dyDescent="0.35">
      <c r="A357" t="s">
        <v>1446</v>
      </c>
      <c r="B357" t="s">
        <v>2715</v>
      </c>
      <c r="C357" t="s">
        <v>3176</v>
      </c>
      <c r="D357" s="2" t="s">
        <v>1447</v>
      </c>
      <c r="E357" s="2">
        <f t="shared" si="36"/>
        <v>45817</v>
      </c>
      <c r="F357" s="4">
        <f t="shared" si="37"/>
        <v>2025</v>
      </c>
      <c r="G357" t="str">
        <f t="shared" si="38"/>
        <v>June</v>
      </c>
      <c r="H357" t="str">
        <f t="shared" si="39"/>
        <v>2025-06</v>
      </c>
      <c r="I357" s="4">
        <f t="shared" ca="1" si="35"/>
        <v>107</v>
      </c>
      <c r="J357" t="s">
        <v>941</v>
      </c>
      <c r="K357" t="s">
        <v>942</v>
      </c>
      <c r="L357" t="s">
        <v>1448</v>
      </c>
      <c r="M357">
        <v>28</v>
      </c>
      <c r="N357" t="str">
        <f>VLOOKUP(M357, CategoryMap!$A$2:$B$100, 2, FALSE)</f>
        <v>Science &amp; Technology</v>
      </c>
      <c r="O357">
        <v>942047</v>
      </c>
      <c r="P357">
        <v>12596</v>
      </c>
      <c r="Q357">
        <v>3042</v>
      </c>
      <c r="R357" s="3">
        <f t="shared" si="40"/>
        <v>1.6600021018059609E-2</v>
      </c>
      <c r="S357">
        <v>578</v>
      </c>
      <c r="T357" t="str">
        <f t="shared" si="41"/>
        <v>Long</v>
      </c>
    </row>
    <row r="358" spans="1:20" ht="18.75" customHeight="1" x14ac:dyDescent="0.35">
      <c r="A358" t="s">
        <v>1449</v>
      </c>
      <c r="B358" t="s">
        <v>2716</v>
      </c>
      <c r="C358" t="s">
        <v>3177</v>
      </c>
      <c r="D358" s="2" t="s">
        <v>1450</v>
      </c>
      <c r="E358" s="2">
        <f t="shared" si="36"/>
        <v>45818</v>
      </c>
      <c r="F358" s="4">
        <f t="shared" si="37"/>
        <v>2025</v>
      </c>
      <c r="G358" t="str">
        <f t="shared" si="38"/>
        <v>June</v>
      </c>
      <c r="H358" t="str">
        <f t="shared" si="39"/>
        <v>2025-06</v>
      </c>
      <c r="I358" s="4">
        <f t="shared" ca="1" si="35"/>
        <v>106</v>
      </c>
      <c r="J358" t="s">
        <v>1228</v>
      </c>
      <c r="K358" t="s">
        <v>1229</v>
      </c>
      <c r="L358" t="s">
        <v>1451</v>
      </c>
      <c r="M358">
        <v>28</v>
      </c>
      <c r="N358" t="str">
        <f>VLOOKUP(M358, CategoryMap!$A$2:$B$100, 2, FALSE)</f>
        <v>Science &amp; Technology</v>
      </c>
      <c r="O358">
        <v>7002607</v>
      </c>
      <c r="P358">
        <v>169445</v>
      </c>
      <c r="Q358">
        <v>14750</v>
      </c>
      <c r="R358" s="3">
        <f t="shared" si="40"/>
        <v>2.6303775151168701E-2</v>
      </c>
      <c r="S358">
        <v>1103</v>
      </c>
      <c r="T358" t="str">
        <f t="shared" si="41"/>
        <v>Long</v>
      </c>
    </row>
    <row r="359" spans="1:20" ht="18.75" customHeight="1" x14ac:dyDescent="0.35">
      <c r="A359" t="s">
        <v>1452</v>
      </c>
      <c r="B359" t="s">
        <v>2717</v>
      </c>
      <c r="C359" t="s">
        <v>11</v>
      </c>
      <c r="D359" s="2" t="s">
        <v>1453</v>
      </c>
      <c r="E359" s="2">
        <f t="shared" si="36"/>
        <v>45826</v>
      </c>
      <c r="F359" s="4">
        <f t="shared" si="37"/>
        <v>2025</v>
      </c>
      <c r="G359" t="str">
        <f t="shared" si="38"/>
        <v>June</v>
      </c>
      <c r="H359" t="str">
        <f t="shared" si="39"/>
        <v>2025-06</v>
      </c>
      <c r="I359" s="4">
        <f t="shared" ca="1" si="35"/>
        <v>98</v>
      </c>
      <c r="J359" t="s">
        <v>1454</v>
      </c>
      <c r="K359" t="s">
        <v>1455</v>
      </c>
      <c r="L359" t="s">
        <v>29</v>
      </c>
      <c r="M359">
        <v>20</v>
      </c>
      <c r="N359" t="str">
        <f>VLOOKUP(M359, CategoryMap!$A$2:$B$100, 2, FALSE)</f>
        <v>Gaming</v>
      </c>
      <c r="O359">
        <v>14806</v>
      </c>
      <c r="P359">
        <v>1129</v>
      </c>
      <c r="Q359">
        <v>32</v>
      </c>
      <c r="R359" s="3">
        <f t="shared" si="40"/>
        <v>7.8414156423071729E-2</v>
      </c>
      <c r="S359">
        <v>52</v>
      </c>
      <c r="T359" t="str">
        <f t="shared" si="41"/>
        <v>Short</v>
      </c>
    </row>
    <row r="360" spans="1:20" ht="18.75" customHeight="1" x14ac:dyDescent="0.35">
      <c r="A360" t="s">
        <v>1456</v>
      </c>
      <c r="B360" t="s">
        <v>2682</v>
      </c>
      <c r="C360" t="s">
        <v>3147</v>
      </c>
      <c r="D360" s="2" t="s">
        <v>1457</v>
      </c>
      <c r="E360" s="2">
        <f t="shared" si="36"/>
        <v>45811</v>
      </c>
      <c r="F360" s="4">
        <f t="shared" si="37"/>
        <v>2025</v>
      </c>
      <c r="G360" t="str">
        <f t="shared" si="38"/>
        <v>June</v>
      </c>
      <c r="H360" t="str">
        <f t="shared" si="39"/>
        <v>2025-06</v>
      </c>
      <c r="I360" s="4">
        <f t="shared" ca="1" si="35"/>
        <v>113</v>
      </c>
      <c r="J360" t="s">
        <v>1458</v>
      </c>
      <c r="K360" t="s">
        <v>1459</v>
      </c>
      <c r="L360" t="s">
        <v>29</v>
      </c>
      <c r="M360">
        <v>10</v>
      </c>
      <c r="N360" t="str">
        <f>VLOOKUP(M360, CategoryMap!$A$2:$B$100, 2, FALSE)</f>
        <v>Music</v>
      </c>
      <c r="O360">
        <v>34496</v>
      </c>
      <c r="P360">
        <v>217464.60837887001</v>
      </c>
      <c r="Q360">
        <v>0</v>
      </c>
      <c r="R360" s="3">
        <f t="shared" si="40"/>
        <v>6.3040528866787451</v>
      </c>
      <c r="S360">
        <v>5</v>
      </c>
      <c r="T360" t="str">
        <f t="shared" si="41"/>
        <v>Short</v>
      </c>
    </row>
    <row r="361" spans="1:20" ht="18.75" customHeight="1" x14ac:dyDescent="0.35">
      <c r="A361" t="s">
        <v>1460</v>
      </c>
      <c r="B361" t="s">
        <v>2718</v>
      </c>
      <c r="C361" t="s">
        <v>3178</v>
      </c>
      <c r="D361" s="2" t="s">
        <v>1461</v>
      </c>
      <c r="E361" s="2">
        <f t="shared" si="36"/>
        <v>45779</v>
      </c>
      <c r="F361" s="4">
        <f t="shared" si="37"/>
        <v>2025</v>
      </c>
      <c r="G361" t="str">
        <f t="shared" si="38"/>
        <v>May</v>
      </c>
      <c r="H361" t="str">
        <f t="shared" si="39"/>
        <v>2025-05</v>
      </c>
      <c r="I361" s="4">
        <f t="shared" ca="1" si="35"/>
        <v>145</v>
      </c>
      <c r="J361" t="s">
        <v>1462</v>
      </c>
      <c r="K361" t="s">
        <v>1463</v>
      </c>
      <c r="L361" t="s">
        <v>1464</v>
      </c>
      <c r="M361">
        <v>23</v>
      </c>
      <c r="N361" t="str">
        <f>VLOOKUP(M361, CategoryMap!$A$2:$B$100, 2, FALSE)</f>
        <v>Comedy</v>
      </c>
      <c r="O361">
        <v>107622</v>
      </c>
      <c r="P361">
        <v>217464.60837887001</v>
      </c>
      <c r="Q361">
        <v>1970.1447811447799</v>
      </c>
      <c r="R361" s="3">
        <f t="shared" si="40"/>
        <v>2.0389395584547283</v>
      </c>
      <c r="S361">
        <v>8</v>
      </c>
      <c r="T361" t="str">
        <f t="shared" si="41"/>
        <v>Short</v>
      </c>
    </row>
    <row r="362" spans="1:20" ht="18.75" customHeight="1" x14ac:dyDescent="0.35">
      <c r="A362" t="s">
        <v>1465</v>
      </c>
      <c r="B362" t="s">
        <v>2719</v>
      </c>
      <c r="C362" t="s">
        <v>3179</v>
      </c>
      <c r="D362" s="2" t="s">
        <v>1466</v>
      </c>
      <c r="E362" s="2">
        <f t="shared" si="36"/>
        <v>45779</v>
      </c>
      <c r="F362" s="4">
        <f t="shared" si="37"/>
        <v>2025</v>
      </c>
      <c r="G362" t="str">
        <f t="shared" si="38"/>
        <v>May</v>
      </c>
      <c r="H362" t="str">
        <f t="shared" si="39"/>
        <v>2025-05</v>
      </c>
      <c r="I362" s="4">
        <f t="shared" ca="1" si="35"/>
        <v>145</v>
      </c>
      <c r="J362" t="s">
        <v>1342</v>
      </c>
      <c r="K362" t="s">
        <v>1343</v>
      </c>
      <c r="L362" t="s">
        <v>1467</v>
      </c>
      <c r="M362">
        <v>27</v>
      </c>
      <c r="N362" t="str">
        <f>VLOOKUP(M362, CategoryMap!$A$2:$B$100, 2, FALSE)</f>
        <v>Education</v>
      </c>
      <c r="O362">
        <v>440548</v>
      </c>
      <c r="P362">
        <v>1973</v>
      </c>
      <c r="Q362">
        <v>0</v>
      </c>
      <c r="R362" s="3">
        <f t="shared" si="40"/>
        <v>4.4785131245630438E-3</v>
      </c>
      <c r="S362">
        <v>393</v>
      </c>
      <c r="T362" t="str">
        <f t="shared" si="41"/>
        <v>Long</v>
      </c>
    </row>
    <row r="363" spans="1:20" ht="18.75" customHeight="1" x14ac:dyDescent="0.35">
      <c r="A363" t="s">
        <v>1468</v>
      </c>
      <c r="B363" t="s">
        <v>2720</v>
      </c>
      <c r="C363" t="s">
        <v>11</v>
      </c>
      <c r="D363" s="2" t="s">
        <v>1469</v>
      </c>
      <c r="E363" s="2">
        <f t="shared" si="36"/>
        <v>45828</v>
      </c>
      <c r="F363" s="4">
        <f t="shared" si="37"/>
        <v>2025</v>
      </c>
      <c r="G363" t="str">
        <f t="shared" si="38"/>
        <v>June</v>
      </c>
      <c r="H363" t="str">
        <f t="shared" si="39"/>
        <v>2025-06</v>
      </c>
      <c r="I363" s="4">
        <f t="shared" ca="1" si="35"/>
        <v>96</v>
      </c>
      <c r="J363" t="s">
        <v>1470</v>
      </c>
      <c r="K363" t="s">
        <v>1471</v>
      </c>
      <c r="L363" t="s">
        <v>29</v>
      </c>
      <c r="M363">
        <v>22</v>
      </c>
      <c r="N363" t="str">
        <f>VLOOKUP(M363, CategoryMap!$A$2:$B$100, 2, FALSE)</f>
        <v>People &amp; Blogs</v>
      </c>
      <c r="O363">
        <v>4328</v>
      </c>
      <c r="P363">
        <v>217464.60837887001</v>
      </c>
      <c r="Q363">
        <v>0</v>
      </c>
      <c r="R363" s="3">
        <f t="shared" si="40"/>
        <v>50.245981603250925</v>
      </c>
      <c r="S363">
        <v>19</v>
      </c>
      <c r="T363" t="str">
        <f t="shared" si="41"/>
        <v>Short</v>
      </c>
    </row>
    <row r="364" spans="1:20" ht="18.75" customHeight="1" x14ac:dyDescent="0.35">
      <c r="A364" t="s">
        <v>1472</v>
      </c>
      <c r="B364" t="s">
        <v>2721</v>
      </c>
      <c r="C364" t="s">
        <v>11</v>
      </c>
      <c r="D364" s="2" t="s">
        <v>1473</v>
      </c>
      <c r="E364" s="2">
        <f t="shared" si="36"/>
        <v>45816</v>
      </c>
      <c r="F364" s="4">
        <f t="shared" si="37"/>
        <v>2025</v>
      </c>
      <c r="G364" t="str">
        <f t="shared" si="38"/>
        <v>June</v>
      </c>
      <c r="H364" t="str">
        <f t="shared" si="39"/>
        <v>2025-06</v>
      </c>
      <c r="I364" s="4">
        <f t="shared" ca="1" si="35"/>
        <v>108</v>
      </c>
      <c r="J364" t="s">
        <v>1474</v>
      </c>
      <c r="K364" t="s">
        <v>1475</v>
      </c>
      <c r="L364" t="s">
        <v>29</v>
      </c>
      <c r="M364">
        <v>27</v>
      </c>
      <c r="N364" t="str">
        <f>VLOOKUP(M364, CategoryMap!$A$2:$B$100, 2, FALSE)</f>
        <v>Education</v>
      </c>
      <c r="O364">
        <v>22563</v>
      </c>
      <c r="P364">
        <v>256</v>
      </c>
      <c r="Q364">
        <v>4</v>
      </c>
      <c r="R364" s="3">
        <f t="shared" si="40"/>
        <v>1.1523290342596287E-2</v>
      </c>
      <c r="S364">
        <v>55</v>
      </c>
      <c r="T364" t="str">
        <f t="shared" si="41"/>
        <v>Short</v>
      </c>
    </row>
    <row r="365" spans="1:20" ht="18.75" customHeight="1" x14ac:dyDescent="0.35">
      <c r="A365" t="s">
        <v>1476</v>
      </c>
      <c r="B365" t="s">
        <v>2722</v>
      </c>
      <c r="C365" t="s">
        <v>1036</v>
      </c>
      <c r="D365" s="2" t="s">
        <v>1477</v>
      </c>
      <c r="E365" s="2">
        <f t="shared" si="36"/>
        <v>45824</v>
      </c>
      <c r="F365" s="4">
        <f t="shared" si="37"/>
        <v>2025</v>
      </c>
      <c r="G365" t="str">
        <f t="shared" si="38"/>
        <v>June</v>
      </c>
      <c r="H365" t="str">
        <f t="shared" si="39"/>
        <v>2025-06</v>
      </c>
      <c r="I365" s="4">
        <f t="shared" ca="1" si="35"/>
        <v>100</v>
      </c>
      <c r="J365" t="s">
        <v>1038</v>
      </c>
      <c r="K365" t="s">
        <v>1039</v>
      </c>
      <c r="L365" t="s">
        <v>29</v>
      </c>
      <c r="M365">
        <v>28</v>
      </c>
      <c r="N365" t="str">
        <f>VLOOKUP(M365, CategoryMap!$A$2:$B$100, 2, FALSE)</f>
        <v>Science &amp; Technology</v>
      </c>
      <c r="O365">
        <v>166398</v>
      </c>
      <c r="P365">
        <v>362</v>
      </c>
      <c r="Q365">
        <v>0</v>
      </c>
      <c r="R365" s="3">
        <f t="shared" si="40"/>
        <v>2.1755069171504465E-3</v>
      </c>
      <c r="S365">
        <v>8</v>
      </c>
      <c r="T365" t="str">
        <f t="shared" si="41"/>
        <v>Short</v>
      </c>
    </row>
    <row r="366" spans="1:20" ht="18.75" customHeight="1" x14ac:dyDescent="0.35">
      <c r="A366" t="s">
        <v>1478</v>
      </c>
      <c r="B366" t="s">
        <v>2723</v>
      </c>
      <c r="C366" t="s">
        <v>3180</v>
      </c>
      <c r="D366" s="2" t="s">
        <v>1479</v>
      </c>
      <c r="E366" s="2">
        <f t="shared" si="36"/>
        <v>45684</v>
      </c>
      <c r="F366" s="4">
        <f t="shared" si="37"/>
        <v>2025</v>
      </c>
      <c r="G366" t="str">
        <f t="shared" si="38"/>
        <v>January</v>
      </c>
      <c r="H366" t="str">
        <f t="shared" si="39"/>
        <v>2025-01</v>
      </c>
      <c r="I366" s="4">
        <f t="shared" ca="1" si="35"/>
        <v>240</v>
      </c>
      <c r="J366" t="s">
        <v>134</v>
      </c>
      <c r="K366" t="s">
        <v>135</v>
      </c>
      <c r="L366" t="s">
        <v>136</v>
      </c>
      <c r="M366">
        <v>28</v>
      </c>
      <c r="N366" t="str">
        <f>VLOOKUP(M366, CategoryMap!$A$2:$B$100, 2, FALSE)</f>
        <v>Science &amp; Technology</v>
      </c>
      <c r="O366">
        <v>3863019</v>
      </c>
      <c r="P366">
        <v>153735</v>
      </c>
      <c r="Q366">
        <v>9886</v>
      </c>
      <c r="R366" s="3">
        <f t="shared" si="40"/>
        <v>4.235573265365767E-2</v>
      </c>
      <c r="S366">
        <v>217</v>
      </c>
      <c r="T366" t="str">
        <f t="shared" si="41"/>
        <v>Long</v>
      </c>
    </row>
    <row r="367" spans="1:20" ht="18.75" customHeight="1" x14ac:dyDescent="0.35">
      <c r="A367" t="s">
        <v>1480</v>
      </c>
      <c r="B367" t="s">
        <v>2724</v>
      </c>
      <c r="C367" t="s">
        <v>11</v>
      </c>
      <c r="D367" s="2" t="s">
        <v>1481</v>
      </c>
      <c r="E367" s="2">
        <f t="shared" si="36"/>
        <v>45828</v>
      </c>
      <c r="F367" s="4">
        <f t="shared" si="37"/>
        <v>2025</v>
      </c>
      <c r="G367" t="str">
        <f t="shared" si="38"/>
        <v>June</v>
      </c>
      <c r="H367" t="str">
        <f t="shared" si="39"/>
        <v>2025-06</v>
      </c>
      <c r="I367" s="4">
        <f t="shared" ca="1" si="35"/>
        <v>96</v>
      </c>
      <c r="J367" t="s">
        <v>1482</v>
      </c>
      <c r="K367" t="s">
        <v>1483</v>
      </c>
      <c r="L367" t="s">
        <v>29</v>
      </c>
      <c r="M367">
        <v>22</v>
      </c>
      <c r="N367" t="str">
        <f>VLOOKUP(M367, CategoryMap!$A$2:$B$100, 2, FALSE)</f>
        <v>People &amp; Blogs</v>
      </c>
      <c r="O367">
        <v>33715</v>
      </c>
      <c r="P367">
        <v>187</v>
      </c>
      <c r="Q367">
        <v>0</v>
      </c>
      <c r="R367" s="3">
        <f t="shared" si="40"/>
        <v>5.5464926590538333E-3</v>
      </c>
      <c r="S367">
        <v>12</v>
      </c>
      <c r="T367" t="str">
        <f t="shared" si="41"/>
        <v>Short</v>
      </c>
    </row>
    <row r="368" spans="1:20" ht="18.75" customHeight="1" x14ac:dyDescent="0.35">
      <c r="A368" t="s">
        <v>1484</v>
      </c>
      <c r="B368" t="s">
        <v>2725</v>
      </c>
      <c r="C368" t="s">
        <v>3175</v>
      </c>
      <c r="D368" s="2" t="s">
        <v>1485</v>
      </c>
      <c r="E368" s="2">
        <f t="shared" si="36"/>
        <v>45827</v>
      </c>
      <c r="F368" s="4">
        <f t="shared" si="37"/>
        <v>2025</v>
      </c>
      <c r="G368" t="str">
        <f t="shared" si="38"/>
        <v>June</v>
      </c>
      <c r="H368" t="str">
        <f t="shared" si="39"/>
        <v>2025-06</v>
      </c>
      <c r="I368" s="4">
        <f t="shared" ca="1" si="35"/>
        <v>97</v>
      </c>
      <c r="J368" t="s">
        <v>1444</v>
      </c>
      <c r="K368" t="s">
        <v>1445</v>
      </c>
      <c r="L368" t="s">
        <v>29</v>
      </c>
      <c r="M368">
        <v>15</v>
      </c>
      <c r="N368" t="str">
        <f>VLOOKUP(M368, CategoryMap!$A$2:$B$100, 2, FALSE)</f>
        <v>Pets &amp; Animals</v>
      </c>
      <c r="O368">
        <v>79189</v>
      </c>
      <c r="P368">
        <v>274</v>
      </c>
      <c r="Q368">
        <v>1</v>
      </c>
      <c r="R368" s="3">
        <f t="shared" si="40"/>
        <v>3.4727045422975411E-3</v>
      </c>
      <c r="S368">
        <v>9</v>
      </c>
      <c r="T368" t="str">
        <f t="shared" si="41"/>
        <v>Short</v>
      </c>
    </row>
    <row r="369" spans="1:20" ht="18.75" customHeight="1" x14ac:dyDescent="0.35">
      <c r="A369" t="s">
        <v>1486</v>
      </c>
      <c r="B369" t="s">
        <v>2726</v>
      </c>
      <c r="C369" t="s">
        <v>3181</v>
      </c>
      <c r="D369" s="2" t="s">
        <v>1487</v>
      </c>
      <c r="E369" s="2">
        <f t="shared" si="36"/>
        <v>45814</v>
      </c>
      <c r="F369" s="4">
        <f t="shared" si="37"/>
        <v>2025</v>
      </c>
      <c r="G369" t="str">
        <f t="shared" si="38"/>
        <v>June</v>
      </c>
      <c r="H369" t="str">
        <f t="shared" si="39"/>
        <v>2025-06</v>
      </c>
      <c r="I369" s="4">
        <f t="shared" ca="1" si="35"/>
        <v>110</v>
      </c>
      <c r="J369" t="s">
        <v>1488</v>
      </c>
      <c r="K369" t="s">
        <v>1489</v>
      </c>
      <c r="L369" t="s">
        <v>1490</v>
      </c>
      <c r="M369">
        <v>25</v>
      </c>
      <c r="N369" t="str">
        <f>VLOOKUP(M369, CategoryMap!$A$2:$B$100, 2, FALSE)</f>
        <v>News &amp; Politics</v>
      </c>
      <c r="O369">
        <v>9923</v>
      </c>
      <c r="P369">
        <v>166</v>
      </c>
      <c r="Q369">
        <v>24</v>
      </c>
      <c r="R369" s="3">
        <f t="shared" si="40"/>
        <v>1.9147435251436057E-2</v>
      </c>
      <c r="S369">
        <v>2781</v>
      </c>
      <c r="T369" t="str">
        <f t="shared" si="41"/>
        <v>Long</v>
      </c>
    </row>
    <row r="370" spans="1:20" ht="18.75" customHeight="1" x14ac:dyDescent="0.35">
      <c r="A370" t="s">
        <v>1491</v>
      </c>
      <c r="B370" t="s">
        <v>1492</v>
      </c>
      <c r="C370" t="s">
        <v>11</v>
      </c>
      <c r="D370" s="2" t="s">
        <v>1493</v>
      </c>
      <c r="E370" s="2">
        <f t="shared" si="36"/>
        <v>45815</v>
      </c>
      <c r="F370" s="4">
        <f t="shared" si="37"/>
        <v>2025</v>
      </c>
      <c r="G370" t="str">
        <f t="shared" si="38"/>
        <v>June</v>
      </c>
      <c r="H370" t="str">
        <f t="shared" si="39"/>
        <v>2025-06</v>
      </c>
      <c r="I370" s="4">
        <f t="shared" ca="1" si="35"/>
        <v>109</v>
      </c>
      <c r="J370" t="s">
        <v>1494</v>
      </c>
      <c r="K370" t="s">
        <v>1495</v>
      </c>
      <c r="L370" t="s">
        <v>29</v>
      </c>
      <c r="M370">
        <v>20</v>
      </c>
      <c r="N370" t="str">
        <f>VLOOKUP(M370, CategoryMap!$A$2:$B$100, 2, FALSE)</f>
        <v>Gaming</v>
      </c>
      <c r="O370">
        <v>55921</v>
      </c>
      <c r="P370">
        <v>669</v>
      </c>
      <c r="Q370">
        <v>4</v>
      </c>
      <c r="R370" s="3">
        <f t="shared" si="40"/>
        <v>1.2034834856315159E-2</v>
      </c>
      <c r="S370">
        <v>12</v>
      </c>
      <c r="T370" t="str">
        <f t="shared" si="41"/>
        <v>Short</v>
      </c>
    </row>
    <row r="371" spans="1:20" ht="18.75" customHeight="1" x14ac:dyDescent="0.35">
      <c r="A371" t="s">
        <v>1496</v>
      </c>
      <c r="B371" t="s">
        <v>2727</v>
      </c>
      <c r="C371" t="s">
        <v>11</v>
      </c>
      <c r="D371" s="2" t="s">
        <v>1497</v>
      </c>
      <c r="E371" s="2">
        <f t="shared" si="36"/>
        <v>45827</v>
      </c>
      <c r="F371" s="4">
        <f t="shared" si="37"/>
        <v>2025</v>
      </c>
      <c r="G371" t="str">
        <f t="shared" si="38"/>
        <v>June</v>
      </c>
      <c r="H371" t="str">
        <f t="shared" si="39"/>
        <v>2025-06</v>
      </c>
      <c r="I371" s="4">
        <f t="shared" ca="1" si="35"/>
        <v>97</v>
      </c>
      <c r="J371" t="s">
        <v>1498</v>
      </c>
      <c r="K371" t="s">
        <v>1499</v>
      </c>
      <c r="L371" t="s">
        <v>29</v>
      </c>
      <c r="M371">
        <v>22</v>
      </c>
      <c r="N371" t="str">
        <f>VLOOKUP(M371, CategoryMap!$A$2:$B$100, 2, FALSE)</f>
        <v>People &amp; Blogs</v>
      </c>
      <c r="O371">
        <v>6485</v>
      </c>
      <c r="P371">
        <v>64</v>
      </c>
      <c r="Q371">
        <v>0</v>
      </c>
      <c r="R371" s="3">
        <f t="shared" si="40"/>
        <v>9.8689282960678481E-3</v>
      </c>
      <c r="S371">
        <v>13</v>
      </c>
      <c r="T371" t="str">
        <f t="shared" si="41"/>
        <v>Short</v>
      </c>
    </row>
    <row r="372" spans="1:20" ht="18.75" customHeight="1" x14ac:dyDescent="0.35">
      <c r="A372" t="s">
        <v>1500</v>
      </c>
      <c r="B372" t="s">
        <v>2728</v>
      </c>
      <c r="C372" t="s">
        <v>11</v>
      </c>
      <c r="D372" s="2" t="s">
        <v>1501</v>
      </c>
      <c r="E372" s="2">
        <f t="shared" si="36"/>
        <v>45828</v>
      </c>
      <c r="F372" s="4">
        <f t="shared" si="37"/>
        <v>2025</v>
      </c>
      <c r="G372" t="str">
        <f t="shared" si="38"/>
        <v>June</v>
      </c>
      <c r="H372" t="str">
        <f t="shared" si="39"/>
        <v>2025-06</v>
      </c>
      <c r="I372" s="4">
        <f t="shared" ca="1" si="35"/>
        <v>96</v>
      </c>
      <c r="J372" t="s">
        <v>1502</v>
      </c>
      <c r="K372" t="s">
        <v>1503</v>
      </c>
      <c r="L372" t="s">
        <v>29</v>
      </c>
      <c r="M372">
        <v>20</v>
      </c>
      <c r="N372" t="str">
        <f>VLOOKUP(M372, CategoryMap!$A$2:$B$100, 2, FALSE)</f>
        <v>Gaming</v>
      </c>
      <c r="O372">
        <v>1415</v>
      </c>
      <c r="P372">
        <v>47</v>
      </c>
      <c r="Q372">
        <v>5</v>
      </c>
      <c r="R372" s="3">
        <f t="shared" si="40"/>
        <v>3.674911660777385E-2</v>
      </c>
      <c r="S372">
        <v>23</v>
      </c>
      <c r="T372" t="str">
        <f t="shared" si="41"/>
        <v>Short</v>
      </c>
    </row>
    <row r="373" spans="1:20" ht="18.75" customHeight="1" x14ac:dyDescent="0.35">
      <c r="A373" t="s">
        <v>1504</v>
      </c>
      <c r="B373" t="s">
        <v>2729</v>
      </c>
      <c r="C373" t="s">
        <v>3182</v>
      </c>
      <c r="D373" s="2" t="s">
        <v>1505</v>
      </c>
      <c r="E373" s="2">
        <f t="shared" si="36"/>
        <v>45631</v>
      </c>
      <c r="F373" s="4">
        <f t="shared" si="37"/>
        <v>2024</v>
      </c>
      <c r="G373" t="str">
        <f t="shared" si="38"/>
        <v>December</v>
      </c>
      <c r="H373" t="str">
        <f t="shared" si="39"/>
        <v>2024-12</v>
      </c>
      <c r="I373" s="4">
        <f t="shared" ca="1" si="35"/>
        <v>293</v>
      </c>
      <c r="J373" t="s">
        <v>664</v>
      </c>
      <c r="K373" t="s">
        <v>665</v>
      </c>
      <c r="L373" t="s">
        <v>1506</v>
      </c>
      <c r="M373">
        <v>28</v>
      </c>
      <c r="N373" t="str">
        <f>VLOOKUP(M373, CategoryMap!$A$2:$B$100, 2, FALSE)</f>
        <v>Science &amp; Technology</v>
      </c>
      <c r="O373">
        <v>136955</v>
      </c>
      <c r="P373">
        <v>1615</v>
      </c>
      <c r="Q373">
        <v>82</v>
      </c>
      <c r="R373" s="3">
        <f t="shared" si="40"/>
        <v>1.2390931327808405E-2</v>
      </c>
      <c r="S373">
        <v>631</v>
      </c>
      <c r="T373" t="str">
        <f t="shared" si="41"/>
        <v>Long</v>
      </c>
    </row>
    <row r="374" spans="1:20" ht="18.75" customHeight="1" x14ac:dyDescent="0.35">
      <c r="A374" t="s">
        <v>1507</v>
      </c>
      <c r="B374" t="s">
        <v>2730</v>
      </c>
      <c r="C374" t="s">
        <v>11</v>
      </c>
      <c r="D374" s="2" t="s">
        <v>1508</v>
      </c>
      <c r="E374" s="2">
        <f t="shared" si="36"/>
        <v>45803</v>
      </c>
      <c r="F374" s="4">
        <f t="shared" si="37"/>
        <v>2025</v>
      </c>
      <c r="G374" t="str">
        <f t="shared" si="38"/>
        <v>May</v>
      </c>
      <c r="H374" t="str">
        <f t="shared" si="39"/>
        <v>2025-05</v>
      </c>
      <c r="I374" s="4">
        <f t="shared" ca="1" si="35"/>
        <v>121</v>
      </c>
      <c r="J374" t="s">
        <v>1509</v>
      </c>
      <c r="K374" t="s">
        <v>1510</v>
      </c>
      <c r="L374" t="s">
        <v>29</v>
      </c>
      <c r="M374">
        <v>17</v>
      </c>
      <c r="N374" t="str">
        <f>VLOOKUP(M374, CategoryMap!$A$2:$B$100, 2, FALSE)</f>
        <v>Sports</v>
      </c>
      <c r="O374">
        <v>129050</v>
      </c>
      <c r="P374">
        <v>621</v>
      </c>
      <c r="Q374">
        <v>3</v>
      </c>
      <c r="R374" s="3">
        <f t="shared" si="40"/>
        <v>4.8353351414180549E-3</v>
      </c>
      <c r="S374">
        <v>11</v>
      </c>
      <c r="T374" t="str">
        <f t="shared" si="41"/>
        <v>Short</v>
      </c>
    </row>
    <row r="375" spans="1:20" ht="18.75" customHeight="1" x14ac:dyDescent="0.35">
      <c r="A375" t="s">
        <v>1511</v>
      </c>
      <c r="B375" t="s">
        <v>2731</v>
      </c>
      <c r="C375" t="s">
        <v>3183</v>
      </c>
      <c r="D375" s="2" t="s">
        <v>1512</v>
      </c>
      <c r="E375" s="2">
        <f t="shared" si="36"/>
        <v>45356</v>
      </c>
      <c r="F375" s="4">
        <f t="shared" si="37"/>
        <v>2024</v>
      </c>
      <c r="G375" t="str">
        <f t="shared" si="38"/>
        <v>March</v>
      </c>
      <c r="H375" t="str">
        <f t="shared" si="39"/>
        <v>2024-03</v>
      </c>
      <c r="I375" s="4">
        <f t="shared" ca="1" si="35"/>
        <v>568</v>
      </c>
      <c r="J375" t="s">
        <v>1513</v>
      </c>
      <c r="K375" t="s">
        <v>1514</v>
      </c>
      <c r="L375" t="s">
        <v>1515</v>
      </c>
      <c r="M375">
        <v>27</v>
      </c>
      <c r="N375" t="str">
        <f>VLOOKUP(M375, CategoryMap!$A$2:$B$100, 2, FALSE)</f>
        <v>Education</v>
      </c>
      <c r="O375">
        <v>8433</v>
      </c>
      <c r="P375">
        <v>176</v>
      </c>
      <c r="Q375">
        <v>1</v>
      </c>
      <c r="R375" s="3">
        <f t="shared" si="40"/>
        <v>2.0988971896122376E-2</v>
      </c>
      <c r="S375">
        <v>25</v>
      </c>
      <c r="T375" t="str">
        <f t="shared" si="41"/>
        <v>Short</v>
      </c>
    </row>
    <row r="376" spans="1:20" ht="18.75" customHeight="1" x14ac:dyDescent="0.35">
      <c r="A376" t="s">
        <v>1516</v>
      </c>
      <c r="B376" t="s">
        <v>1517</v>
      </c>
      <c r="C376" t="s">
        <v>3184</v>
      </c>
      <c r="D376" s="2" t="s">
        <v>1518</v>
      </c>
      <c r="E376" s="2">
        <f t="shared" si="36"/>
        <v>45644</v>
      </c>
      <c r="F376" s="4">
        <f t="shared" si="37"/>
        <v>2024</v>
      </c>
      <c r="G376" t="str">
        <f t="shared" si="38"/>
        <v>December</v>
      </c>
      <c r="H376" t="str">
        <f t="shared" si="39"/>
        <v>2024-12</v>
      </c>
      <c r="I376" s="4">
        <f t="shared" ca="1" si="35"/>
        <v>280</v>
      </c>
      <c r="J376" t="s">
        <v>1519</v>
      </c>
      <c r="K376" t="s">
        <v>1520</v>
      </c>
      <c r="L376" t="s">
        <v>29</v>
      </c>
      <c r="M376">
        <v>27</v>
      </c>
      <c r="N376" t="str">
        <f>VLOOKUP(M376, CategoryMap!$A$2:$B$100, 2, FALSE)</f>
        <v>Education</v>
      </c>
      <c r="O376">
        <v>719580</v>
      </c>
      <c r="P376">
        <v>217464.60837887001</v>
      </c>
      <c r="Q376">
        <v>72</v>
      </c>
      <c r="R376" s="3">
        <f t="shared" si="40"/>
        <v>0.30231052611088416</v>
      </c>
      <c r="S376">
        <v>40</v>
      </c>
      <c r="T376" t="str">
        <f t="shared" si="41"/>
        <v>Short</v>
      </c>
    </row>
    <row r="377" spans="1:20" ht="18.75" customHeight="1" x14ac:dyDescent="0.35">
      <c r="A377" t="s">
        <v>1521</v>
      </c>
      <c r="B377" t="s">
        <v>2732</v>
      </c>
      <c r="C377" t="s">
        <v>3185</v>
      </c>
      <c r="D377" s="2" t="s">
        <v>1522</v>
      </c>
      <c r="E377" s="2">
        <f t="shared" si="36"/>
        <v>45811</v>
      </c>
      <c r="F377" s="4">
        <f t="shared" si="37"/>
        <v>2025</v>
      </c>
      <c r="G377" t="str">
        <f t="shared" si="38"/>
        <v>June</v>
      </c>
      <c r="H377" t="str">
        <f t="shared" si="39"/>
        <v>2025-06</v>
      </c>
      <c r="I377" s="4">
        <f t="shared" ca="1" si="35"/>
        <v>113</v>
      </c>
      <c r="J377" t="s">
        <v>1523</v>
      </c>
      <c r="K377" t="s">
        <v>1524</v>
      </c>
      <c r="L377" t="s">
        <v>29</v>
      </c>
      <c r="M377">
        <v>22</v>
      </c>
      <c r="N377" t="str">
        <f>VLOOKUP(M377, CategoryMap!$A$2:$B$100, 2, FALSE)</f>
        <v>People &amp; Blogs</v>
      </c>
      <c r="O377">
        <v>1667234</v>
      </c>
      <c r="P377">
        <v>4228</v>
      </c>
      <c r="Q377">
        <v>17</v>
      </c>
      <c r="R377" s="3">
        <f t="shared" si="40"/>
        <v>2.5461332962259647E-3</v>
      </c>
      <c r="S377">
        <v>6</v>
      </c>
      <c r="T377" t="str">
        <f t="shared" si="41"/>
        <v>Short</v>
      </c>
    </row>
    <row r="378" spans="1:20" ht="18.75" customHeight="1" x14ac:dyDescent="0.35">
      <c r="A378" t="s">
        <v>1525</v>
      </c>
      <c r="B378" t="s">
        <v>2733</v>
      </c>
      <c r="C378" t="s">
        <v>11</v>
      </c>
      <c r="D378" s="2" t="s">
        <v>1526</v>
      </c>
      <c r="E378" s="2">
        <f t="shared" si="36"/>
        <v>45828</v>
      </c>
      <c r="F378" s="4">
        <f t="shared" si="37"/>
        <v>2025</v>
      </c>
      <c r="G378" t="str">
        <f t="shared" si="38"/>
        <v>June</v>
      </c>
      <c r="H378" t="str">
        <f t="shared" si="39"/>
        <v>2025-06</v>
      </c>
      <c r="I378" s="4">
        <f t="shared" ca="1" si="35"/>
        <v>96</v>
      </c>
      <c r="J378" t="s">
        <v>1527</v>
      </c>
      <c r="K378" t="s">
        <v>1528</v>
      </c>
      <c r="L378" t="s">
        <v>29</v>
      </c>
      <c r="M378">
        <v>28</v>
      </c>
      <c r="N378" t="str">
        <f>VLOOKUP(M378, CategoryMap!$A$2:$B$100, 2, FALSE)</f>
        <v>Science &amp; Technology</v>
      </c>
      <c r="O378">
        <v>3382</v>
      </c>
      <c r="P378">
        <v>310</v>
      </c>
      <c r="Q378">
        <v>5</v>
      </c>
      <c r="R378" s="3">
        <f t="shared" si="40"/>
        <v>9.3140153755174454E-2</v>
      </c>
      <c r="S378">
        <v>6</v>
      </c>
      <c r="T378" t="str">
        <f t="shared" si="41"/>
        <v>Short</v>
      </c>
    </row>
    <row r="379" spans="1:20" ht="18.75" customHeight="1" x14ac:dyDescent="0.35">
      <c r="A379" t="s">
        <v>1529</v>
      </c>
      <c r="B379" t="s">
        <v>2734</v>
      </c>
      <c r="C379" t="s">
        <v>11</v>
      </c>
      <c r="D379" s="2" t="s">
        <v>1530</v>
      </c>
      <c r="E379" s="2">
        <f t="shared" si="36"/>
        <v>45802</v>
      </c>
      <c r="F379" s="4">
        <f t="shared" si="37"/>
        <v>2025</v>
      </c>
      <c r="G379" t="str">
        <f t="shared" si="38"/>
        <v>May</v>
      </c>
      <c r="H379" t="str">
        <f t="shared" si="39"/>
        <v>2025-05</v>
      </c>
      <c r="I379" s="4">
        <f t="shared" ca="1" si="35"/>
        <v>122</v>
      </c>
      <c r="J379" t="s">
        <v>866</v>
      </c>
      <c r="K379" t="s">
        <v>867</v>
      </c>
      <c r="L379" t="s">
        <v>29</v>
      </c>
      <c r="M379">
        <v>28</v>
      </c>
      <c r="N379" t="str">
        <f>VLOOKUP(M379, CategoryMap!$A$2:$B$100, 2, FALSE)</f>
        <v>Science &amp; Technology</v>
      </c>
      <c r="O379">
        <v>11138</v>
      </c>
      <c r="P379">
        <v>136</v>
      </c>
      <c r="Q379">
        <v>9</v>
      </c>
      <c r="R379" s="3">
        <f t="shared" si="40"/>
        <v>1.3018495241515533E-2</v>
      </c>
      <c r="S379">
        <v>21</v>
      </c>
      <c r="T379" t="str">
        <f t="shared" si="41"/>
        <v>Short</v>
      </c>
    </row>
    <row r="380" spans="1:20" ht="18.75" customHeight="1" x14ac:dyDescent="0.35">
      <c r="A380" t="s">
        <v>1531</v>
      </c>
      <c r="B380" t="s">
        <v>2735</v>
      </c>
      <c r="C380" t="s">
        <v>3175</v>
      </c>
      <c r="D380" s="2" t="s">
        <v>1532</v>
      </c>
      <c r="E380" s="2">
        <f t="shared" si="36"/>
        <v>45828</v>
      </c>
      <c r="F380" s="4">
        <f t="shared" si="37"/>
        <v>2025</v>
      </c>
      <c r="G380" t="str">
        <f t="shared" si="38"/>
        <v>June</v>
      </c>
      <c r="H380" t="str">
        <f t="shared" si="39"/>
        <v>2025-06</v>
      </c>
      <c r="I380" s="4">
        <f t="shared" ca="1" si="35"/>
        <v>96</v>
      </c>
      <c r="J380" t="s">
        <v>1444</v>
      </c>
      <c r="K380" t="s">
        <v>1445</v>
      </c>
      <c r="L380" t="s">
        <v>29</v>
      </c>
      <c r="M380">
        <v>15</v>
      </c>
      <c r="N380" t="str">
        <f>VLOOKUP(M380, CategoryMap!$A$2:$B$100, 2, FALSE)</f>
        <v>Pets &amp; Animals</v>
      </c>
      <c r="O380">
        <v>16107</v>
      </c>
      <c r="P380">
        <v>93</v>
      </c>
      <c r="Q380">
        <v>1</v>
      </c>
      <c r="R380" s="3">
        <f t="shared" si="40"/>
        <v>5.8359719376668527E-3</v>
      </c>
      <c r="S380">
        <v>9</v>
      </c>
      <c r="T380" t="str">
        <f t="shared" si="41"/>
        <v>Short</v>
      </c>
    </row>
    <row r="381" spans="1:20" ht="18.75" customHeight="1" x14ac:dyDescent="0.35">
      <c r="A381" t="s">
        <v>1533</v>
      </c>
      <c r="B381" t="s">
        <v>2736</v>
      </c>
      <c r="C381" t="s">
        <v>3186</v>
      </c>
      <c r="D381" s="2" t="s">
        <v>1534</v>
      </c>
      <c r="E381" s="2">
        <f t="shared" si="36"/>
        <v>45822</v>
      </c>
      <c r="F381" s="4">
        <f t="shared" si="37"/>
        <v>2025</v>
      </c>
      <c r="G381" t="str">
        <f t="shared" si="38"/>
        <v>June</v>
      </c>
      <c r="H381" t="str">
        <f t="shared" si="39"/>
        <v>2025-06</v>
      </c>
      <c r="I381" s="4">
        <f t="shared" ca="1" si="35"/>
        <v>102</v>
      </c>
      <c r="J381" t="s">
        <v>1535</v>
      </c>
      <c r="K381" t="s">
        <v>1536</v>
      </c>
      <c r="L381" t="s">
        <v>1537</v>
      </c>
      <c r="M381">
        <v>28</v>
      </c>
      <c r="N381" t="str">
        <f>VLOOKUP(M381, CategoryMap!$A$2:$B$100, 2, FALSE)</f>
        <v>Science &amp; Technology</v>
      </c>
      <c r="O381">
        <v>296354</v>
      </c>
      <c r="P381">
        <v>16633</v>
      </c>
      <c r="Q381">
        <v>1179</v>
      </c>
      <c r="R381" s="3">
        <f t="shared" si="40"/>
        <v>6.0103794785965434E-2</v>
      </c>
      <c r="S381">
        <v>568</v>
      </c>
      <c r="T381" t="str">
        <f t="shared" si="41"/>
        <v>Long</v>
      </c>
    </row>
    <row r="382" spans="1:20" ht="18.75" customHeight="1" x14ac:dyDescent="0.35">
      <c r="A382" t="s">
        <v>1538</v>
      </c>
      <c r="B382" t="s">
        <v>2530</v>
      </c>
      <c r="C382" t="s">
        <v>3187</v>
      </c>
      <c r="D382" s="2" t="s">
        <v>1539</v>
      </c>
      <c r="E382" s="2">
        <f t="shared" si="36"/>
        <v>45814</v>
      </c>
      <c r="F382" s="4">
        <f t="shared" si="37"/>
        <v>2025</v>
      </c>
      <c r="G382" t="str">
        <f t="shared" si="38"/>
        <v>June</v>
      </c>
      <c r="H382" t="str">
        <f t="shared" si="39"/>
        <v>2025-06</v>
      </c>
      <c r="I382" s="4">
        <f t="shared" ca="1" si="35"/>
        <v>110</v>
      </c>
      <c r="J382" t="s">
        <v>559</v>
      </c>
      <c r="K382" t="s">
        <v>560</v>
      </c>
      <c r="L382" t="s">
        <v>1540</v>
      </c>
      <c r="M382">
        <v>28</v>
      </c>
      <c r="N382" t="str">
        <f>VLOOKUP(M382, CategoryMap!$A$2:$B$100, 2, FALSE)</f>
        <v>Science &amp; Technology</v>
      </c>
      <c r="O382">
        <v>33693</v>
      </c>
      <c r="P382">
        <v>854</v>
      </c>
      <c r="Q382">
        <v>34</v>
      </c>
      <c r="R382" s="3">
        <f t="shared" si="40"/>
        <v>2.6355622829667885E-2</v>
      </c>
      <c r="S382">
        <v>57</v>
      </c>
      <c r="T382" t="str">
        <f t="shared" si="41"/>
        <v>Short</v>
      </c>
    </row>
    <row r="383" spans="1:20" ht="18.75" customHeight="1" x14ac:dyDescent="0.35">
      <c r="A383" t="s">
        <v>1541</v>
      </c>
      <c r="B383" t="s">
        <v>2737</v>
      </c>
      <c r="C383" t="s">
        <v>1036</v>
      </c>
      <c r="D383" s="2" t="s">
        <v>1542</v>
      </c>
      <c r="E383" s="2">
        <f t="shared" si="36"/>
        <v>45827</v>
      </c>
      <c r="F383" s="4">
        <f t="shared" si="37"/>
        <v>2025</v>
      </c>
      <c r="G383" t="str">
        <f t="shared" si="38"/>
        <v>June</v>
      </c>
      <c r="H383" t="str">
        <f t="shared" si="39"/>
        <v>2025-06</v>
      </c>
      <c r="I383" s="4">
        <f t="shared" ca="1" si="35"/>
        <v>97</v>
      </c>
      <c r="J383" t="s">
        <v>1038</v>
      </c>
      <c r="K383" t="s">
        <v>1039</v>
      </c>
      <c r="L383" t="s">
        <v>29</v>
      </c>
      <c r="M383">
        <v>28</v>
      </c>
      <c r="N383" t="str">
        <f>VLOOKUP(M383, CategoryMap!$A$2:$B$100, 2, FALSE)</f>
        <v>Science &amp; Technology</v>
      </c>
      <c r="O383">
        <v>8095</v>
      </c>
      <c r="P383">
        <v>34</v>
      </c>
      <c r="Q383">
        <v>0</v>
      </c>
      <c r="R383" s="3">
        <f t="shared" si="40"/>
        <v>4.2001235330450899E-3</v>
      </c>
      <c r="S383">
        <v>12</v>
      </c>
      <c r="T383" t="str">
        <f t="shared" si="41"/>
        <v>Short</v>
      </c>
    </row>
    <row r="384" spans="1:20" ht="18.75" customHeight="1" x14ac:dyDescent="0.35">
      <c r="A384" t="s">
        <v>1543</v>
      </c>
      <c r="B384" t="s">
        <v>2738</v>
      </c>
      <c r="C384" t="s">
        <v>11</v>
      </c>
      <c r="D384" s="2" t="s">
        <v>1544</v>
      </c>
      <c r="E384" s="2">
        <f t="shared" si="36"/>
        <v>45828</v>
      </c>
      <c r="F384" s="4">
        <f t="shared" si="37"/>
        <v>2025</v>
      </c>
      <c r="G384" t="str">
        <f t="shared" si="38"/>
        <v>June</v>
      </c>
      <c r="H384" t="str">
        <f t="shared" si="39"/>
        <v>2025-06</v>
      </c>
      <c r="I384" s="4">
        <f t="shared" ca="1" si="35"/>
        <v>96</v>
      </c>
      <c r="J384" t="s">
        <v>1545</v>
      </c>
      <c r="K384" t="s">
        <v>1546</v>
      </c>
      <c r="L384" t="s">
        <v>29</v>
      </c>
      <c r="M384">
        <v>22</v>
      </c>
      <c r="N384" t="str">
        <f>VLOOKUP(M384, CategoryMap!$A$2:$B$100, 2, FALSE)</f>
        <v>People &amp; Blogs</v>
      </c>
      <c r="O384">
        <v>3416</v>
      </c>
      <c r="P384">
        <v>303</v>
      </c>
      <c r="Q384">
        <v>115</v>
      </c>
      <c r="R384" s="3">
        <f t="shared" si="40"/>
        <v>0.12236533957845433</v>
      </c>
      <c r="S384">
        <v>57</v>
      </c>
      <c r="T384" t="str">
        <f t="shared" si="41"/>
        <v>Short</v>
      </c>
    </row>
    <row r="385" spans="1:20" ht="18.75" customHeight="1" x14ac:dyDescent="0.35">
      <c r="A385" t="s">
        <v>1547</v>
      </c>
      <c r="B385" t="s">
        <v>1548</v>
      </c>
      <c r="C385" t="s">
        <v>3188</v>
      </c>
      <c r="D385" s="2" t="s">
        <v>1549</v>
      </c>
      <c r="E385" s="2">
        <f t="shared" si="36"/>
        <v>45794</v>
      </c>
      <c r="F385" s="4">
        <f t="shared" si="37"/>
        <v>2025</v>
      </c>
      <c r="G385" t="str">
        <f t="shared" si="38"/>
        <v>May</v>
      </c>
      <c r="H385" t="str">
        <f t="shared" si="39"/>
        <v>2025-05</v>
      </c>
      <c r="I385" s="4">
        <f t="shared" ca="1" si="35"/>
        <v>130</v>
      </c>
      <c r="J385" t="s">
        <v>1550</v>
      </c>
      <c r="K385" t="s">
        <v>1551</v>
      </c>
      <c r="L385" t="s">
        <v>1552</v>
      </c>
      <c r="M385">
        <v>24</v>
      </c>
      <c r="N385" t="str">
        <f>VLOOKUP(M385, CategoryMap!$A$2:$B$100, 2, FALSE)</f>
        <v>Entertainment</v>
      </c>
      <c r="O385">
        <v>1176050</v>
      </c>
      <c r="P385">
        <v>11696</v>
      </c>
      <c r="Q385">
        <v>258</v>
      </c>
      <c r="R385" s="3">
        <f t="shared" si="40"/>
        <v>1.0164533820840951E-2</v>
      </c>
      <c r="S385">
        <v>1314</v>
      </c>
      <c r="T385" t="str">
        <f t="shared" si="41"/>
        <v>Long</v>
      </c>
    </row>
    <row r="386" spans="1:20" ht="18.75" customHeight="1" x14ac:dyDescent="0.35">
      <c r="A386" t="s">
        <v>1553</v>
      </c>
      <c r="B386" t="s">
        <v>2739</v>
      </c>
      <c r="C386" t="s">
        <v>3189</v>
      </c>
      <c r="D386" s="2" t="s">
        <v>1554</v>
      </c>
      <c r="E386" s="2">
        <f t="shared" si="36"/>
        <v>45824</v>
      </c>
      <c r="F386" s="4">
        <f t="shared" si="37"/>
        <v>2025</v>
      </c>
      <c r="G386" t="str">
        <f t="shared" si="38"/>
        <v>June</v>
      </c>
      <c r="H386" t="str">
        <f t="shared" si="39"/>
        <v>2025-06</v>
      </c>
      <c r="I386" s="4">
        <f t="shared" ref="I386:I449" ca="1" si="42">TODAY() - DATEVALUE(LEFT(D386,10))</f>
        <v>100</v>
      </c>
      <c r="J386" t="s">
        <v>1555</v>
      </c>
      <c r="K386" t="s">
        <v>1556</v>
      </c>
      <c r="L386" t="s">
        <v>1557</v>
      </c>
      <c r="M386">
        <v>17</v>
      </c>
      <c r="N386" t="str">
        <f>VLOOKUP(M386, CategoryMap!$A$2:$B$100, 2, FALSE)</f>
        <v>Sports</v>
      </c>
      <c r="O386">
        <v>66301</v>
      </c>
      <c r="P386">
        <v>1667</v>
      </c>
      <c r="Q386">
        <v>134</v>
      </c>
      <c r="R386" s="3">
        <f t="shared" si="40"/>
        <v>2.716399450988673E-2</v>
      </c>
      <c r="S386">
        <v>528</v>
      </c>
      <c r="T386" t="str">
        <f t="shared" si="41"/>
        <v>Long</v>
      </c>
    </row>
    <row r="387" spans="1:20" ht="18.75" customHeight="1" x14ac:dyDescent="0.35">
      <c r="A387" t="s">
        <v>1558</v>
      </c>
      <c r="B387" t="s">
        <v>2740</v>
      </c>
      <c r="C387" t="s">
        <v>3190</v>
      </c>
      <c r="D387" s="2" t="s">
        <v>1559</v>
      </c>
      <c r="E387" s="2">
        <f t="shared" ref="E387:E450" si="43">DATEVALUE(LEFT(D387,10))</f>
        <v>45824</v>
      </c>
      <c r="F387" s="4">
        <f t="shared" ref="F387:F450" si="44">YEAR(E387)</f>
        <v>2025</v>
      </c>
      <c r="G387" t="str">
        <f t="shared" ref="G387:G450" si="45">TEXT(E387,"MMMM")</f>
        <v>June</v>
      </c>
      <c r="H387" t="str">
        <f t="shared" ref="H387:H450" si="46">TEXT(E387,"YYYY-MM")</f>
        <v>2025-06</v>
      </c>
      <c r="I387" s="4">
        <f t="shared" ca="1" si="42"/>
        <v>100</v>
      </c>
      <c r="J387" t="s">
        <v>1560</v>
      </c>
      <c r="K387" t="s">
        <v>1561</v>
      </c>
      <c r="L387" t="s">
        <v>1562</v>
      </c>
      <c r="M387">
        <v>28</v>
      </c>
      <c r="N387" t="str">
        <f>VLOOKUP(M387, CategoryMap!$A$2:$B$100, 2, FALSE)</f>
        <v>Science &amp; Technology</v>
      </c>
      <c r="O387">
        <v>368021</v>
      </c>
      <c r="P387">
        <v>15932</v>
      </c>
      <c r="Q387">
        <v>638</v>
      </c>
      <c r="R387" s="3">
        <f t="shared" ref="R387:R450" si="47">IF(O387=0, 0, (P387 + Q387) / O387)</f>
        <v>4.5024604574195493E-2</v>
      </c>
      <c r="S387">
        <v>454</v>
      </c>
      <c r="T387" t="str">
        <f t="shared" ref="T387:T450" si="48">IF(S387&lt;=60, "Short", "Long")</f>
        <v>Long</v>
      </c>
    </row>
    <row r="388" spans="1:20" ht="18.75" customHeight="1" x14ac:dyDescent="0.35">
      <c r="A388" t="s">
        <v>1563</v>
      </c>
      <c r="B388" t="s">
        <v>2741</v>
      </c>
      <c r="C388" t="s">
        <v>3191</v>
      </c>
      <c r="D388" s="2" t="s">
        <v>1564</v>
      </c>
      <c r="E388" s="2">
        <f t="shared" si="43"/>
        <v>45748</v>
      </c>
      <c r="F388" s="4">
        <f t="shared" si="44"/>
        <v>2025</v>
      </c>
      <c r="G388" t="str">
        <f t="shared" si="45"/>
        <v>April</v>
      </c>
      <c r="H388" t="str">
        <f t="shared" si="46"/>
        <v>2025-04</v>
      </c>
      <c r="I388" s="4">
        <f t="shared" ca="1" si="42"/>
        <v>176</v>
      </c>
      <c r="J388" t="s">
        <v>13</v>
      </c>
      <c r="K388" t="s">
        <v>14</v>
      </c>
      <c r="L388" t="s">
        <v>1565</v>
      </c>
      <c r="M388">
        <v>28</v>
      </c>
      <c r="N388" t="str">
        <f>VLOOKUP(M388, CategoryMap!$A$2:$B$100, 2, FALSE)</f>
        <v>Science &amp; Technology</v>
      </c>
      <c r="O388">
        <v>7242862</v>
      </c>
      <c r="P388">
        <v>172242</v>
      </c>
      <c r="Q388">
        <v>6485</v>
      </c>
      <c r="R388" s="3">
        <f t="shared" si="47"/>
        <v>2.4676295088875089E-2</v>
      </c>
      <c r="S388">
        <v>2306</v>
      </c>
      <c r="T388" t="str">
        <f t="shared" si="48"/>
        <v>Long</v>
      </c>
    </row>
    <row r="389" spans="1:20" ht="18.75" customHeight="1" x14ac:dyDescent="0.35">
      <c r="A389" t="s">
        <v>1566</v>
      </c>
      <c r="B389" t="s">
        <v>2742</v>
      </c>
      <c r="C389" t="s">
        <v>3175</v>
      </c>
      <c r="D389" s="2" t="s">
        <v>1567</v>
      </c>
      <c r="E389" s="2">
        <f t="shared" si="43"/>
        <v>45828</v>
      </c>
      <c r="F389" s="4">
        <f t="shared" si="44"/>
        <v>2025</v>
      </c>
      <c r="G389" t="str">
        <f t="shared" si="45"/>
        <v>June</v>
      </c>
      <c r="H389" t="str">
        <f t="shared" si="46"/>
        <v>2025-06</v>
      </c>
      <c r="I389" s="4">
        <f t="shared" ca="1" si="42"/>
        <v>96</v>
      </c>
      <c r="J389" t="s">
        <v>1444</v>
      </c>
      <c r="K389" t="s">
        <v>1445</v>
      </c>
      <c r="L389" t="s">
        <v>29</v>
      </c>
      <c r="M389">
        <v>15</v>
      </c>
      <c r="N389" t="str">
        <f>VLOOKUP(M389, CategoryMap!$A$2:$B$100, 2, FALSE)</f>
        <v>Pets &amp; Animals</v>
      </c>
      <c r="O389">
        <v>19212</v>
      </c>
      <c r="P389">
        <v>94</v>
      </c>
      <c r="Q389">
        <v>0</v>
      </c>
      <c r="R389" s="3">
        <f t="shared" si="47"/>
        <v>4.892775348740371E-3</v>
      </c>
      <c r="S389">
        <v>11</v>
      </c>
      <c r="T389" t="str">
        <f t="shared" si="48"/>
        <v>Short</v>
      </c>
    </row>
    <row r="390" spans="1:20" ht="18.75" customHeight="1" x14ac:dyDescent="0.35">
      <c r="A390" t="s">
        <v>1568</v>
      </c>
      <c r="B390" t="s">
        <v>2661</v>
      </c>
      <c r="C390" t="s">
        <v>11</v>
      </c>
      <c r="D390" s="2" t="s">
        <v>1569</v>
      </c>
      <c r="E390" s="2">
        <f t="shared" si="43"/>
        <v>45828</v>
      </c>
      <c r="F390" s="4">
        <f t="shared" si="44"/>
        <v>2025</v>
      </c>
      <c r="G390" t="str">
        <f t="shared" si="45"/>
        <v>June</v>
      </c>
      <c r="H390" t="str">
        <f t="shared" si="46"/>
        <v>2025-06</v>
      </c>
      <c r="I390" s="4">
        <f t="shared" ca="1" si="42"/>
        <v>96</v>
      </c>
      <c r="J390" t="s">
        <v>1570</v>
      </c>
      <c r="K390" t="s">
        <v>1571</v>
      </c>
      <c r="L390" t="s">
        <v>29</v>
      </c>
      <c r="M390">
        <v>22</v>
      </c>
      <c r="N390" t="str">
        <f>VLOOKUP(M390, CategoryMap!$A$2:$B$100, 2, FALSE)</f>
        <v>People &amp; Blogs</v>
      </c>
      <c r="O390">
        <v>36068</v>
      </c>
      <c r="P390">
        <v>147</v>
      </c>
      <c r="Q390">
        <v>0</v>
      </c>
      <c r="R390" s="3">
        <f t="shared" si="47"/>
        <v>4.0756349118332043E-3</v>
      </c>
      <c r="S390">
        <v>6</v>
      </c>
      <c r="T390" t="str">
        <f t="shared" si="48"/>
        <v>Short</v>
      </c>
    </row>
    <row r="391" spans="1:20" ht="18.75" customHeight="1" x14ac:dyDescent="0.35">
      <c r="A391" t="s">
        <v>1572</v>
      </c>
      <c r="B391" t="s">
        <v>2743</v>
      </c>
      <c r="C391" t="s">
        <v>3192</v>
      </c>
      <c r="D391" s="2" t="s">
        <v>1573</v>
      </c>
      <c r="E391" s="2">
        <f t="shared" si="43"/>
        <v>45817</v>
      </c>
      <c r="F391" s="4">
        <f t="shared" si="44"/>
        <v>2025</v>
      </c>
      <c r="G391" t="str">
        <f t="shared" si="45"/>
        <v>June</v>
      </c>
      <c r="H391" t="str">
        <f t="shared" si="46"/>
        <v>2025-06</v>
      </c>
      <c r="I391" s="4">
        <f t="shared" ca="1" si="42"/>
        <v>107</v>
      </c>
      <c r="J391" t="s">
        <v>1574</v>
      </c>
      <c r="K391" t="s">
        <v>1575</v>
      </c>
      <c r="L391" t="s">
        <v>1576</v>
      </c>
      <c r="M391">
        <v>23</v>
      </c>
      <c r="N391" t="str">
        <f>VLOOKUP(M391, CategoryMap!$A$2:$B$100, 2, FALSE)</f>
        <v>Comedy</v>
      </c>
      <c r="O391">
        <v>31197</v>
      </c>
      <c r="P391">
        <v>217464.60837887001</v>
      </c>
      <c r="Q391">
        <v>0</v>
      </c>
      <c r="R391" s="3">
        <f t="shared" si="47"/>
        <v>6.9706897579533287</v>
      </c>
      <c r="S391">
        <v>11</v>
      </c>
      <c r="T391" t="str">
        <f t="shared" si="48"/>
        <v>Short</v>
      </c>
    </row>
    <row r="392" spans="1:20" ht="18.75" customHeight="1" x14ac:dyDescent="0.35">
      <c r="A392" t="s">
        <v>1577</v>
      </c>
      <c r="B392" t="s">
        <v>2744</v>
      </c>
      <c r="C392" t="s">
        <v>11</v>
      </c>
      <c r="D392" s="2" t="s">
        <v>1578</v>
      </c>
      <c r="E392" s="2">
        <f t="shared" si="43"/>
        <v>45826</v>
      </c>
      <c r="F392" s="4">
        <f t="shared" si="44"/>
        <v>2025</v>
      </c>
      <c r="G392" t="str">
        <f t="shared" si="45"/>
        <v>June</v>
      </c>
      <c r="H392" t="str">
        <f t="shared" si="46"/>
        <v>2025-06</v>
      </c>
      <c r="I392" s="4">
        <f t="shared" ca="1" si="42"/>
        <v>98</v>
      </c>
      <c r="J392" t="s">
        <v>1579</v>
      </c>
      <c r="K392" t="s">
        <v>1580</v>
      </c>
      <c r="L392" t="s">
        <v>29</v>
      </c>
      <c r="M392">
        <v>28</v>
      </c>
      <c r="N392" t="str">
        <f>VLOOKUP(M392, CategoryMap!$A$2:$B$100, 2, FALSE)</f>
        <v>Science &amp; Technology</v>
      </c>
      <c r="O392">
        <v>9576</v>
      </c>
      <c r="P392">
        <v>106</v>
      </c>
      <c r="Q392">
        <v>1</v>
      </c>
      <c r="R392" s="3">
        <f t="shared" si="47"/>
        <v>1.1173767752715121E-2</v>
      </c>
      <c r="S392">
        <v>24</v>
      </c>
      <c r="T392" t="str">
        <f t="shared" si="48"/>
        <v>Short</v>
      </c>
    </row>
    <row r="393" spans="1:20" ht="18.75" customHeight="1" x14ac:dyDescent="0.35">
      <c r="A393" t="s">
        <v>1577</v>
      </c>
      <c r="B393" t="s">
        <v>2744</v>
      </c>
      <c r="C393" t="s">
        <v>11</v>
      </c>
      <c r="D393" s="2" t="s">
        <v>1578</v>
      </c>
      <c r="E393" s="2">
        <f t="shared" si="43"/>
        <v>45826</v>
      </c>
      <c r="F393" s="4">
        <f t="shared" si="44"/>
        <v>2025</v>
      </c>
      <c r="G393" t="str">
        <f t="shared" si="45"/>
        <v>June</v>
      </c>
      <c r="H393" t="str">
        <f t="shared" si="46"/>
        <v>2025-06</v>
      </c>
      <c r="I393" s="4">
        <f t="shared" ca="1" si="42"/>
        <v>98</v>
      </c>
      <c r="J393" t="s">
        <v>1579</v>
      </c>
      <c r="K393" t="s">
        <v>1580</v>
      </c>
      <c r="L393" t="s">
        <v>29</v>
      </c>
      <c r="M393">
        <v>28</v>
      </c>
      <c r="N393" t="str">
        <f>VLOOKUP(M393, CategoryMap!$A$2:$B$100, 2, FALSE)</f>
        <v>Science &amp; Technology</v>
      </c>
      <c r="O393">
        <v>9633</v>
      </c>
      <c r="P393">
        <v>106</v>
      </c>
      <c r="Q393">
        <v>1</v>
      </c>
      <c r="R393" s="3">
        <f t="shared" si="47"/>
        <v>1.1107650783764144E-2</v>
      </c>
      <c r="S393">
        <v>24</v>
      </c>
      <c r="T393" t="str">
        <f t="shared" si="48"/>
        <v>Short</v>
      </c>
    </row>
    <row r="394" spans="1:20" ht="18.75" customHeight="1" x14ac:dyDescent="0.35">
      <c r="A394" t="s">
        <v>1581</v>
      </c>
      <c r="B394" t="s">
        <v>2745</v>
      </c>
      <c r="C394" t="s">
        <v>11</v>
      </c>
      <c r="D394" s="2" t="s">
        <v>1582</v>
      </c>
      <c r="E394" s="2">
        <f t="shared" si="43"/>
        <v>45824</v>
      </c>
      <c r="F394" s="4">
        <f t="shared" si="44"/>
        <v>2025</v>
      </c>
      <c r="G394" t="str">
        <f t="shared" si="45"/>
        <v>June</v>
      </c>
      <c r="H394" t="str">
        <f t="shared" si="46"/>
        <v>2025-06</v>
      </c>
      <c r="I394" s="4">
        <f t="shared" ca="1" si="42"/>
        <v>100</v>
      </c>
      <c r="J394" t="s">
        <v>1583</v>
      </c>
      <c r="K394" t="s">
        <v>1584</v>
      </c>
      <c r="L394" t="s">
        <v>29</v>
      </c>
      <c r="M394">
        <v>20</v>
      </c>
      <c r="N394" t="str">
        <f>VLOOKUP(M394, CategoryMap!$A$2:$B$100, 2, FALSE)</f>
        <v>Gaming</v>
      </c>
      <c r="O394">
        <v>2713</v>
      </c>
      <c r="P394">
        <v>22</v>
      </c>
      <c r="Q394">
        <v>0</v>
      </c>
      <c r="R394" s="3">
        <f t="shared" si="47"/>
        <v>8.1091043125691119E-3</v>
      </c>
      <c r="S394">
        <v>23</v>
      </c>
      <c r="T394" t="str">
        <f t="shared" si="48"/>
        <v>Short</v>
      </c>
    </row>
    <row r="395" spans="1:20" ht="18.75" customHeight="1" x14ac:dyDescent="0.35">
      <c r="A395" t="s">
        <v>1585</v>
      </c>
      <c r="B395" t="s">
        <v>2746</v>
      </c>
      <c r="C395" t="s">
        <v>11</v>
      </c>
      <c r="D395" s="2" t="s">
        <v>1586</v>
      </c>
      <c r="E395" s="2">
        <f t="shared" si="43"/>
        <v>45823</v>
      </c>
      <c r="F395" s="4">
        <f t="shared" si="44"/>
        <v>2025</v>
      </c>
      <c r="G395" t="str">
        <f t="shared" si="45"/>
        <v>June</v>
      </c>
      <c r="H395" t="str">
        <f t="shared" si="46"/>
        <v>2025-06</v>
      </c>
      <c r="I395" s="4">
        <f t="shared" ca="1" si="42"/>
        <v>101</v>
      </c>
      <c r="J395" t="s">
        <v>1587</v>
      </c>
      <c r="K395" t="s">
        <v>1588</v>
      </c>
      <c r="L395" t="s">
        <v>29</v>
      </c>
      <c r="M395">
        <v>22</v>
      </c>
      <c r="N395" t="str">
        <f>VLOOKUP(M395, CategoryMap!$A$2:$B$100, 2, FALSE)</f>
        <v>People &amp; Blogs</v>
      </c>
      <c r="O395">
        <v>32714</v>
      </c>
      <c r="P395">
        <v>953</v>
      </c>
      <c r="Q395">
        <v>6</v>
      </c>
      <c r="R395" s="3">
        <f t="shared" si="47"/>
        <v>2.9314666503637586E-2</v>
      </c>
      <c r="S395">
        <v>27</v>
      </c>
      <c r="T395" t="str">
        <f t="shared" si="48"/>
        <v>Short</v>
      </c>
    </row>
    <row r="396" spans="1:20" ht="18.75" customHeight="1" x14ac:dyDescent="0.35">
      <c r="A396" t="s">
        <v>1589</v>
      </c>
      <c r="B396" t="s">
        <v>2747</v>
      </c>
      <c r="C396" t="s">
        <v>3193</v>
      </c>
      <c r="D396" s="2" t="s">
        <v>1590</v>
      </c>
      <c r="E396" s="2">
        <f t="shared" si="43"/>
        <v>45822</v>
      </c>
      <c r="F396" s="4">
        <f t="shared" si="44"/>
        <v>2025</v>
      </c>
      <c r="G396" t="str">
        <f t="shared" si="45"/>
        <v>June</v>
      </c>
      <c r="H396" t="str">
        <f t="shared" si="46"/>
        <v>2025-06</v>
      </c>
      <c r="I396" s="4">
        <f t="shared" ca="1" si="42"/>
        <v>102</v>
      </c>
      <c r="J396" t="s">
        <v>1591</v>
      </c>
      <c r="K396" t="s">
        <v>1592</v>
      </c>
      <c r="L396" t="s">
        <v>1593</v>
      </c>
      <c r="M396">
        <v>28</v>
      </c>
      <c r="N396" t="str">
        <f>VLOOKUP(M396, CategoryMap!$A$2:$B$100, 2, FALSE)</f>
        <v>Science &amp; Technology</v>
      </c>
      <c r="O396">
        <v>660910</v>
      </c>
      <c r="P396">
        <v>17279</v>
      </c>
      <c r="Q396">
        <v>1132</v>
      </c>
      <c r="R396" s="3">
        <f t="shared" si="47"/>
        <v>2.7857045588658064E-2</v>
      </c>
      <c r="S396">
        <v>857</v>
      </c>
      <c r="T396" t="str">
        <f t="shared" si="48"/>
        <v>Long</v>
      </c>
    </row>
    <row r="397" spans="1:20" ht="18.75" customHeight="1" x14ac:dyDescent="0.35">
      <c r="A397" t="s">
        <v>1594</v>
      </c>
      <c r="B397" t="s">
        <v>2748</v>
      </c>
      <c r="C397" t="s">
        <v>3194</v>
      </c>
      <c r="D397" s="2" t="s">
        <v>1595</v>
      </c>
      <c r="E397" s="2">
        <f t="shared" si="43"/>
        <v>45733</v>
      </c>
      <c r="F397" s="4">
        <f t="shared" si="44"/>
        <v>2025</v>
      </c>
      <c r="G397" t="str">
        <f t="shared" si="45"/>
        <v>March</v>
      </c>
      <c r="H397" t="str">
        <f t="shared" si="46"/>
        <v>2025-03</v>
      </c>
      <c r="I397" s="4">
        <f t="shared" ca="1" si="42"/>
        <v>191</v>
      </c>
      <c r="J397" t="s">
        <v>1596</v>
      </c>
      <c r="K397" t="s">
        <v>1597</v>
      </c>
      <c r="L397" t="s">
        <v>29</v>
      </c>
      <c r="M397">
        <v>27</v>
      </c>
      <c r="N397" t="str">
        <f>VLOOKUP(M397, CategoryMap!$A$2:$B$100, 2, FALSE)</f>
        <v>Education</v>
      </c>
      <c r="O397">
        <v>8113333</v>
      </c>
      <c r="P397">
        <v>203344</v>
      </c>
      <c r="Q397">
        <v>138</v>
      </c>
      <c r="R397" s="3">
        <f t="shared" si="47"/>
        <v>2.5079951728839429E-2</v>
      </c>
      <c r="S397">
        <v>42</v>
      </c>
      <c r="T397" t="str">
        <f t="shared" si="48"/>
        <v>Short</v>
      </c>
    </row>
    <row r="398" spans="1:20" ht="18.75" customHeight="1" x14ac:dyDescent="0.35">
      <c r="A398" t="s">
        <v>1598</v>
      </c>
      <c r="B398" t="s">
        <v>2749</v>
      </c>
      <c r="C398" t="s">
        <v>3195</v>
      </c>
      <c r="D398" s="2" t="s">
        <v>1599</v>
      </c>
      <c r="E398" s="2">
        <f t="shared" si="43"/>
        <v>45710</v>
      </c>
      <c r="F398" s="4">
        <f t="shared" si="44"/>
        <v>2025</v>
      </c>
      <c r="G398" t="str">
        <f t="shared" si="45"/>
        <v>February</v>
      </c>
      <c r="H398" t="str">
        <f t="shared" si="46"/>
        <v>2025-02</v>
      </c>
      <c r="I398" s="4">
        <f t="shared" ca="1" si="42"/>
        <v>214</v>
      </c>
      <c r="J398" t="s">
        <v>13</v>
      </c>
      <c r="K398" t="s">
        <v>14</v>
      </c>
      <c r="L398" t="s">
        <v>29</v>
      </c>
      <c r="M398">
        <v>28</v>
      </c>
      <c r="N398" t="str">
        <f>VLOOKUP(M398, CategoryMap!$A$2:$B$100, 2, FALSE)</f>
        <v>Science &amp; Technology</v>
      </c>
      <c r="O398">
        <v>7041116</v>
      </c>
      <c r="P398">
        <v>212188</v>
      </c>
      <c r="Q398">
        <v>6254</v>
      </c>
      <c r="R398" s="3">
        <f t="shared" si="47"/>
        <v>3.1023775208361856E-2</v>
      </c>
      <c r="S398">
        <v>1987</v>
      </c>
      <c r="T398" t="str">
        <f t="shared" si="48"/>
        <v>Long</v>
      </c>
    </row>
    <row r="399" spans="1:20" ht="18.75" customHeight="1" x14ac:dyDescent="0.35">
      <c r="A399" t="s">
        <v>1600</v>
      </c>
      <c r="B399" t="s">
        <v>2750</v>
      </c>
      <c r="C399" t="s">
        <v>11</v>
      </c>
      <c r="D399" s="2" t="s">
        <v>1601</v>
      </c>
      <c r="E399" s="2">
        <f t="shared" si="43"/>
        <v>45828</v>
      </c>
      <c r="F399" s="4">
        <f t="shared" si="44"/>
        <v>2025</v>
      </c>
      <c r="G399" t="str">
        <f t="shared" si="45"/>
        <v>June</v>
      </c>
      <c r="H399" t="str">
        <f t="shared" si="46"/>
        <v>2025-06</v>
      </c>
      <c r="I399" s="4">
        <f t="shared" ca="1" si="42"/>
        <v>96</v>
      </c>
      <c r="J399" t="s">
        <v>1602</v>
      </c>
      <c r="K399" t="s">
        <v>1603</v>
      </c>
      <c r="L399" t="s">
        <v>29</v>
      </c>
      <c r="M399">
        <v>20</v>
      </c>
      <c r="N399" t="str">
        <f>VLOOKUP(M399, CategoryMap!$A$2:$B$100, 2, FALSE)</f>
        <v>Gaming</v>
      </c>
      <c r="O399">
        <v>13025</v>
      </c>
      <c r="P399">
        <v>367</v>
      </c>
      <c r="Q399">
        <v>2</v>
      </c>
      <c r="R399" s="3">
        <f t="shared" si="47"/>
        <v>2.8330134357005758E-2</v>
      </c>
      <c r="S399">
        <v>51</v>
      </c>
      <c r="T399" t="str">
        <f t="shared" si="48"/>
        <v>Short</v>
      </c>
    </row>
    <row r="400" spans="1:20" ht="18.75" customHeight="1" x14ac:dyDescent="0.35">
      <c r="A400" t="s">
        <v>1604</v>
      </c>
      <c r="B400" t="s">
        <v>2751</v>
      </c>
      <c r="C400" t="s">
        <v>11</v>
      </c>
      <c r="D400" s="2" t="s">
        <v>1605</v>
      </c>
      <c r="E400" s="2">
        <f t="shared" si="43"/>
        <v>45826</v>
      </c>
      <c r="F400" s="4">
        <f t="shared" si="44"/>
        <v>2025</v>
      </c>
      <c r="G400" t="str">
        <f t="shared" si="45"/>
        <v>June</v>
      </c>
      <c r="H400" t="str">
        <f t="shared" si="46"/>
        <v>2025-06</v>
      </c>
      <c r="I400" s="4">
        <f t="shared" ca="1" si="42"/>
        <v>98</v>
      </c>
      <c r="J400" t="s">
        <v>1606</v>
      </c>
      <c r="K400" t="s">
        <v>1607</v>
      </c>
      <c r="L400" t="s">
        <v>29</v>
      </c>
      <c r="M400">
        <v>22</v>
      </c>
      <c r="N400" t="str">
        <f>VLOOKUP(M400, CategoryMap!$A$2:$B$100, 2, FALSE)</f>
        <v>People &amp; Blogs</v>
      </c>
      <c r="O400">
        <v>47870</v>
      </c>
      <c r="P400">
        <v>3060</v>
      </c>
      <c r="Q400">
        <v>60</v>
      </c>
      <c r="R400" s="3">
        <f t="shared" si="47"/>
        <v>6.5176519740965111E-2</v>
      </c>
      <c r="S400">
        <v>80</v>
      </c>
      <c r="T400" t="str">
        <f t="shared" si="48"/>
        <v>Long</v>
      </c>
    </row>
    <row r="401" spans="1:20" ht="18.75" customHeight="1" x14ac:dyDescent="0.35">
      <c r="A401" t="s">
        <v>1608</v>
      </c>
      <c r="B401" t="s">
        <v>2752</v>
      </c>
      <c r="C401" t="s">
        <v>11</v>
      </c>
      <c r="D401" s="2" t="s">
        <v>1609</v>
      </c>
      <c r="E401" s="2">
        <f t="shared" si="43"/>
        <v>45804</v>
      </c>
      <c r="F401" s="4">
        <f t="shared" si="44"/>
        <v>2025</v>
      </c>
      <c r="G401" t="str">
        <f t="shared" si="45"/>
        <v>May</v>
      </c>
      <c r="H401" t="str">
        <f t="shared" si="46"/>
        <v>2025-05</v>
      </c>
      <c r="I401" s="4">
        <f t="shared" ca="1" si="42"/>
        <v>120</v>
      </c>
      <c r="J401" t="s">
        <v>1610</v>
      </c>
      <c r="K401" t="s">
        <v>1611</v>
      </c>
      <c r="L401" t="s">
        <v>29</v>
      </c>
      <c r="M401">
        <v>28</v>
      </c>
      <c r="N401" t="str">
        <f>VLOOKUP(M401, CategoryMap!$A$2:$B$100, 2, FALSE)</f>
        <v>Science &amp; Technology</v>
      </c>
      <c r="O401">
        <v>3205</v>
      </c>
      <c r="P401">
        <v>65</v>
      </c>
      <c r="Q401">
        <v>5</v>
      </c>
      <c r="R401" s="3">
        <f t="shared" si="47"/>
        <v>2.1840873634945399E-2</v>
      </c>
      <c r="S401">
        <v>55</v>
      </c>
      <c r="T401" t="str">
        <f t="shared" si="48"/>
        <v>Short</v>
      </c>
    </row>
    <row r="402" spans="1:20" ht="18.75" customHeight="1" x14ac:dyDescent="0.35">
      <c r="A402" t="s">
        <v>1612</v>
      </c>
      <c r="B402" t="s">
        <v>2661</v>
      </c>
      <c r="C402" t="s">
        <v>11</v>
      </c>
      <c r="D402" s="2" t="s">
        <v>1613</v>
      </c>
      <c r="E402" s="2">
        <f t="shared" si="43"/>
        <v>45827</v>
      </c>
      <c r="F402" s="4">
        <f t="shared" si="44"/>
        <v>2025</v>
      </c>
      <c r="G402" t="str">
        <f t="shared" si="45"/>
        <v>June</v>
      </c>
      <c r="H402" t="str">
        <f t="shared" si="46"/>
        <v>2025-06</v>
      </c>
      <c r="I402" s="4">
        <f t="shared" ca="1" si="42"/>
        <v>97</v>
      </c>
      <c r="J402" t="s">
        <v>1570</v>
      </c>
      <c r="K402" t="s">
        <v>1571</v>
      </c>
      <c r="L402" t="s">
        <v>29</v>
      </c>
      <c r="M402">
        <v>22</v>
      </c>
      <c r="N402" t="str">
        <f>VLOOKUP(M402, CategoryMap!$A$2:$B$100, 2, FALSE)</f>
        <v>People &amp; Blogs</v>
      </c>
      <c r="O402">
        <v>98184</v>
      </c>
      <c r="P402">
        <v>416</v>
      </c>
      <c r="Q402">
        <v>2</v>
      </c>
      <c r="R402" s="3">
        <f t="shared" si="47"/>
        <v>4.2573128004562864E-3</v>
      </c>
      <c r="S402">
        <v>6</v>
      </c>
      <c r="T402" t="str">
        <f t="shared" si="48"/>
        <v>Short</v>
      </c>
    </row>
    <row r="403" spans="1:20" ht="18.75" customHeight="1" x14ac:dyDescent="0.35">
      <c r="A403" t="s">
        <v>1614</v>
      </c>
      <c r="B403" t="s">
        <v>2753</v>
      </c>
      <c r="C403" t="s">
        <v>3196</v>
      </c>
      <c r="D403" s="2" t="s">
        <v>1615</v>
      </c>
      <c r="E403" s="2">
        <f t="shared" si="43"/>
        <v>45828</v>
      </c>
      <c r="F403" s="4">
        <f t="shared" si="44"/>
        <v>2025</v>
      </c>
      <c r="G403" t="str">
        <f t="shared" si="45"/>
        <v>June</v>
      </c>
      <c r="H403" t="str">
        <f t="shared" si="46"/>
        <v>2025-06</v>
      </c>
      <c r="I403" s="4">
        <f t="shared" ca="1" si="42"/>
        <v>96</v>
      </c>
      <c r="J403" t="s">
        <v>1616</v>
      </c>
      <c r="K403" t="s">
        <v>1617</v>
      </c>
      <c r="L403" t="s">
        <v>1618</v>
      </c>
      <c r="M403">
        <v>27</v>
      </c>
      <c r="N403" t="str">
        <f>VLOOKUP(M403, CategoryMap!$A$2:$B$100, 2, FALSE)</f>
        <v>Education</v>
      </c>
      <c r="O403">
        <v>8312</v>
      </c>
      <c r="P403">
        <v>100</v>
      </c>
      <c r="Q403">
        <v>0</v>
      </c>
      <c r="R403" s="3">
        <f t="shared" si="47"/>
        <v>1.203079884504331E-2</v>
      </c>
      <c r="S403">
        <v>31</v>
      </c>
      <c r="T403" t="str">
        <f t="shared" si="48"/>
        <v>Short</v>
      </c>
    </row>
    <row r="404" spans="1:20" ht="18.75" customHeight="1" x14ac:dyDescent="0.35">
      <c r="A404" t="s">
        <v>1619</v>
      </c>
      <c r="B404" t="s">
        <v>2754</v>
      </c>
      <c r="C404" t="s">
        <v>3197</v>
      </c>
      <c r="D404" s="2" t="s">
        <v>1620</v>
      </c>
      <c r="E404" s="2">
        <f t="shared" si="43"/>
        <v>45828</v>
      </c>
      <c r="F404" s="4">
        <f t="shared" si="44"/>
        <v>2025</v>
      </c>
      <c r="G404" t="str">
        <f t="shared" si="45"/>
        <v>June</v>
      </c>
      <c r="H404" t="str">
        <f t="shared" si="46"/>
        <v>2025-06</v>
      </c>
      <c r="I404" s="4">
        <f t="shared" ca="1" si="42"/>
        <v>96</v>
      </c>
      <c r="J404" t="s">
        <v>1535</v>
      </c>
      <c r="K404" t="s">
        <v>1536</v>
      </c>
      <c r="L404" t="s">
        <v>1621</v>
      </c>
      <c r="M404">
        <v>28</v>
      </c>
      <c r="N404" t="str">
        <f>VLOOKUP(M404, CategoryMap!$A$2:$B$100, 2, FALSE)</f>
        <v>Science &amp; Technology</v>
      </c>
      <c r="O404">
        <v>323608</v>
      </c>
      <c r="P404">
        <v>18473</v>
      </c>
      <c r="Q404">
        <v>1275</v>
      </c>
      <c r="R404" s="3">
        <f t="shared" si="47"/>
        <v>6.1024449333761832E-2</v>
      </c>
      <c r="S404">
        <v>846</v>
      </c>
      <c r="T404" t="str">
        <f t="shared" si="48"/>
        <v>Long</v>
      </c>
    </row>
    <row r="405" spans="1:20" ht="18.75" customHeight="1" x14ac:dyDescent="0.35">
      <c r="A405" t="s">
        <v>1622</v>
      </c>
      <c r="B405" t="s">
        <v>2755</v>
      </c>
      <c r="C405" t="s">
        <v>3198</v>
      </c>
      <c r="D405" s="2" t="s">
        <v>1623</v>
      </c>
      <c r="E405" s="2">
        <f t="shared" si="43"/>
        <v>45819</v>
      </c>
      <c r="F405" s="4">
        <f t="shared" si="44"/>
        <v>2025</v>
      </c>
      <c r="G405" t="str">
        <f t="shared" si="45"/>
        <v>June</v>
      </c>
      <c r="H405" t="str">
        <f t="shared" si="46"/>
        <v>2025-06</v>
      </c>
      <c r="I405" s="4">
        <f t="shared" ca="1" si="42"/>
        <v>105</v>
      </c>
      <c r="J405" t="s">
        <v>1624</v>
      </c>
      <c r="K405" t="s">
        <v>1625</v>
      </c>
      <c r="L405" t="s">
        <v>1626</v>
      </c>
      <c r="M405">
        <v>28</v>
      </c>
      <c r="N405" t="str">
        <f>VLOOKUP(M405, CategoryMap!$A$2:$B$100, 2, FALSE)</f>
        <v>Science &amp; Technology</v>
      </c>
      <c r="O405">
        <v>471343</v>
      </c>
      <c r="P405">
        <v>16705</v>
      </c>
      <c r="Q405">
        <v>689</v>
      </c>
      <c r="R405" s="3">
        <f t="shared" si="47"/>
        <v>3.6903062101272324E-2</v>
      </c>
      <c r="S405">
        <v>702</v>
      </c>
      <c r="T405" t="str">
        <f t="shared" si="48"/>
        <v>Long</v>
      </c>
    </row>
    <row r="406" spans="1:20" ht="18.75" customHeight="1" x14ac:dyDescent="0.35">
      <c r="A406" t="s">
        <v>1627</v>
      </c>
      <c r="B406" t="s">
        <v>2756</v>
      </c>
      <c r="C406" t="s">
        <v>3199</v>
      </c>
      <c r="D406" s="2" t="s">
        <v>1628</v>
      </c>
      <c r="E406" s="2">
        <f t="shared" si="43"/>
        <v>45827</v>
      </c>
      <c r="F406" s="4">
        <f t="shared" si="44"/>
        <v>2025</v>
      </c>
      <c r="G406" t="str">
        <f t="shared" si="45"/>
        <v>June</v>
      </c>
      <c r="H406" t="str">
        <f t="shared" si="46"/>
        <v>2025-06</v>
      </c>
      <c r="I406" s="4">
        <f t="shared" ca="1" si="42"/>
        <v>97</v>
      </c>
      <c r="J406" t="s">
        <v>1629</v>
      </c>
      <c r="K406" t="s">
        <v>1630</v>
      </c>
      <c r="L406" t="s">
        <v>1631</v>
      </c>
      <c r="M406">
        <v>28</v>
      </c>
      <c r="N406" t="str">
        <f>VLOOKUP(M406, CategoryMap!$A$2:$B$100, 2, FALSE)</f>
        <v>Science &amp; Technology</v>
      </c>
      <c r="O406">
        <v>15534</v>
      </c>
      <c r="P406">
        <v>155</v>
      </c>
      <c r="Q406">
        <v>3</v>
      </c>
      <c r="R406" s="3">
        <f t="shared" si="47"/>
        <v>1.0171237285953393E-2</v>
      </c>
      <c r="S406">
        <v>1523</v>
      </c>
      <c r="T406" t="str">
        <f t="shared" si="48"/>
        <v>Long</v>
      </c>
    </row>
    <row r="407" spans="1:20" ht="18.75" customHeight="1" x14ac:dyDescent="0.35">
      <c r="A407" t="s">
        <v>1632</v>
      </c>
      <c r="B407" t="s">
        <v>2451</v>
      </c>
      <c r="C407" t="s">
        <v>3200</v>
      </c>
      <c r="D407" s="2" t="s">
        <v>1633</v>
      </c>
      <c r="E407" s="2">
        <f t="shared" si="43"/>
        <v>44142</v>
      </c>
      <c r="F407" s="4">
        <f t="shared" si="44"/>
        <v>2020</v>
      </c>
      <c r="G407" t="str">
        <f t="shared" si="45"/>
        <v>November</v>
      </c>
      <c r="H407" t="str">
        <f t="shared" si="46"/>
        <v>2020-11</v>
      </c>
      <c r="I407" s="4">
        <f t="shared" ca="1" si="42"/>
        <v>1782</v>
      </c>
      <c r="J407" t="s">
        <v>1634</v>
      </c>
      <c r="K407" t="s">
        <v>1635</v>
      </c>
      <c r="L407" t="s">
        <v>1636</v>
      </c>
      <c r="M407">
        <v>22</v>
      </c>
      <c r="N407" t="str">
        <f>VLOOKUP(M407, CategoryMap!$A$2:$B$100, 2, FALSE)</f>
        <v>People &amp; Blogs</v>
      </c>
      <c r="O407">
        <v>3430352</v>
      </c>
      <c r="P407">
        <v>91926</v>
      </c>
      <c r="Q407">
        <v>2321</v>
      </c>
      <c r="R407" s="3">
        <f t="shared" si="47"/>
        <v>2.7474439940857381E-2</v>
      </c>
      <c r="S407">
        <v>650</v>
      </c>
      <c r="T407" t="str">
        <f t="shared" si="48"/>
        <v>Long</v>
      </c>
    </row>
    <row r="408" spans="1:20" ht="18.75" customHeight="1" x14ac:dyDescent="0.35">
      <c r="A408" t="s">
        <v>1637</v>
      </c>
      <c r="B408" t="s">
        <v>2757</v>
      </c>
      <c r="C408" t="s">
        <v>1638</v>
      </c>
      <c r="D408" s="2" t="s">
        <v>1639</v>
      </c>
      <c r="E408" s="2">
        <f t="shared" si="43"/>
        <v>45206</v>
      </c>
      <c r="F408" s="4">
        <f t="shared" si="44"/>
        <v>2023</v>
      </c>
      <c r="G408" t="str">
        <f t="shared" si="45"/>
        <v>October</v>
      </c>
      <c r="H408" t="str">
        <f t="shared" si="46"/>
        <v>2023-10</v>
      </c>
      <c r="I408" s="4">
        <f t="shared" ca="1" si="42"/>
        <v>718</v>
      </c>
      <c r="J408" t="s">
        <v>1640</v>
      </c>
      <c r="K408" t="s">
        <v>1641</v>
      </c>
      <c r="L408" t="s">
        <v>1642</v>
      </c>
      <c r="M408">
        <v>24</v>
      </c>
      <c r="N408" t="str">
        <f>VLOOKUP(M408, CategoryMap!$A$2:$B$100, 2, FALSE)</f>
        <v>Entertainment</v>
      </c>
      <c r="O408">
        <v>324714</v>
      </c>
      <c r="P408">
        <v>217464.60837887001</v>
      </c>
      <c r="Q408">
        <v>25</v>
      </c>
      <c r="R408" s="3">
        <f t="shared" si="47"/>
        <v>0.66978820863550692</v>
      </c>
      <c r="S408">
        <v>55</v>
      </c>
      <c r="T408" t="str">
        <f t="shared" si="48"/>
        <v>Short</v>
      </c>
    </row>
    <row r="409" spans="1:20" ht="18.75" customHeight="1" x14ac:dyDescent="0.35">
      <c r="A409" t="s">
        <v>1643</v>
      </c>
      <c r="B409" t="s">
        <v>2758</v>
      </c>
      <c r="C409" t="s">
        <v>3201</v>
      </c>
      <c r="D409" s="2" t="s">
        <v>1644</v>
      </c>
      <c r="E409" s="2">
        <f t="shared" si="43"/>
        <v>45828</v>
      </c>
      <c r="F409" s="4">
        <f t="shared" si="44"/>
        <v>2025</v>
      </c>
      <c r="G409" t="str">
        <f t="shared" si="45"/>
        <v>June</v>
      </c>
      <c r="H409" t="str">
        <f t="shared" si="46"/>
        <v>2025-06</v>
      </c>
      <c r="I409" s="4">
        <f t="shared" ca="1" si="42"/>
        <v>96</v>
      </c>
      <c r="J409" t="s">
        <v>1645</v>
      </c>
      <c r="K409" t="s">
        <v>1646</v>
      </c>
      <c r="L409" t="s">
        <v>1647</v>
      </c>
      <c r="M409">
        <v>24</v>
      </c>
      <c r="N409" t="str">
        <f>VLOOKUP(M409, CategoryMap!$A$2:$B$100, 2, FALSE)</f>
        <v>Entertainment</v>
      </c>
      <c r="O409">
        <v>1176285</v>
      </c>
      <c r="P409">
        <v>18763</v>
      </c>
      <c r="Q409">
        <v>75</v>
      </c>
      <c r="R409" s="3">
        <f t="shared" si="47"/>
        <v>1.6014826338854954E-2</v>
      </c>
      <c r="S409">
        <v>91</v>
      </c>
      <c r="T409" t="str">
        <f t="shared" si="48"/>
        <v>Long</v>
      </c>
    </row>
    <row r="410" spans="1:20" ht="18.75" customHeight="1" x14ac:dyDescent="0.35">
      <c r="A410" t="s">
        <v>1648</v>
      </c>
      <c r="B410" t="s">
        <v>2759</v>
      </c>
      <c r="C410" t="s">
        <v>1649</v>
      </c>
      <c r="D410" s="2" t="s">
        <v>1650</v>
      </c>
      <c r="E410" s="2">
        <f t="shared" si="43"/>
        <v>45481</v>
      </c>
      <c r="F410" s="4">
        <f t="shared" si="44"/>
        <v>2024</v>
      </c>
      <c r="G410" t="str">
        <f t="shared" si="45"/>
        <v>July</v>
      </c>
      <c r="H410" t="str">
        <f t="shared" si="46"/>
        <v>2024-07</v>
      </c>
      <c r="I410" s="4">
        <f t="shared" ca="1" si="42"/>
        <v>443</v>
      </c>
      <c r="J410" t="s">
        <v>954</v>
      </c>
      <c r="K410" t="s">
        <v>955</v>
      </c>
      <c r="L410" t="s">
        <v>29</v>
      </c>
      <c r="M410">
        <v>28</v>
      </c>
      <c r="N410" t="str">
        <f>VLOOKUP(M410, CategoryMap!$A$2:$B$100, 2, FALSE)</f>
        <v>Science &amp; Technology</v>
      </c>
      <c r="O410">
        <v>17236998</v>
      </c>
      <c r="P410">
        <v>509957</v>
      </c>
      <c r="Q410">
        <v>272</v>
      </c>
      <c r="R410" s="3">
        <f t="shared" si="47"/>
        <v>2.9600804037918899E-2</v>
      </c>
      <c r="S410">
        <v>42</v>
      </c>
      <c r="T410" t="str">
        <f t="shared" si="48"/>
        <v>Short</v>
      </c>
    </row>
    <row r="411" spans="1:20" ht="18.75" customHeight="1" x14ac:dyDescent="0.35">
      <c r="A411" t="s">
        <v>1651</v>
      </c>
      <c r="B411" t="s">
        <v>2760</v>
      </c>
      <c r="C411" t="s">
        <v>11</v>
      </c>
      <c r="D411" s="2" t="s">
        <v>1652</v>
      </c>
      <c r="E411" s="2">
        <f t="shared" si="43"/>
        <v>45827</v>
      </c>
      <c r="F411" s="4">
        <f t="shared" si="44"/>
        <v>2025</v>
      </c>
      <c r="G411" t="str">
        <f t="shared" si="45"/>
        <v>June</v>
      </c>
      <c r="H411" t="str">
        <f t="shared" si="46"/>
        <v>2025-06</v>
      </c>
      <c r="I411" s="4">
        <f t="shared" ca="1" si="42"/>
        <v>97</v>
      </c>
      <c r="J411" t="s">
        <v>1653</v>
      </c>
      <c r="K411" t="s">
        <v>1654</v>
      </c>
      <c r="L411" t="s">
        <v>29</v>
      </c>
      <c r="M411">
        <v>28</v>
      </c>
      <c r="N411" t="str">
        <f>VLOOKUP(M411, CategoryMap!$A$2:$B$100, 2, FALSE)</f>
        <v>Science &amp; Technology</v>
      </c>
      <c r="O411">
        <v>9024</v>
      </c>
      <c r="P411">
        <v>145</v>
      </c>
      <c r="Q411">
        <v>1</v>
      </c>
      <c r="R411" s="3">
        <f t="shared" si="47"/>
        <v>1.6179078014184396E-2</v>
      </c>
      <c r="S411">
        <v>29</v>
      </c>
      <c r="T411" t="str">
        <f t="shared" si="48"/>
        <v>Short</v>
      </c>
    </row>
    <row r="412" spans="1:20" ht="18.75" customHeight="1" x14ac:dyDescent="0.35">
      <c r="A412" t="s">
        <v>1655</v>
      </c>
      <c r="B412" t="s">
        <v>2761</v>
      </c>
      <c r="C412" t="s">
        <v>3202</v>
      </c>
      <c r="D412" s="2" t="s">
        <v>1656</v>
      </c>
      <c r="E412" s="2">
        <f t="shared" si="43"/>
        <v>45775</v>
      </c>
      <c r="F412" s="4">
        <f t="shared" si="44"/>
        <v>2025</v>
      </c>
      <c r="G412" t="str">
        <f t="shared" si="45"/>
        <v>April</v>
      </c>
      <c r="H412" t="str">
        <f t="shared" si="46"/>
        <v>2025-04</v>
      </c>
      <c r="I412" s="4">
        <f t="shared" ca="1" si="42"/>
        <v>149</v>
      </c>
      <c r="J412" t="s">
        <v>1591</v>
      </c>
      <c r="K412" t="s">
        <v>1592</v>
      </c>
      <c r="L412" t="s">
        <v>1657</v>
      </c>
      <c r="M412">
        <v>28</v>
      </c>
      <c r="N412" t="str">
        <f>VLOOKUP(M412, CategoryMap!$A$2:$B$100, 2, FALSE)</f>
        <v>Science &amp; Technology</v>
      </c>
      <c r="O412">
        <v>843288</v>
      </c>
      <c r="P412">
        <v>25034</v>
      </c>
      <c r="Q412">
        <v>3464</v>
      </c>
      <c r="R412" s="3">
        <f t="shared" si="47"/>
        <v>3.3793911451366558E-2</v>
      </c>
      <c r="S412">
        <v>533</v>
      </c>
      <c r="T412" t="str">
        <f t="shared" si="48"/>
        <v>Long</v>
      </c>
    </row>
    <row r="413" spans="1:20" ht="18.75" customHeight="1" x14ac:dyDescent="0.35">
      <c r="A413" t="s">
        <v>1658</v>
      </c>
      <c r="B413" t="s">
        <v>1659</v>
      </c>
      <c r="C413" t="s">
        <v>3203</v>
      </c>
      <c r="D413" s="2" t="s">
        <v>1660</v>
      </c>
      <c r="E413" s="2">
        <f t="shared" si="43"/>
        <v>45781</v>
      </c>
      <c r="F413" s="4">
        <f t="shared" si="44"/>
        <v>2025</v>
      </c>
      <c r="G413" t="str">
        <f t="shared" si="45"/>
        <v>May</v>
      </c>
      <c r="H413" t="str">
        <f t="shared" si="46"/>
        <v>2025-05</v>
      </c>
      <c r="I413" s="4">
        <f t="shared" ca="1" si="42"/>
        <v>143</v>
      </c>
      <c r="J413" t="s">
        <v>1661</v>
      </c>
      <c r="K413" t="s">
        <v>1662</v>
      </c>
      <c r="L413" t="s">
        <v>1663</v>
      </c>
      <c r="M413">
        <v>28</v>
      </c>
      <c r="N413" t="str">
        <f>VLOOKUP(M413, CategoryMap!$A$2:$B$100, 2, FALSE)</f>
        <v>Science &amp; Technology</v>
      </c>
      <c r="O413">
        <v>272545</v>
      </c>
      <c r="P413">
        <v>13055</v>
      </c>
      <c r="Q413">
        <v>1250</v>
      </c>
      <c r="R413" s="3">
        <f t="shared" si="47"/>
        <v>5.2486745308114258E-2</v>
      </c>
      <c r="S413">
        <v>988</v>
      </c>
      <c r="T413" t="str">
        <f t="shared" si="48"/>
        <v>Long</v>
      </c>
    </row>
    <row r="414" spans="1:20" ht="18.75" customHeight="1" x14ac:dyDescent="0.35">
      <c r="A414" t="s">
        <v>1664</v>
      </c>
      <c r="B414" t="s">
        <v>2762</v>
      </c>
      <c r="C414" t="s">
        <v>3204</v>
      </c>
      <c r="D414" s="2" t="s">
        <v>1665</v>
      </c>
      <c r="E414" s="2">
        <f t="shared" si="43"/>
        <v>45805</v>
      </c>
      <c r="F414" s="4">
        <f t="shared" si="44"/>
        <v>2025</v>
      </c>
      <c r="G414" t="str">
        <f t="shared" si="45"/>
        <v>May</v>
      </c>
      <c r="H414" t="str">
        <f t="shared" si="46"/>
        <v>2025-05</v>
      </c>
      <c r="I414" s="4">
        <f t="shared" ca="1" si="42"/>
        <v>119</v>
      </c>
      <c r="J414" t="s">
        <v>1666</v>
      </c>
      <c r="K414" t="s">
        <v>1667</v>
      </c>
      <c r="L414" t="s">
        <v>1668</v>
      </c>
      <c r="M414">
        <v>25</v>
      </c>
      <c r="N414" t="str">
        <f>VLOOKUP(M414, CategoryMap!$A$2:$B$100, 2, FALSE)</f>
        <v>News &amp; Politics</v>
      </c>
      <c r="O414">
        <v>223617</v>
      </c>
      <c r="P414">
        <v>2274</v>
      </c>
      <c r="Q414">
        <v>215</v>
      </c>
      <c r="R414" s="3">
        <f t="shared" si="47"/>
        <v>1.1130638547158758E-2</v>
      </c>
      <c r="S414">
        <v>378</v>
      </c>
      <c r="T414" t="str">
        <f t="shared" si="48"/>
        <v>Long</v>
      </c>
    </row>
    <row r="415" spans="1:20" ht="18.75" customHeight="1" x14ac:dyDescent="0.35">
      <c r="A415" t="s">
        <v>1669</v>
      </c>
      <c r="B415" t="s">
        <v>2763</v>
      </c>
      <c r="C415" t="s">
        <v>3205</v>
      </c>
      <c r="D415" s="2" t="s">
        <v>1670</v>
      </c>
      <c r="E415" s="2">
        <f t="shared" si="43"/>
        <v>45826</v>
      </c>
      <c r="F415" s="4">
        <f t="shared" si="44"/>
        <v>2025</v>
      </c>
      <c r="G415" t="str">
        <f t="shared" si="45"/>
        <v>June</v>
      </c>
      <c r="H415" t="str">
        <f t="shared" si="46"/>
        <v>2025-06</v>
      </c>
      <c r="I415" s="4">
        <f t="shared" ca="1" si="42"/>
        <v>98</v>
      </c>
      <c r="J415" t="s">
        <v>419</v>
      </c>
      <c r="K415" t="s">
        <v>420</v>
      </c>
      <c r="L415" t="s">
        <v>29</v>
      </c>
      <c r="M415">
        <v>22</v>
      </c>
      <c r="N415" t="str">
        <f>VLOOKUP(M415, CategoryMap!$A$2:$B$100, 2, FALSE)</f>
        <v>People &amp; Blogs</v>
      </c>
      <c r="O415">
        <v>110606</v>
      </c>
      <c r="P415">
        <v>721</v>
      </c>
      <c r="Q415">
        <v>3</v>
      </c>
      <c r="R415" s="3">
        <f t="shared" si="47"/>
        <v>6.5457570113737051E-3</v>
      </c>
      <c r="S415">
        <v>11</v>
      </c>
      <c r="T415" t="str">
        <f t="shared" si="48"/>
        <v>Short</v>
      </c>
    </row>
    <row r="416" spans="1:20" ht="18.75" customHeight="1" x14ac:dyDescent="0.35">
      <c r="A416" t="s">
        <v>1671</v>
      </c>
      <c r="B416" t="s">
        <v>2764</v>
      </c>
      <c r="C416" t="s">
        <v>3206</v>
      </c>
      <c r="D416" s="2" t="s">
        <v>1672</v>
      </c>
      <c r="E416" s="2">
        <f t="shared" si="43"/>
        <v>45827</v>
      </c>
      <c r="F416" s="4">
        <f t="shared" si="44"/>
        <v>2025</v>
      </c>
      <c r="G416" t="str">
        <f t="shared" si="45"/>
        <v>June</v>
      </c>
      <c r="H416" t="str">
        <f t="shared" si="46"/>
        <v>2025-06</v>
      </c>
      <c r="I416" s="4">
        <f t="shared" ca="1" si="42"/>
        <v>97</v>
      </c>
      <c r="J416" t="s">
        <v>317</v>
      </c>
      <c r="K416" t="s">
        <v>318</v>
      </c>
      <c r="L416" t="s">
        <v>1673</v>
      </c>
      <c r="M416">
        <v>22</v>
      </c>
      <c r="N416" t="str">
        <f>VLOOKUP(M416, CategoryMap!$A$2:$B$100, 2, FALSE)</f>
        <v>People &amp; Blogs</v>
      </c>
      <c r="O416">
        <v>13765</v>
      </c>
      <c r="P416">
        <v>217464.60837887001</v>
      </c>
      <c r="Q416">
        <v>4</v>
      </c>
      <c r="R416" s="3">
        <f t="shared" si="47"/>
        <v>15.798663885134037</v>
      </c>
      <c r="S416">
        <v>46</v>
      </c>
      <c r="T416" t="str">
        <f t="shared" si="48"/>
        <v>Short</v>
      </c>
    </row>
    <row r="417" spans="1:20" ht="18.75" customHeight="1" x14ac:dyDescent="0.35">
      <c r="A417" t="s">
        <v>1674</v>
      </c>
      <c r="B417" t="s">
        <v>2765</v>
      </c>
      <c r="C417" t="s">
        <v>11</v>
      </c>
      <c r="D417" s="2" t="s">
        <v>1675</v>
      </c>
      <c r="E417" s="2">
        <f t="shared" si="43"/>
        <v>45828</v>
      </c>
      <c r="F417" s="4">
        <f t="shared" si="44"/>
        <v>2025</v>
      </c>
      <c r="G417" t="str">
        <f t="shared" si="45"/>
        <v>June</v>
      </c>
      <c r="H417" t="str">
        <f t="shared" si="46"/>
        <v>2025-06</v>
      </c>
      <c r="I417" s="4">
        <f t="shared" ca="1" si="42"/>
        <v>96</v>
      </c>
      <c r="J417" t="s">
        <v>1676</v>
      </c>
      <c r="K417" t="s">
        <v>1677</v>
      </c>
      <c r="L417" t="s">
        <v>29</v>
      </c>
      <c r="M417">
        <v>22</v>
      </c>
      <c r="N417" t="str">
        <f>VLOOKUP(M417, CategoryMap!$A$2:$B$100, 2, FALSE)</f>
        <v>People &amp; Blogs</v>
      </c>
      <c r="O417">
        <v>26934</v>
      </c>
      <c r="P417">
        <v>104</v>
      </c>
      <c r="Q417">
        <v>0</v>
      </c>
      <c r="R417" s="3">
        <f t="shared" si="47"/>
        <v>3.861290562114799E-3</v>
      </c>
      <c r="S417">
        <v>6</v>
      </c>
      <c r="T417" t="str">
        <f t="shared" si="48"/>
        <v>Short</v>
      </c>
    </row>
    <row r="418" spans="1:20" ht="18.75" customHeight="1" x14ac:dyDescent="0.35">
      <c r="A418" t="s">
        <v>1678</v>
      </c>
      <c r="B418" t="s">
        <v>2766</v>
      </c>
      <c r="C418" t="s">
        <v>3207</v>
      </c>
      <c r="D418" s="2" t="s">
        <v>1679</v>
      </c>
      <c r="E418" s="2">
        <f t="shared" si="43"/>
        <v>45798</v>
      </c>
      <c r="F418" s="4">
        <f t="shared" si="44"/>
        <v>2025</v>
      </c>
      <c r="G418" t="str">
        <f t="shared" si="45"/>
        <v>May</v>
      </c>
      <c r="H418" t="str">
        <f t="shared" si="46"/>
        <v>2025-05</v>
      </c>
      <c r="I418" s="4">
        <f t="shared" ca="1" si="42"/>
        <v>126</v>
      </c>
      <c r="J418" t="s">
        <v>1680</v>
      </c>
      <c r="K418" t="s">
        <v>1681</v>
      </c>
      <c r="L418" t="s">
        <v>1682</v>
      </c>
      <c r="M418">
        <v>24</v>
      </c>
      <c r="N418" t="str">
        <f>VLOOKUP(M418, CategoryMap!$A$2:$B$100, 2, FALSE)</f>
        <v>Entertainment</v>
      </c>
      <c r="O418">
        <v>992690</v>
      </c>
      <c r="P418">
        <v>15827</v>
      </c>
      <c r="Q418">
        <v>573</v>
      </c>
      <c r="R418" s="3">
        <f t="shared" si="47"/>
        <v>1.6520766805347087E-2</v>
      </c>
      <c r="S418">
        <v>194</v>
      </c>
      <c r="T418" t="str">
        <f t="shared" si="48"/>
        <v>Long</v>
      </c>
    </row>
    <row r="419" spans="1:20" ht="18.75" customHeight="1" x14ac:dyDescent="0.35">
      <c r="A419" t="s">
        <v>1683</v>
      </c>
      <c r="B419" t="s">
        <v>2661</v>
      </c>
      <c r="C419" t="s">
        <v>11</v>
      </c>
      <c r="D419" s="2" t="s">
        <v>1684</v>
      </c>
      <c r="E419" s="2">
        <f t="shared" si="43"/>
        <v>45826</v>
      </c>
      <c r="F419" s="4">
        <f t="shared" si="44"/>
        <v>2025</v>
      </c>
      <c r="G419" t="str">
        <f t="shared" si="45"/>
        <v>June</v>
      </c>
      <c r="H419" t="str">
        <f t="shared" si="46"/>
        <v>2025-06</v>
      </c>
      <c r="I419" s="4">
        <f t="shared" ca="1" si="42"/>
        <v>98</v>
      </c>
      <c r="J419" t="s">
        <v>1685</v>
      </c>
      <c r="K419" t="s">
        <v>1686</v>
      </c>
      <c r="L419" t="s">
        <v>29</v>
      </c>
      <c r="M419">
        <v>22</v>
      </c>
      <c r="N419" t="str">
        <f>VLOOKUP(M419, CategoryMap!$A$2:$B$100, 2, FALSE)</f>
        <v>People &amp; Blogs</v>
      </c>
      <c r="O419">
        <v>29070</v>
      </c>
      <c r="P419">
        <v>72</v>
      </c>
      <c r="Q419">
        <v>0</v>
      </c>
      <c r="R419" s="3">
        <f t="shared" si="47"/>
        <v>2.4767801857585141E-3</v>
      </c>
      <c r="S419">
        <v>6</v>
      </c>
      <c r="T419" t="str">
        <f t="shared" si="48"/>
        <v>Short</v>
      </c>
    </row>
    <row r="420" spans="1:20" ht="18.75" customHeight="1" x14ac:dyDescent="0.35">
      <c r="A420" t="s">
        <v>1687</v>
      </c>
      <c r="B420" t="s">
        <v>2767</v>
      </c>
      <c r="C420" t="s">
        <v>3208</v>
      </c>
      <c r="D420" s="2" t="s">
        <v>1688</v>
      </c>
      <c r="E420" s="2">
        <f t="shared" si="43"/>
        <v>39921</v>
      </c>
      <c r="F420" s="4">
        <f t="shared" si="44"/>
        <v>2009</v>
      </c>
      <c r="G420" t="str">
        <f t="shared" si="45"/>
        <v>April</v>
      </c>
      <c r="H420" t="str">
        <f t="shared" si="46"/>
        <v>2009-04</v>
      </c>
      <c r="I420" s="4">
        <f t="shared" ca="1" si="42"/>
        <v>6003</v>
      </c>
      <c r="J420" t="s">
        <v>1689</v>
      </c>
      <c r="K420" t="s">
        <v>1690</v>
      </c>
      <c r="L420" t="s">
        <v>1691</v>
      </c>
      <c r="M420">
        <v>10</v>
      </c>
      <c r="N420" t="str">
        <f>VLOOKUP(M420, CategoryMap!$A$2:$B$100, 2, FALSE)</f>
        <v>Music</v>
      </c>
      <c r="O420">
        <v>78152857</v>
      </c>
      <c r="P420">
        <v>238675</v>
      </c>
      <c r="Q420">
        <v>13765</v>
      </c>
      <c r="R420" s="3">
        <f t="shared" si="47"/>
        <v>3.2300802515767275E-3</v>
      </c>
      <c r="S420">
        <v>214</v>
      </c>
      <c r="T420" t="str">
        <f t="shared" si="48"/>
        <v>Long</v>
      </c>
    </row>
    <row r="421" spans="1:20" ht="18.75" customHeight="1" x14ac:dyDescent="0.35">
      <c r="A421" t="s">
        <v>1692</v>
      </c>
      <c r="B421" t="s">
        <v>2768</v>
      </c>
      <c r="C421" t="s">
        <v>3209</v>
      </c>
      <c r="D421" s="2" t="s">
        <v>1693</v>
      </c>
      <c r="E421" s="2">
        <f t="shared" si="43"/>
        <v>44066</v>
      </c>
      <c r="F421" s="4">
        <f t="shared" si="44"/>
        <v>2020</v>
      </c>
      <c r="G421" t="str">
        <f t="shared" si="45"/>
        <v>August</v>
      </c>
      <c r="H421" t="str">
        <f t="shared" si="46"/>
        <v>2020-08</v>
      </c>
      <c r="I421" s="4">
        <f t="shared" ca="1" si="42"/>
        <v>1858</v>
      </c>
      <c r="J421" t="s">
        <v>1694</v>
      </c>
      <c r="K421" t="s">
        <v>1695</v>
      </c>
      <c r="L421" t="s">
        <v>29</v>
      </c>
      <c r="M421">
        <v>22</v>
      </c>
      <c r="N421" t="str">
        <f>VLOOKUP(M421, CategoryMap!$A$2:$B$100, 2, FALSE)</f>
        <v>People &amp; Blogs</v>
      </c>
      <c r="O421">
        <v>5083502</v>
      </c>
      <c r="P421">
        <v>83850</v>
      </c>
      <c r="Q421">
        <v>1559</v>
      </c>
      <c r="R421" s="3">
        <f t="shared" si="47"/>
        <v>1.6801213022046613E-2</v>
      </c>
      <c r="S421">
        <v>291</v>
      </c>
      <c r="T421" t="str">
        <f t="shared" si="48"/>
        <v>Long</v>
      </c>
    </row>
    <row r="422" spans="1:20" ht="18.75" customHeight="1" x14ac:dyDescent="0.35">
      <c r="A422" t="s">
        <v>1696</v>
      </c>
      <c r="B422" t="s">
        <v>2769</v>
      </c>
      <c r="C422" t="s">
        <v>11</v>
      </c>
      <c r="D422" s="2" t="s">
        <v>1697</v>
      </c>
      <c r="E422" s="2">
        <f t="shared" si="43"/>
        <v>45621</v>
      </c>
      <c r="F422" s="4">
        <f t="shared" si="44"/>
        <v>2024</v>
      </c>
      <c r="G422" t="str">
        <f t="shared" si="45"/>
        <v>November</v>
      </c>
      <c r="H422" t="str">
        <f t="shared" si="46"/>
        <v>2024-11</v>
      </c>
      <c r="I422" s="4">
        <f t="shared" ca="1" si="42"/>
        <v>303</v>
      </c>
      <c r="J422" t="s">
        <v>1698</v>
      </c>
      <c r="K422" t="s">
        <v>1699</v>
      </c>
      <c r="L422" t="s">
        <v>29</v>
      </c>
      <c r="M422">
        <v>24</v>
      </c>
      <c r="N422" t="str">
        <f>VLOOKUP(M422, CategoryMap!$A$2:$B$100, 2, FALSE)</f>
        <v>Entertainment</v>
      </c>
      <c r="O422">
        <v>27148315</v>
      </c>
      <c r="P422">
        <v>1001472</v>
      </c>
      <c r="Q422">
        <v>3127</v>
      </c>
      <c r="R422" s="3">
        <f t="shared" si="47"/>
        <v>3.7004101359513472E-2</v>
      </c>
      <c r="S422">
        <v>60</v>
      </c>
      <c r="T422" t="str">
        <f t="shared" si="48"/>
        <v>Short</v>
      </c>
    </row>
    <row r="423" spans="1:20" ht="18.75" customHeight="1" x14ac:dyDescent="0.35">
      <c r="A423" t="s">
        <v>1700</v>
      </c>
      <c r="B423" t="s">
        <v>2770</v>
      </c>
      <c r="C423" t="s">
        <v>3210</v>
      </c>
      <c r="D423" s="2" t="s">
        <v>1701</v>
      </c>
      <c r="E423" s="2">
        <f t="shared" si="43"/>
        <v>45816</v>
      </c>
      <c r="F423" s="4">
        <f t="shared" si="44"/>
        <v>2025</v>
      </c>
      <c r="G423" t="str">
        <f t="shared" si="45"/>
        <v>June</v>
      </c>
      <c r="H423" t="str">
        <f t="shared" si="46"/>
        <v>2025-06</v>
      </c>
      <c r="I423" s="4">
        <f t="shared" ca="1" si="42"/>
        <v>108</v>
      </c>
      <c r="J423" t="s">
        <v>1702</v>
      </c>
      <c r="K423" t="s">
        <v>1703</v>
      </c>
      <c r="L423" t="s">
        <v>1704</v>
      </c>
      <c r="M423">
        <v>28</v>
      </c>
      <c r="N423" t="str">
        <f>VLOOKUP(M423, CategoryMap!$A$2:$B$100, 2, FALSE)</f>
        <v>Science &amp; Technology</v>
      </c>
      <c r="O423">
        <v>113134</v>
      </c>
      <c r="P423">
        <v>8898</v>
      </c>
      <c r="Q423">
        <v>1075</v>
      </c>
      <c r="R423" s="3">
        <f t="shared" si="47"/>
        <v>8.8152102816129549E-2</v>
      </c>
      <c r="S423">
        <v>690</v>
      </c>
      <c r="T423" t="str">
        <f t="shared" si="48"/>
        <v>Long</v>
      </c>
    </row>
    <row r="424" spans="1:20" ht="18.75" customHeight="1" x14ac:dyDescent="0.35">
      <c r="A424" t="s">
        <v>1705</v>
      </c>
      <c r="B424" t="s">
        <v>2771</v>
      </c>
      <c r="C424" t="s">
        <v>3211</v>
      </c>
      <c r="D424" s="2" t="s">
        <v>1706</v>
      </c>
      <c r="E424" s="2">
        <f t="shared" si="43"/>
        <v>45804</v>
      </c>
      <c r="F424" s="4">
        <f t="shared" si="44"/>
        <v>2025</v>
      </c>
      <c r="G424" t="str">
        <f t="shared" si="45"/>
        <v>May</v>
      </c>
      <c r="H424" t="str">
        <f t="shared" si="46"/>
        <v>2025-05</v>
      </c>
      <c r="I424" s="4">
        <f t="shared" ca="1" si="42"/>
        <v>120</v>
      </c>
      <c r="J424" t="s">
        <v>1707</v>
      </c>
      <c r="K424" t="s">
        <v>1708</v>
      </c>
      <c r="L424" t="s">
        <v>1709</v>
      </c>
      <c r="M424">
        <v>23</v>
      </c>
      <c r="N424" t="str">
        <f>VLOOKUP(M424, CategoryMap!$A$2:$B$100, 2, FALSE)</f>
        <v>Comedy</v>
      </c>
      <c r="O424">
        <v>29593</v>
      </c>
      <c r="P424">
        <v>183</v>
      </c>
      <c r="Q424">
        <v>9</v>
      </c>
      <c r="R424" s="3">
        <f t="shared" si="47"/>
        <v>6.4880208157334501E-3</v>
      </c>
      <c r="S424">
        <v>26</v>
      </c>
      <c r="T424" t="str">
        <f t="shared" si="48"/>
        <v>Short</v>
      </c>
    </row>
    <row r="425" spans="1:20" ht="18.75" customHeight="1" x14ac:dyDescent="0.35">
      <c r="A425" t="s">
        <v>1710</v>
      </c>
      <c r="B425" t="s">
        <v>2661</v>
      </c>
      <c r="C425" t="s">
        <v>11</v>
      </c>
      <c r="D425" s="2" t="s">
        <v>1711</v>
      </c>
      <c r="E425" s="2">
        <f t="shared" si="43"/>
        <v>45826</v>
      </c>
      <c r="F425" s="4">
        <f t="shared" si="44"/>
        <v>2025</v>
      </c>
      <c r="G425" t="str">
        <f t="shared" si="45"/>
        <v>June</v>
      </c>
      <c r="H425" t="str">
        <f t="shared" si="46"/>
        <v>2025-06</v>
      </c>
      <c r="I425" s="4">
        <f t="shared" ca="1" si="42"/>
        <v>98</v>
      </c>
      <c r="J425" t="s">
        <v>1570</v>
      </c>
      <c r="K425" t="s">
        <v>1571</v>
      </c>
      <c r="L425" t="s">
        <v>29</v>
      </c>
      <c r="M425">
        <v>22</v>
      </c>
      <c r="N425" t="str">
        <f>VLOOKUP(M425, CategoryMap!$A$2:$B$100, 2, FALSE)</f>
        <v>People &amp; Blogs</v>
      </c>
      <c r="O425">
        <v>345406</v>
      </c>
      <c r="P425">
        <v>1327</v>
      </c>
      <c r="Q425">
        <v>1</v>
      </c>
      <c r="R425" s="3">
        <f t="shared" si="47"/>
        <v>3.8447508149829475E-3</v>
      </c>
      <c r="S425">
        <v>6</v>
      </c>
      <c r="T425" t="str">
        <f t="shared" si="48"/>
        <v>Short</v>
      </c>
    </row>
    <row r="426" spans="1:20" ht="18.75" customHeight="1" x14ac:dyDescent="0.35">
      <c r="A426" t="s">
        <v>1712</v>
      </c>
      <c r="B426" t="s">
        <v>2772</v>
      </c>
      <c r="C426" t="s">
        <v>3212</v>
      </c>
      <c r="D426" s="2" t="s">
        <v>1713</v>
      </c>
      <c r="E426" s="2">
        <f t="shared" si="43"/>
        <v>45774</v>
      </c>
      <c r="F426" s="4">
        <f t="shared" si="44"/>
        <v>2025</v>
      </c>
      <c r="G426" t="str">
        <f t="shared" si="45"/>
        <v>April</v>
      </c>
      <c r="H426" t="str">
        <f t="shared" si="46"/>
        <v>2025-04</v>
      </c>
      <c r="I426" s="4">
        <f t="shared" ca="1" si="42"/>
        <v>150</v>
      </c>
      <c r="J426" t="s">
        <v>1714</v>
      </c>
      <c r="K426" t="s">
        <v>1715</v>
      </c>
      <c r="L426" t="s">
        <v>1716</v>
      </c>
      <c r="M426">
        <v>10</v>
      </c>
      <c r="N426" t="str">
        <f>VLOOKUP(M426, CategoryMap!$A$2:$B$100, 2, FALSE)</f>
        <v>Music</v>
      </c>
      <c r="O426">
        <v>9385375</v>
      </c>
      <c r="P426">
        <v>88912</v>
      </c>
      <c r="Q426">
        <v>1483</v>
      </c>
      <c r="R426" s="3">
        <f t="shared" si="47"/>
        <v>9.6314745015516155E-3</v>
      </c>
      <c r="S426">
        <v>276</v>
      </c>
      <c r="T426" t="str">
        <f t="shared" si="48"/>
        <v>Long</v>
      </c>
    </row>
    <row r="427" spans="1:20" ht="18.75" customHeight="1" x14ac:dyDescent="0.35">
      <c r="A427" t="s">
        <v>1717</v>
      </c>
      <c r="B427" t="s">
        <v>2773</v>
      </c>
      <c r="C427" t="s">
        <v>3175</v>
      </c>
      <c r="D427" s="2" t="s">
        <v>1718</v>
      </c>
      <c r="E427" s="2">
        <f t="shared" si="43"/>
        <v>45828</v>
      </c>
      <c r="F427" s="4">
        <f t="shared" si="44"/>
        <v>2025</v>
      </c>
      <c r="G427" t="str">
        <f t="shared" si="45"/>
        <v>June</v>
      </c>
      <c r="H427" t="str">
        <f t="shared" si="46"/>
        <v>2025-06</v>
      </c>
      <c r="I427" s="4">
        <f t="shared" ca="1" si="42"/>
        <v>96</v>
      </c>
      <c r="J427" t="s">
        <v>1444</v>
      </c>
      <c r="K427" t="s">
        <v>1445</v>
      </c>
      <c r="L427" t="s">
        <v>29</v>
      </c>
      <c r="M427">
        <v>15</v>
      </c>
      <c r="N427" t="str">
        <f>VLOOKUP(M427, CategoryMap!$A$2:$B$100, 2, FALSE)</f>
        <v>Pets &amp; Animals</v>
      </c>
      <c r="O427">
        <v>14184</v>
      </c>
      <c r="P427">
        <v>92</v>
      </c>
      <c r="Q427">
        <v>0</v>
      </c>
      <c r="R427" s="3">
        <f t="shared" si="47"/>
        <v>6.4861816130851666E-3</v>
      </c>
      <c r="S427">
        <v>10</v>
      </c>
      <c r="T427" t="str">
        <f t="shared" si="48"/>
        <v>Short</v>
      </c>
    </row>
    <row r="428" spans="1:20" ht="18.75" customHeight="1" x14ac:dyDescent="0.35">
      <c r="A428" t="s">
        <v>1719</v>
      </c>
      <c r="B428" t="s">
        <v>2774</v>
      </c>
      <c r="C428" t="s">
        <v>11</v>
      </c>
      <c r="D428" s="2" t="s">
        <v>1720</v>
      </c>
      <c r="E428" s="2">
        <f t="shared" si="43"/>
        <v>45817</v>
      </c>
      <c r="F428" s="4">
        <f t="shared" si="44"/>
        <v>2025</v>
      </c>
      <c r="G428" t="str">
        <f t="shared" si="45"/>
        <v>June</v>
      </c>
      <c r="H428" t="str">
        <f t="shared" si="46"/>
        <v>2025-06</v>
      </c>
      <c r="I428" s="4">
        <f t="shared" ca="1" si="42"/>
        <v>107</v>
      </c>
      <c r="J428" t="s">
        <v>1721</v>
      </c>
      <c r="K428" t="s">
        <v>1722</v>
      </c>
      <c r="L428" t="s">
        <v>29</v>
      </c>
      <c r="M428">
        <v>28</v>
      </c>
      <c r="N428" t="str">
        <f>VLOOKUP(M428, CategoryMap!$A$2:$B$100, 2, FALSE)</f>
        <v>Science &amp; Technology</v>
      </c>
      <c r="O428">
        <v>1030</v>
      </c>
      <c r="P428">
        <v>19</v>
      </c>
      <c r="Q428">
        <v>0</v>
      </c>
      <c r="R428" s="3">
        <f t="shared" si="47"/>
        <v>1.8446601941747572E-2</v>
      </c>
      <c r="S428">
        <v>36</v>
      </c>
      <c r="T428" t="str">
        <f t="shared" si="48"/>
        <v>Short</v>
      </c>
    </row>
    <row r="429" spans="1:20" ht="18.75" customHeight="1" x14ac:dyDescent="0.35">
      <c r="A429" t="s">
        <v>1723</v>
      </c>
      <c r="B429" t="s">
        <v>2775</v>
      </c>
      <c r="C429" t="s">
        <v>3213</v>
      </c>
      <c r="D429" s="2" t="s">
        <v>1724</v>
      </c>
      <c r="E429" s="2">
        <f t="shared" si="43"/>
        <v>39981</v>
      </c>
      <c r="F429" s="4">
        <f t="shared" si="44"/>
        <v>2009</v>
      </c>
      <c r="G429" t="str">
        <f t="shared" si="45"/>
        <v>June</v>
      </c>
      <c r="H429" t="str">
        <f t="shared" si="46"/>
        <v>2009-06</v>
      </c>
      <c r="I429" s="4">
        <f t="shared" ca="1" si="42"/>
        <v>5943</v>
      </c>
      <c r="J429" t="s">
        <v>1725</v>
      </c>
      <c r="K429" t="s">
        <v>1726</v>
      </c>
      <c r="L429" t="s">
        <v>1727</v>
      </c>
      <c r="M429">
        <v>10</v>
      </c>
      <c r="N429" t="str">
        <f>VLOOKUP(M429, CategoryMap!$A$2:$B$100, 2, FALSE)</f>
        <v>Music</v>
      </c>
      <c r="O429">
        <v>343758991</v>
      </c>
      <c r="P429">
        <v>1734503</v>
      </c>
      <c r="Q429">
        <v>40241</v>
      </c>
      <c r="R429" s="3">
        <f t="shared" si="47"/>
        <v>5.1627566011793417E-3</v>
      </c>
      <c r="S429">
        <v>249</v>
      </c>
      <c r="T429" t="str">
        <f t="shared" si="48"/>
        <v>Long</v>
      </c>
    </row>
    <row r="430" spans="1:20" ht="18.75" customHeight="1" x14ac:dyDescent="0.35">
      <c r="A430" t="s">
        <v>1728</v>
      </c>
      <c r="B430" t="s">
        <v>2647</v>
      </c>
      <c r="C430" t="s">
        <v>3214</v>
      </c>
      <c r="D430" s="2" t="s">
        <v>1729</v>
      </c>
      <c r="E430" s="2">
        <f t="shared" si="43"/>
        <v>45687</v>
      </c>
      <c r="F430" s="4">
        <f t="shared" si="44"/>
        <v>2025</v>
      </c>
      <c r="G430" t="str">
        <f t="shared" si="45"/>
        <v>January</v>
      </c>
      <c r="H430" t="str">
        <f t="shared" si="46"/>
        <v>2025-01</v>
      </c>
      <c r="I430" s="4">
        <f t="shared" ca="1" si="42"/>
        <v>237</v>
      </c>
      <c r="J430" t="s">
        <v>1730</v>
      </c>
      <c r="K430" t="s">
        <v>1731</v>
      </c>
      <c r="L430" t="s">
        <v>1732</v>
      </c>
      <c r="M430">
        <v>22</v>
      </c>
      <c r="N430" t="str">
        <f>VLOOKUP(M430, CategoryMap!$A$2:$B$100, 2, FALSE)</f>
        <v>People &amp; Blogs</v>
      </c>
      <c r="O430">
        <v>186040</v>
      </c>
      <c r="P430">
        <v>3127</v>
      </c>
      <c r="Q430">
        <v>228</v>
      </c>
      <c r="R430" s="3">
        <f t="shared" si="47"/>
        <v>1.803375618146635E-2</v>
      </c>
      <c r="S430">
        <v>3561</v>
      </c>
      <c r="T430" t="str">
        <f t="shared" si="48"/>
        <v>Long</v>
      </c>
    </row>
    <row r="431" spans="1:20" ht="18.75" customHeight="1" x14ac:dyDescent="0.35">
      <c r="A431" t="s">
        <v>1733</v>
      </c>
      <c r="B431" t="s">
        <v>2776</v>
      </c>
      <c r="C431" t="s">
        <v>3215</v>
      </c>
      <c r="D431" s="2" t="s">
        <v>1734</v>
      </c>
      <c r="E431" s="2">
        <f t="shared" si="43"/>
        <v>45762</v>
      </c>
      <c r="F431" s="4">
        <f t="shared" si="44"/>
        <v>2025</v>
      </c>
      <c r="G431" t="str">
        <f t="shared" si="45"/>
        <v>April</v>
      </c>
      <c r="H431" t="str">
        <f t="shared" si="46"/>
        <v>2025-04</v>
      </c>
      <c r="I431" s="4">
        <f t="shared" ca="1" si="42"/>
        <v>162</v>
      </c>
      <c r="J431" t="s">
        <v>936</v>
      </c>
      <c r="K431" t="s">
        <v>937</v>
      </c>
      <c r="L431" t="s">
        <v>1735</v>
      </c>
      <c r="M431">
        <v>28</v>
      </c>
      <c r="N431" t="str">
        <f>VLOOKUP(M431, CategoryMap!$A$2:$B$100, 2, FALSE)</f>
        <v>Science &amp; Technology</v>
      </c>
      <c r="O431">
        <v>767009</v>
      </c>
      <c r="P431">
        <v>16185</v>
      </c>
      <c r="Q431">
        <v>49</v>
      </c>
      <c r="R431" s="3">
        <f t="shared" si="47"/>
        <v>2.1165331827918576E-2</v>
      </c>
      <c r="S431">
        <v>43</v>
      </c>
      <c r="T431" t="str">
        <f t="shared" si="48"/>
        <v>Short</v>
      </c>
    </row>
    <row r="432" spans="1:20" ht="18.75" customHeight="1" x14ac:dyDescent="0.35">
      <c r="A432" t="s">
        <v>1736</v>
      </c>
      <c r="B432" t="s">
        <v>2777</v>
      </c>
      <c r="C432" t="s">
        <v>11</v>
      </c>
      <c r="D432" s="2" t="s">
        <v>1737</v>
      </c>
      <c r="E432" s="2">
        <f t="shared" si="43"/>
        <v>45828</v>
      </c>
      <c r="F432" s="4">
        <f t="shared" si="44"/>
        <v>2025</v>
      </c>
      <c r="G432" t="str">
        <f t="shared" si="45"/>
        <v>June</v>
      </c>
      <c r="H432" t="str">
        <f t="shared" si="46"/>
        <v>2025-06</v>
      </c>
      <c r="I432" s="4">
        <f t="shared" ca="1" si="42"/>
        <v>96</v>
      </c>
      <c r="J432" t="s">
        <v>1738</v>
      </c>
      <c r="K432" t="s">
        <v>1739</v>
      </c>
      <c r="L432" t="s">
        <v>29</v>
      </c>
      <c r="M432">
        <v>22</v>
      </c>
      <c r="N432" t="str">
        <f>VLOOKUP(M432, CategoryMap!$A$2:$B$100, 2, FALSE)</f>
        <v>People &amp; Blogs</v>
      </c>
      <c r="O432">
        <v>2777</v>
      </c>
      <c r="P432">
        <v>81</v>
      </c>
      <c r="Q432">
        <v>2</v>
      </c>
      <c r="R432" s="3">
        <f t="shared" si="47"/>
        <v>2.9888368743248111E-2</v>
      </c>
      <c r="S432">
        <v>37</v>
      </c>
      <c r="T432" t="str">
        <f t="shared" si="48"/>
        <v>Short</v>
      </c>
    </row>
    <row r="433" spans="1:20" ht="18.75" customHeight="1" x14ac:dyDescent="0.35">
      <c r="A433" t="s">
        <v>1740</v>
      </c>
      <c r="B433" t="s">
        <v>2778</v>
      </c>
      <c r="C433" t="s">
        <v>11</v>
      </c>
      <c r="D433" s="2" t="s">
        <v>1741</v>
      </c>
      <c r="E433" s="2">
        <f t="shared" si="43"/>
        <v>45821</v>
      </c>
      <c r="F433" s="4">
        <f t="shared" si="44"/>
        <v>2025</v>
      </c>
      <c r="G433" t="str">
        <f t="shared" si="45"/>
        <v>June</v>
      </c>
      <c r="H433" t="str">
        <f t="shared" si="46"/>
        <v>2025-06</v>
      </c>
      <c r="I433" s="4">
        <f t="shared" ca="1" si="42"/>
        <v>103</v>
      </c>
      <c r="J433" t="s">
        <v>1742</v>
      </c>
      <c r="K433" t="s">
        <v>1743</v>
      </c>
      <c r="L433" t="s">
        <v>29</v>
      </c>
      <c r="M433">
        <v>27</v>
      </c>
      <c r="N433" t="str">
        <f>VLOOKUP(M433, CategoryMap!$A$2:$B$100, 2, FALSE)</f>
        <v>Education</v>
      </c>
      <c r="O433">
        <v>866</v>
      </c>
      <c r="P433">
        <v>16</v>
      </c>
      <c r="Q433">
        <v>0</v>
      </c>
      <c r="R433" s="3">
        <f t="shared" si="47"/>
        <v>1.8475750577367205E-2</v>
      </c>
      <c r="S433">
        <v>37</v>
      </c>
      <c r="T433" t="str">
        <f t="shared" si="48"/>
        <v>Short</v>
      </c>
    </row>
    <row r="434" spans="1:20" ht="18.75" customHeight="1" x14ac:dyDescent="0.35">
      <c r="A434" t="s">
        <v>1744</v>
      </c>
      <c r="B434" t="s">
        <v>2779</v>
      </c>
      <c r="C434" t="s">
        <v>3216</v>
      </c>
      <c r="D434" s="2" t="s">
        <v>1745</v>
      </c>
      <c r="E434" s="2">
        <f t="shared" si="43"/>
        <v>45795</v>
      </c>
      <c r="F434" s="4">
        <f t="shared" si="44"/>
        <v>2025</v>
      </c>
      <c r="G434" t="str">
        <f t="shared" si="45"/>
        <v>May</v>
      </c>
      <c r="H434" t="str">
        <f t="shared" si="46"/>
        <v>2025-05</v>
      </c>
      <c r="I434" s="4">
        <f t="shared" ca="1" si="42"/>
        <v>129</v>
      </c>
      <c r="J434" t="s">
        <v>1746</v>
      </c>
      <c r="K434" t="s">
        <v>1747</v>
      </c>
      <c r="L434" t="s">
        <v>1748</v>
      </c>
      <c r="M434">
        <v>1</v>
      </c>
      <c r="N434" t="str">
        <f>VLOOKUP(M434, CategoryMap!$A$2:$B$100, 2, FALSE)</f>
        <v>Film &amp; Animation</v>
      </c>
      <c r="O434">
        <v>1595996</v>
      </c>
      <c r="P434">
        <v>58787</v>
      </c>
      <c r="Q434">
        <v>5640</v>
      </c>
      <c r="R434" s="3">
        <f t="shared" si="47"/>
        <v>4.0367895658886363E-2</v>
      </c>
      <c r="S434">
        <v>1240</v>
      </c>
      <c r="T434" t="str">
        <f t="shared" si="48"/>
        <v>Long</v>
      </c>
    </row>
    <row r="435" spans="1:20" ht="18.75" customHeight="1" x14ac:dyDescent="0.35">
      <c r="A435" t="s">
        <v>1749</v>
      </c>
      <c r="B435" t="s">
        <v>2780</v>
      </c>
      <c r="C435" t="s">
        <v>3217</v>
      </c>
      <c r="D435" s="2" t="s">
        <v>1750</v>
      </c>
      <c r="E435" s="2">
        <f t="shared" si="43"/>
        <v>45807</v>
      </c>
      <c r="F435" s="4">
        <f t="shared" si="44"/>
        <v>2025</v>
      </c>
      <c r="G435" t="str">
        <f t="shared" si="45"/>
        <v>May</v>
      </c>
      <c r="H435" t="str">
        <f t="shared" si="46"/>
        <v>2025-05</v>
      </c>
      <c r="I435" s="4">
        <f t="shared" ca="1" si="42"/>
        <v>117</v>
      </c>
      <c r="J435" t="s">
        <v>1228</v>
      </c>
      <c r="K435" t="s">
        <v>1229</v>
      </c>
      <c r="L435" t="s">
        <v>1751</v>
      </c>
      <c r="M435">
        <v>28</v>
      </c>
      <c r="N435" t="str">
        <f>VLOOKUP(M435, CategoryMap!$A$2:$B$100, 2, FALSE)</f>
        <v>Science &amp; Technology</v>
      </c>
      <c r="O435">
        <v>2497065</v>
      </c>
      <c r="P435">
        <v>71407</v>
      </c>
      <c r="Q435">
        <v>4975</v>
      </c>
      <c r="R435" s="3">
        <f t="shared" si="47"/>
        <v>3.0588711146886445E-2</v>
      </c>
      <c r="S435">
        <v>601</v>
      </c>
      <c r="T435" t="str">
        <f t="shared" si="48"/>
        <v>Long</v>
      </c>
    </row>
    <row r="436" spans="1:20" ht="18.75" customHeight="1" x14ac:dyDescent="0.35">
      <c r="A436" t="s">
        <v>1752</v>
      </c>
      <c r="B436" t="s">
        <v>2781</v>
      </c>
      <c r="C436" t="s">
        <v>3218</v>
      </c>
      <c r="D436" s="2" t="s">
        <v>1753</v>
      </c>
      <c r="E436" s="2">
        <f t="shared" si="43"/>
        <v>45827</v>
      </c>
      <c r="F436" s="4">
        <f t="shared" si="44"/>
        <v>2025</v>
      </c>
      <c r="G436" t="str">
        <f t="shared" si="45"/>
        <v>June</v>
      </c>
      <c r="H436" t="str">
        <f t="shared" si="46"/>
        <v>2025-06</v>
      </c>
      <c r="I436" s="4">
        <f t="shared" ca="1" si="42"/>
        <v>97</v>
      </c>
      <c r="J436" t="s">
        <v>553</v>
      </c>
      <c r="K436" t="s">
        <v>554</v>
      </c>
      <c r="L436" t="s">
        <v>29</v>
      </c>
      <c r="M436">
        <v>28</v>
      </c>
      <c r="N436" t="str">
        <f>VLOOKUP(M436, CategoryMap!$A$2:$B$100, 2, FALSE)</f>
        <v>Science &amp; Technology</v>
      </c>
      <c r="O436">
        <v>25532</v>
      </c>
      <c r="P436">
        <v>210</v>
      </c>
      <c r="Q436">
        <v>0</v>
      </c>
      <c r="R436" s="3">
        <f t="shared" si="47"/>
        <v>8.2249725834247223E-3</v>
      </c>
      <c r="S436">
        <v>32</v>
      </c>
      <c r="T436" t="str">
        <f t="shared" si="48"/>
        <v>Short</v>
      </c>
    </row>
    <row r="437" spans="1:20" ht="18.75" customHeight="1" x14ac:dyDescent="0.35">
      <c r="A437" t="s">
        <v>1754</v>
      </c>
      <c r="B437" t="s">
        <v>2782</v>
      </c>
      <c r="C437" t="s">
        <v>3219</v>
      </c>
      <c r="D437" s="2" t="s">
        <v>1755</v>
      </c>
      <c r="E437" s="2">
        <f t="shared" si="43"/>
        <v>45827</v>
      </c>
      <c r="F437" s="4">
        <f t="shared" si="44"/>
        <v>2025</v>
      </c>
      <c r="G437" t="str">
        <f t="shared" si="45"/>
        <v>June</v>
      </c>
      <c r="H437" t="str">
        <f t="shared" si="46"/>
        <v>2025-06</v>
      </c>
      <c r="I437" s="4">
        <f t="shared" ca="1" si="42"/>
        <v>97</v>
      </c>
      <c r="J437" t="s">
        <v>1756</v>
      </c>
      <c r="K437" t="s">
        <v>1757</v>
      </c>
      <c r="L437" t="s">
        <v>1758</v>
      </c>
      <c r="M437">
        <v>17</v>
      </c>
      <c r="N437" t="str">
        <f>VLOOKUP(M437, CategoryMap!$A$2:$B$100, 2, FALSE)</f>
        <v>Sports</v>
      </c>
      <c r="O437">
        <v>21675</v>
      </c>
      <c r="P437">
        <v>589</v>
      </c>
      <c r="Q437">
        <v>50</v>
      </c>
      <c r="R437" s="3">
        <f t="shared" si="47"/>
        <v>2.9480968858131489E-2</v>
      </c>
      <c r="S437">
        <v>720</v>
      </c>
      <c r="T437" t="str">
        <f t="shared" si="48"/>
        <v>Long</v>
      </c>
    </row>
    <row r="438" spans="1:20" ht="18.75" customHeight="1" x14ac:dyDescent="0.35">
      <c r="A438" t="s">
        <v>1759</v>
      </c>
      <c r="B438" t="s">
        <v>2783</v>
      </c>
      <c r="C438" t="s">
        <v>3220</v>
      </c>
      <c r="D438" s="2" t="s">
        <v>1760</v>
      </c>
      <c r="E438" s="2">
        <f t="shared" si="43"/>
        <v>45581</v>
      </c>
      <c r="F438" s="4">
        <f t="shared" si="44"/>
        <v>2024</v>
      </c>
      <c r="G438" t="str">
        <f t="shared" si="45"/>
        <v>October</v>
      </c>
      <c r="H438" t="str">
        <f t="shared" si="46"/>
        <v>2024-10</v>
      </c>
      <c r="I438" s="4">
        <f t="shared" ca="1" si="42"/>
        <v>343</v>
      </c>
      <c r="J438" t="s">
        <v>1761</v>
      </c>
      <c r="K438" t="s">
        <v>1762</v>
      </c>
      <c r="L438" t="s">
        <v>1763</v>
      </c>
      <c r="M438">
        <v>27</v>
      </c>
      <c r="N438" t="str">
        <f>VLOOKUP(M438, CategoryMap!$A$2:$B$100, 2, FALSE)</f>
        <v>Education</v>
      </c>
      <c r="O438">
        <v>740105</v>
      </c>
      <c r="P438">
        <v>5436</v>
      </c>
      <c r="Q438">
        <v>75</v>
      </c>
      <c r="R438" s="3">
        <f t="shared" si="47"/>
        <v>7.4462407361117677E-3</v>
      </c>
      <c r="S438">
        <v>584</v>
      </c>
      <c r="T438" t="str">
        <f t="shared" si="48"/>
        <v>Long</v>
      </c>
    </row>
    <row r="439" spans="1:20" ht="18.75" customHeight="1" x14ac:dyDescent="0.35">
      <c r="A439" t="s">
        <v>1764</v>
      </c>
      <c r="B439" t="s">
        <v>2784</v>
      </c>
      <c r="C439" t="s">
        <v>11</v>
      </c>
      <c r="D439" s="2" t="s">
        <v>1765</v>
      </c>
      <c r="E439" s="2">
        <f t="shared" si="43"/>
        <v>45828</v>
      </c>
      <c r="F439" s="4">
        <f t="shared" si="44"/>
        <v>2025</v>
      </c>
      <c r="G439" t="str">
        <f t="shared" si="45"/>
        <v>June</v>
      </c>
      <c r="H439" t="str">
        <f t="shared" si="46"/>
        <v>2025-06</v>
      </c>
      <c r="I439" s="4">
        <f t="shared" ca="1" si="42"/>
        <v>96</v>
      </c>
      <c r="J439" t="s">
        <v>1766</v>
      </c>
      <c r="K439" t="s">
        <v>1767</v>
      </c>
      <c r="L439" t="s">
        <v>29</v>
      </c>
      <c r="M439">
        <v>28</v>
      </c>
      <c r="N439" t="str">
        <f>VLOOKUP(M439, CategoryMap!$A$2:$B$100, 2, FALSE)</f>
        <v>Science &amp; Technology</v>
      </c>
      <c r="O439">
        <v>17669</v>
      </c>
      <c r="P439">
        <v>807</v>
      </c>
      <c r="Q439">
        <v>16</v>
      </c>
      <c r="R439" s="3">
        <f t="shared" si="47"/>
        <v>4.6578753749504785E-2</v>
      </c>
      <c r="S439">
        <v>51</v>
      </c>
      <c r="T439" t="str">
        <f t="shared" si="48"/>
        <v>Short</v>
      </c>
    </row>
    <row r="440" spans="1:20" ht="18.75" customHeight="1" x14ac:dyDescent="0.35">
      <c r="A440" t="s">
        <v>1768</v>
      </c>
      <c r="B440" t="s">
        <v>2785</v>
      </c>
      <c r="C440" t="s">
        <v>11</v>
      </c>
      <c r="D440" s="2" t="s">
        <v>1769</v>
      </c>
      <c r="E440" s="2">
        <f t="shared" si="43"/>
        <v>45794</v>
      </c>
      <c r="F440" s="4">
        <f t="shared" si="44"/>
        <v>2025</v>
      </c>
      <c r="G440" t="str">
        <f t="shared" si="45"/>
        <v>May</v>
      </c>
      <c r="H440" t="str">
        <f t="shared" si="46"/>
        <v>2025-05</v>
      </c>
      <c r="I440" s="4">
        <f t="shared" ca="1" si="42"/>
        <v>130</v>
      </c>
      <c r="J440" t="s">
        <v>1770</v>
      </c>
      <c r="K440" t="s">
        <v>1771</v>
      </c>
      <c r="L440" t="s">
        <v>29</v>
      </c>
      <c r="M440">
        <v>27</v>
      </c>
      <c r="N440" t="str">
        <f>VLOOKUP(M440, CategoryMap!$A$2:$B$100, 2, FALSE)</f>
        <v>Education</v>
      </c>
      <c r="O440">
        <v>2578</v>
      </c>
      <c r="P440">
        <v>34</v>
      </c>
      <c r="Q440">
        <v>6</v>
      </c>
      <c r="R440" s="3">
        <f t="shared" si="47"/>
        <v>1.5515903801396431E-2</v>
      </c>
      <c r="S440">
        <v>30</v>
      </c>
      <c r="T440" t="str">
        <f t="shared" si="48"/>
        <v>Short</v>
      </c>
    </row>
    <row r="441" spans="1:20" ht="18.75" customHeight="1" x14ac:dyDescent="0.35">
      <c r="A441" t="s">
        <v>1772</v>
      </c>
      <c r="B441" t="s">
        <v>2786</v>
      </c>
      <c r="C441" t="s">
        <v>11</v>
      </c>
      <c r="D441" s="2" t="s">
        <v>1773</v>
      </c>
      <c r="E441" s="2">
        <f t="shared" si="43"/>
        <v>45814</v>
      </c>
      <c r="F441" s="4">
        <f t="shared" si="44"/>
        <v>2025</v>
      </c>
      <c r="G441" t="str">
        <f t="shared" si="45"/>
        <v>June</v>
      </c>
      <c r="H441" t="str">
        <f t="shared" si="46"/>
        <v>2025-06</v>
      </c>
      <c r="I441" s="4">
        <f t="shared" ca="1" si="42"/>
        <v>110</v>
      </c>
      <c r="J441" t="s">
        <v>1774</v>
      </c>
      <c r="K441" t="s">
        <v>1775</v>
      </c>
      <c r="L441" t="s">
        <v>29</v>
      </c>
      <c r="M441">
        <v>28</v>
      </c>
      <c r="N441" t="str">
        <f>VLOOKUP(M441, CategoryMap!$A$2:$B$100, 2, FALSE)</f>
        <v>Science &amp; Technology</v>
      </c>
      <c r="O441">
        <v>24131</v>
      </c>
      <c r="P441">
        <v>75</v>
      </c>
      <c r="Q441">
        <v>0</v>
      </c>
      <c r="R441" s="3">
        <f t="shared" si="47"/>
        <v>3.1080353072810906E-3</v>
      </c>
      <c r="S441">
        <v>15</v>
      </c>
      <c r="T441" t="str">
        <f t="shared" si="48"/>
        <v>Short</v>
      </c>
    </row>
    <row r="442" spans="1:20" ht="18.75" customHeight="1" x14ac:dyDescent="0.35">
      <c r="A442" t="s">
        <v>1776</v>
      </c>
      <c r="B442" t="s">
        <v>2787</v>
      </c>
      <c r="C442" t="s">
        <v>11</v>
      </c>
      <c r="D442" s="2" t="s">
        <v>1777</v>
      </c>
      <c r="E442" s="2">
        <f t="shared" si="43"/>
        <v>45822</v>
      </c>
      <c r="F442" s="4">
        <f t="shared" si="44"/>
        <v>2025</v>
      </c>
      <c r="G442" t="str">
        <f t="shared" si="45"/>
        <v>June</v>
      </c>
      <c r="H442" t="str">
        <f t="shared" si="46"/>
        <v>2025-06</v>
      </c>
      <c r="I442" s="4">
        <f t="shared" ca="1" si="42"/>
        <v>102</v>
      </c>
      <c r="J442" t="s">
        <v>1778</v>
      </c>
      <c r="K442" t="s">
        <v>1779</v>
      </c>
      <c r="L442" t="s">
        <v>29</v>
      </c>
      <c r="M442">
        <v>22</v>
      </c>
      <c r="N442" t="str">
        <f>VLOOKUP(M442, CategoryMap!$A$2:$B$100, 2, FALSE)</f>
        <v>People &amp; Blogs</v>
      </c>
      <c r="O442">
        <v>965938</v>
      </c>
      <c r="P442">
        <v>3908</v>
      </c>
      <c r="Q442">
        <v>6</v>
      </c>
      <c r="R442" s="3">
        <f t="shared" si="47"/>
        <v>4.0520199018984652E-3</v>
      </c>
      <c r="S442">
        <v>16</v>
      </c>
      <c r="T442" t="str">
        <f t="shared" si="48"/>
        <v>Short</v>
      </c>
    </row>
    <row r="443" spans="1:20" ht="18.75" customHeight="1" x14ac:dyDescent="0.35">
      <c r="A443" t="s">
        <v>1780</v>
      </c>
      <c r="B443" t="s">
        <v>2788</v>
      </c>
      <c r="C443" t="s">
        <v>3221</v>
      </c>
      <c r="D443" s="2" t="s">
        <v>1781</v>
      </c>
      <c r="E443" s="2">
        <f t="shared" si="43"/>
        <v>44468</v>
      </c>
      <c r="F443" s="4">
        <f t="shared" si="44"/>
        <v>2021</v>
      </c>
      <c r="G443" t="str">
        <f t="shared" si="45"/>
        <v>September</v>
      </c>
      <c r="H443" t="str">
        <f t="shared" si="46"/>
        <v>2021-09</v>
      </c>
      <c r="I443" s="4">
        <f t="shared" ca="1" si="42"/>
        <v>1456</v>
      </c>
      <c r="J443" t="s">
        <v>1782</v>
      </c>
      <c r="K443" t="s">
        <v>1783</v>
      </c>
      <c r="L443" t="s">
        <v>1784</v>
      </c>
      <c r="M443">
        <v>24</v>
      </c>
      <c r="N443" t="str">
        <f>VLOOKUP(M443, CategoryMap!$A$2:$B$100, 2, FALSE)</f>
        <v>Entertainment</v>
      </c>
      <c r="O443">
        <v>89671065</v>
      </c>
      <c r="P443">
        <v>346478</v>
      </c>
      <c r="Q443">
        <v>2389</v>
      </c>
      <c r="R443" s="3">
        <f t="shared" si="47"/>
        <v>3.8905191992534048E-3</v>
      </c>
      <c r="S443">
        <v>584</v>
      </c>
      <c r="T443" t="str">
        <f t="shared" si="48"/>
        <v>Long</v>
      </c>
    </row>
    <row r="444" spans="1:20" ht="18.75" customHeight="1" x14ac:dyDescent="0.35">
      <c r="A444" t="s">
        <v>1785</v>
      </c>
      <c r="B444" t="s">
        <v>2789</v>
      </c>
      <c r="C444" t="s">
        <v>3222</v>
      </c>
      <c r="D444" s="2" t="s">
        <v>1786</v>
      </c>
      <c r="E444" s="2">
        <f t="shared" si="43"/>
        <v>45822</v>
      </c>
      <c r="F444" s="4">
        <f t="shared" si="44"/>
        <v>2025</v>
      </c>
      <c r="G444" t="str">
        <f t="shared" si="45"/>
        <v>June</v>
      </c>
      <c r="H444" t="str">
        <f t="shared" si="46"/>
        <v>2025-06</v>
      </c>
      <c r="I444" s="4">
        <f t="shared" ca="1" si="42"/>
        <v>102</v>
      </c>
      <c r="J444" t="s">
        <v>1787</v>
      </c>
      <c r="K444" t="s">
        <v>1788</v>
      </c>
      <c r="L444" t="s">
        <v>1789</v>
      </c>
      <c r="M444">
        <v>2</v>
      </c>
      <c r="N444" t="str">
        <f>VLOOKUP(M444, CategoryMap!$A$2:$B$100, 2, FALSE)</f>
        <v>Autos &amp; Vehicles</v>
      </c>
      <c r="O444">
        <v>57369</v>
      </c>
      <c r="P444">
        <v>934</v>
      </c>
      <c r="Q444">
        <v>137</v>
      </c>
      <c r="R444" s="3">
        <f t="shared" si="47"/>
        <v>1.8668618940542801E-2</v>
      </c>
      <c r="S444">
        <v>501</v>
      </c>
      <c r="T444" t="str">
        <f t="shared" si="48"/>
        <v>Long</v>
      </c>
    </row>
    <row r="445" spans="1:20" ht="18.75" customHeight="1" x14ac:dyDescent="0.35">
      <c r="A445" t="s">
        <v>1790</v>
      </c>
      <c r="B445" t="s">
        <v>2790</v>
      </c>
      <c r="C445" t="s">
        <v>3223</v>
      </c>
      <c r="D445" s="2" t="s">
        <v>1791</v>
      </c>
      <c r="E445" s="2">
        <f t="shared" si="43"/>
        <v>45735</v>
      </c>
      <c r="F445" s="4">
        <f t="shared" si="44"/>
        <v>2025</v>
      </c>
      <c r="G445" t="str">
        <f t="shared" si="45"/>
        <v>March</v>
      </c>
      <c r="H445" t="str">
        <f t="shared" si="46"/>
        <v>2025-03</v>
      </c>
      <c r="I445" s="4">
        <f t="shared" ca="1" si="42"/>
        <v>189</v>
      </c>
      <c r="J445" t="s">
        <v>1251</v>
      </c>
      <c r="K445" t="s">
        <v>1252</v>
      </c>
      <c r="L445" t="s">
        <v>1792</v>
      </c>
      <c r="M445">
        <v>27</v>
      </c>
      <c r="N445" t="str">
        <f>VLOOKUP(M445, CategoryMap!$A$2:$B$100, 2, FALSE)</f>
        <v>Education</v>
      </c>
      <c r="O445">
        <v>314050</v>
      </c>
      <c r="P445">
        <v>14447</v>
      </c>
      <c r="Q445">
        <v>995</v>
      </c>
      <c r="R445" s="3">
        <f t="shared" si="47"/>
        <v>4.9170514249323359E-2</v>
      </c>
      <c r="S445">
        <v>1467</v>
      </c>
      <c r="T445" t="str">
        <f t="shared" si="48"/>
        <v>Long</v>
      </c>
    </row>
    <row r="446" spans="1:20" ht="18.75" customHeight="1" x14ac:dyDescent="0.35">
      <c r="A446" t="s">
        <v>1793</v>
      </c>
      <c r="B446" t="s">
        <v>2791</v>
      </c>
      <c r="C446" t="s">
        <v>11</v>
      </c>
      <c r="D446" s="2" t="s">
        <v>1794</v>
      </c>
      <c r="E446" s="2">
        <f t="shared" si="43"/>
        <v>45776</v>
      </c>
      <c r="F446" s="4">
        <f t="shared" si="44"/>
        <v>2025</v>
      </c>
      <c r="G446" t="str">
        <f t="shared" si="45"/>
        <v>April</v>
      </c>
      <c r="H446" t="str">
        <f t="shared" si="46"/>
        <v>2025-04</v>
      </c>
      <c r="I446" s="4">
        <f t="shared" ca="1" si="42"/>
        <v>148</v>
      </c>
      <c r="J446" t="s">
        <v>1795</v>
      </c>
      <c r="K446" t="s">
        <v>1796</v>
      </c>
      <c r="L446" t="s">
        <v>29</v>
      </c>
      <c r="M446">
        <v>22</v>
      </c>
      <c r="N446" t="str">
        <f>VLOOKUP(M446, CategoryMap!$A$2:$B$100, 2, FALSE)</f>
        <v>People &amp; Blogs</v>
      </c>
      <c r="O446">
        <v>6329</v>
      </c>
      <c r="P446">
        <v>60</v>
      </c>
      <c r="Q446">
        <v>0</v>
      </c>
      <c r="R446" s="3">
        <f t="shared" si="47"/>
        <v>9.4801706430715747E-3</v>
      </c>
      <c r="S446">
        <v>28</v>
      </c>
      <c r="T446" t="str">
        <f t="shared" si="48"/>
        <v>Short</v>
      </c>
    </row>
    <row r="447" spans="1:20" ht="18.75" customHeight="1" x14ac:dyDescent="0.35">
      <c r="A447" t="s">
        <v>1797</v>
      </c>
      <c r="B447" t="s">
        <v>2792</v>
      </c>
      <c r="C447" t="s">
        <v>3224</v>
      </c>
      <c r="D447" s="2" t="s">
        <v>1798</v>
      </c>
      <c r="E447" s="2">
        <f t="shared" si="43"/>
        <v>45460</v>
      </c>
      <c r="F447" s="4">
        <f t="shared" si="44"/>
        <v>2024</v>
      </c>
      <c r="G447" t="str">
        <f t="shared" si="45"/>
        <v>June</v>
      </c>
      <c r="H447" t="str">
        <f t="shared" si="46"/>
        <v>2024-06</v>
      </c>
      <c r="I447" s="4">
        <f t="shared" ca="1" si="42"/>
        <v>464</v>
      </c>
      <c r="J447" t="s">
        <v>824</v>
      </c>
      <c r="K447" t="s">
        <v>825</v>
      </c>
      <c r="L447" t="s">
        <v>1799</v>
      </c>
      <c r="M447">
        <v>28</v>
      </c>
      <c r="N447" t="str">
        <f>VLOOKUP(M447, CategoryMap!$A$2:$B$100, 2, FALSE)</f>
        <v>Science &amp; Technology</v>
      </c>
      <c r="O447">
        <v>1004863</v>
      </c>
      <c r="P447">
        <v>4775</v>
      </c>
      <c r="Q447">
        <v>132</v>
      </c>
      <c r="R447" s="3">
        <f t="shared" si="47"/>
        <v>4.8832527419160618E-3</v>
      </c>
      <c r="S447">
        <v>988</v>
      </c>
      <c r="T447" t="str">
        <f t="shared" si="48"/>
        <v>Long</v>
      </c>
    </row>
    <row r="448" spans="1:20" ht="18.75" customHeight="1" x14ac:dyDescent="0.35">
      <c r="A448" t="s">
        <v>1800</v>
      </c>
      <c r="B448" t="s">
        <v>2793</v>
      </c>
      <c r="C448" t="s">
        <v>3225</v>
      </c>
      <c r="D448" s="2" t="s">
        <v>1801</v>
      </c>
      <c r="E448" s="2">
        <f t="shared" si="43"/>
        <v>45541</v>
      </c>
      <c r="F448" s="4">
        <f t="shared" si="44"/>
        <v>2024</v>
      </c>
      <c r="G448" t="str">
        <f t="shared" si="45"/>
        <v>September</v>
      </c>
      <c r="H448" t="str">
        <f t="shared" si="46"/>
        <v>2024-09</v>
      </c>
      <c r="I448" s="4">
        <f t="shared" ca="1" si="42"/>
        <v>383</v>
      </c>
      <c r="J448" t="s">
        <v>1802</v>
      </c>
      <c r="K448" t="s">
        <v>1803</v>
      </c>
      <c r="L448" t="s">
        <v>1804</v>
      </c>
      <c r="M448">
        <v>28</v>
      </c>
      <c r="N448" t="str">
        <f>VLOOKUP(M448, CategoryMap!$A$2:$B$100, 2, FALSE)</f>
        <v>Science &amp; Technology</v>
      </c>
      <c r="O448">
        <v>606613</v>
      </c>
      <c r="P448">
        <v>217464.60837887001</v>
      </c>
      <c r="Q448">
        <v>91</v>
      </c>
      <c r="R448" s="3">
        <f t="shared" si="47"/>
        <v>0.35863987151424387</v>
      </c>
      <c r="S448">
        <v>43</v>
      </c>
      <c r="T448" t="str">
        <f t="shared" si="48"/>
        <v>Short</v>
      </c>
    </row>
    <row r="449" spans="1:20" ht="18.75" customHeight="1" x14ac:dyDescent="0.35">
      <c r="A449" t="s">
        <v>1805</v>
      </c>
      <c r="B449" t="s">
        <v>2794</v>
      </c>
      <c r="C449" t="s">
        <v>3226</v>
      </c>
      <c r="D449" s="2" t="s">
        <v>1806</v>
      </c>
      <c r="E449" s="2">
        <f t="shared" si="43"/>
        <v>45668</v>
      </c>
      <c r="F449" s="4">
        <f t="shared" si="44"/>
        <v>2025</v>
      </c>
      <c r="G449" t="str">
        <f t="shared" si="45"/>
        <v>January</v>
      </c>
      <c r="H449" t="str">
        <f t="shared" si="46"/>
        <v>2025-01</v>
      </c>
      <c r="I449" s="4">
        <f t="shared" ca="1" si="42"/>
        <v>256</v>
      </c>
      <c r="J449" t="s">
        <v>1807</v>
      </c>
      <c r="K449" t="s">
        <v>1808</v>
      </c>
      <c r="L449" t="s">
        <v>1809</v>
      </c>
      <c r="M449">
        <v>28</v>
      </c>
      <c r="N449" t="str">
        <f>VLOOKUP(M449, CategoryMap!$A$2:$B$100, 2, FALSE)</f>
        <v>Science &amp; Technology</v>
      </c>
      <c r="O449">
        <v>1611198</v>
      </c>
      <c r="P449">
        <v>16351</v>
      </c>
      <c r="Q449">
        <v>734</v>
      </c>
      <c r="R449" s="3">
        <f t="shared" si="47"/>
        <v>1.0603910878737436E-2</v>
      </c>
      <c r="S449">
        <v>978</v>
      </c>
      <c r="T449" t="str">
        <f t="shared" si="48"/>
        <v>Long</v>
      </c>
    </row>
    <row r="450" spans="1:20" ht="18.75" customHeight="1" x14ac:dyDescent="0.35">
      <c r="A450" t="s">
        <v>1810</v>
      </c>
      <c r="B450" t="s">
        <v>2795</v>
      </c>
      <c r="C450" t="s">
        <v>3227</v>
      </c>
      <c r="D450" s="2" t="s">
        <v>1811</v>
      </c>
      <c r="E450" s="2">
        <f t="shared" si="43"/>
        <v>45722</v>
      </c>
      <c r="F450" s="4">
        <f t="shared" si="44"/>
        <v>2025</v>
      </c>
      <c r="G450" t="str">
        <f t="shared" si="45"/>
        <v>March</v>
      </c>
      <c r="H450" t="str">
        <f t="shared" si="46"/>
        <v>2025-03</v>
      </c>
      <c r="I450" s="4">
        <f t="shared" ref="I450:I513" ca="1" si="49">TODAY() - DATEVALUE(LEFT(D450,10))</f>
        <v>202</v>
      </c>
      <c r="J450" t="s">
        <v>1287</v>
      </c>
      <c r="K450" t="s">
        <v>1288</v>
      </c>
      <c r="L450" t="s">
        <v>1812</v>
      </c>
      <c r="M450">
        <v>28</v>
      </c>
      <c r="N450" t="str">
        <f>VLOOKUP(M450, CategoryMap!$A$2:$B$100, 2, FALSE)</f>
        <v>Science &amp; Technology</v>
      </c>
      <c r="O450">
        <v>2743296</v>
      </c>
      <c r="P450">
        <v>85534</v>
      </c>
      <c r="Q450">
        <v>5806</v>
      </c>
      <c r="R450" s="3">
        <f t="shared" si="47"/>
        <v>3.329571435237029E-2</v>
      </c>
      <c r="S450">
        <v>1353</v>
      </c>
      <c r="T450" t="str">
        <f t="shared" si="48"/>
        <v>Long</v>
      </c>
    </row>
    <row r="451" spans="1:20" ht="18.75" customHeight="1" x14ac:dyDescent="0.35">
      <c r="A451" t="s">
        <v>1813</v>
      </c>
      <c r="B451" t="s">
        <v>2796</v>
      </c>
      <c r="C451" t="s">
        <v>3228</v>
      </c>
      <c r="D451" s="2" t="s">
        <v>1814</v>
      </c>
      <c r="E451" s="2">
        <f t="shared" ref="E451:E514" si="50">DATEVALUE(LEFT(D451,10))</f>
        <v>45607</v>
      </c>
      <c r="F451" s="4">
        <f t="shared" ref="F451:F514" si="51">YEAR(E451)</f>
        <v>2024</v>
      </c>
      <c r="G451" t="str">
        <f t="shared" ref="G451:G514" si="52">TEXT(E451,"MMMM")</f>
        <v>November</v>
      </c>
      <c r="H451" t="str">
        <f t="shared" ref="H451:H514" si="53">TEXT(E451,"YYYY-MM")</f>
        <v>2024-11</v>
      </c>
      <c r="I451" s="4">
        <f t="shared" ca="1" si="49"/>
        <v>317</v>
      </c>
      <c r="J451" t="s">
        <v>1815</v>
      </c>
      <c r="K451" t="s">
        <v>1816</v>
      </c>
      <c r="L451" t="s">
        <v>1817</v>
      </c>
      <c r="M451">
        <v>26</v>
      </c>
      <c r="N451" t="str">
        <f>VLOOKUP(M451, CategoryMap!$A$2:$B$100, 2, FALSE)</f>
        <v>Howto &amp; Style</v>
      </c>
      <c r="O451">
        <v>1279779</v>
      </c>
      <c r="P451">
        <v>4011</v>
      </c>
      <c r="Q451">
        <v>59</v>
      </c>
      <c r="R451" s="3">
        <f t="shared" ref="R451:R514" si="54">IF(O451=0, 0, (P451 + Q451) / O451)</f>
        <v>3.1802365877233491E-3</v>
      </c>
      <c r="S451">
        <v>2080</v>
      </c>
      <c r="T451" t="str">
        <f t="shared" ref="T451:T514" si="55">IF(S451&lt;=60, "Short", "Long")</f>
        <v>Long</v>
      </c>
    </row>
    <row r="452" spans="1:20" ht="18.75" customHeight="1" x14ac:dyDescent="0.35">
      <c r="A452" t="s">
        <v>1818</v>
      </c>
      <c r="B452" t="s">
        <v>2797</v>
      </c>
      <c r="C452" t="s">
        <v>3229</v>
      </c>
      <c r="D452" s="2" t="s">
        <v>1819</v>
      </c>
      <c r="E452" s="2">
        <f t="shared" si="50"/>
        <v>45686</v>
      </c>
      <c r="F452" s="4">
        <f t="shared" si="51"/>
        <v>2025</v>
      </c>
      <c r="G452" t="str">
        <f t="shared" si="52"/>
        <v>January</v>
      </c>
      <c r="H452" t="str">
        <f t="shared" si="53"/>
        <v>2025-01</v>
      </c>
      <c r="I452" s="4">
        <f t="shared" ca="1" si="49"/>
        <v>238</v>
      </c>
      <c r="J452" t="s">
        <v>134</v>
      </c>
      <c r="K452" t="s">
        <v>135</v>
      </c>
      <c r="L452" t="s">
        <v>136</v>
      </c>
      <c r="M452">
        <v>28</v>
      </c>
      <c r="N452" t="str">
        <f>VLOOKUP(M452, CategoryMap!$A$2:$B$100, 2, FALSE)</f>
        <v>Science &amp; Technology</v>
      </c>
      <c r="O452">
        <v>2426877</v>
      </c>
      <c r="P452">
        <v>92609</v>
      </c>
      <c r="Q452">
        <v>8925</v>
      </c>
      <c r="R452" s="3">
        <f t="shared" si="54"/>
        <v>4.1837307782800696E-2</v>
      </c>
      <c r="S452">
        <v>291</v>
      </c>
      <c r="T452" t="str">
        <f t="shared" si="55"/>
        <v>Long</v>
      </c>
    </row>
    <row r="453" spans="1:20" ht="18.75" customHeight="1" x14ac:dyDescent="0.35">
      <c r="A453" t="s">
        <v>1820</v>
      </c>
      <c r="B453" t="s">
        <v>2798</v>
      </c>
      <c r="C453" t="s">
        <v>3230</v>
      </c>
      <c r="D453" s="2" t="s">
        <v>1821</v>
      </c>
      <c r="E453" s="2">
        <f t="shared" si="50"/>
        <v>45433</v>
      </c>
      <c r="F453" s="4">
        <f t="shared" si="51"/>
        <v>2024</v>
      </c>
      <c r="G453" t="str">
        <f t="shared" si="52"/>
        <v>May</v>
      </c>
      <c r="H453" t="str">
        <f t="shared" si="53"/>
        <v>2024-05</v>
      </c>
      <c r="I453" s="4">
        <f t="shared" ca="1" si="49"/>
        <v>491</v>
      </c>
      <c r="J453" t="s">
        <v>1822</v>
      </c>
      <c r="K453" t="s">
        <v>1823</v>
      </c>
      <c r="L453" t="s">
        <v>1824</v>
      </c>
      <c r="M453">
        <v>28</v>
      </c>
      <c r="N453" t="str">
        <f>VLOOKUP(M453, CategoryMap!$A$2:$B$100, 2, FALSE)</f>
        <v>Science &amp; Technology</v>
      </c>
      <c r="O453">
        <v>2093102</v>
      </c>
      <c r="P453">
        <v>15284</v>
      </c>
      <c r="Q453">
        <v>415</v>
      </c>
      <c r="R453" s="3">
        <f t="shared" si="54"/>
        <v>7.5003511534554937E-3</v>
      </c>
      <c r="S453">
        <v>2716</v>
      </c>
      <c r="T453" t="str">
        <f t="shared" si="55"/>
        <v>Long</v>
      </c>
    </row>
    <row r="454" spans="1:20" ht="18.75" customHeight="1" x14ac:dyDescent="0.35">
      <c r="A454" t="s">
        <v>1825</v>
      </c>
      <c r="B454" t="s">
        <v>2799</v>
      </c>
      <c r="C454" t="s">
        <v>3231</v>
      </c>
      <c r="D454" s="2" t="s">
        <v>1826</v>
      </c>
      <c r="E454" s="2">
        <f t="shared" si="50"/>
        <v>45802</v>
      </c>
      <c r="F454" s="4">
        <f t="shared" si="51"/>
        <v>2025</v>
      </c>
      <c r="G454" t="str">
        <f t="shared" si="52"/>
        <v>May</v>
      </c>
      <c r="H454" t="str">
        <f t="shared" si="53"/>
        <v>2025-05</v>
      </c>
      <c r="I454" s="4">
        <f t="shared" ca="1" si="49"/>
        <v>122</v>
      </c>
      <c r="J454" t="s">
        <v>1827</v>
      </c>
      <c r="K454" t="s">
        <v>1828</v>
      </c>
      <c r="L454" t="s">
        <v>1829</v>
      </c>
      <c r="M454">
        <v>28</v>
      </c>
      <c r="N454" t="str">
        <f>VLOOKUP(M454, CategoryMap!$A$2:$B$100, 2, FALSE)</f>
        <v>Science &amp; Technology</v>
      </c>
      <c r="O454">
        <v>14863</v>
      </c>
      <c r="P454">
        <v>468</v>
      </c>
      <c r="Q454">
        <v>0</v>
      </c>
      <c r="R454" s="3">
        <f t="shared" si="54"/>
        <v>3.1487586624503801E-2</v>
      </c>
      <c r="S454">
        <v>35</v>
      </c>
      <c r="T454" t="str">
        <f t="shared" si="55"/>
        <v>Short</v>
      </c>
    </row>
    <row r="455" spans="1:20" ht="18.75" customHeight="1" x14ac:dyDescent="0.35">
      <c r="A455" t="s">
        <v>1830</v>
      </c>
      <c r="B455" t="s">
        <v>2800</v>
      </c>
      <c r="C455" t="s">
        <v>3232</v>
      </c>
      <c r="D455" s="2" t="s">
        <v>1831</v>
      </c>
      <c r="E455" s="2">
        <f t="shared" si="50"/>
        <v>45442</v>
      </c>
      <c r="F455" s="4">
        <f t="shared" si="51"/>
        <v>2024</v>
      </c>
      <c r="G455" t="str">
        <f t="shared" si="52"/>
        <v>May</v>
      </c>
      <c r="H455" t="str">
        <f t="shared" si="53"/>
        <v>2024-05</v>
      </c>
      <c r="I455" s="4">
        <f t="shared" ca="1" si="49"/>
        <v>482</v>
      </c>
      <c r="J455" t="s">
        <v>13</v>
      </c>
      <c r="K455" t="s">
        <v>14</v>
      </c>
      <c r="L455" t="s">
        <v>1832</v>
      </c>
      <c r="M455">
        <v>28</v>
      </c>
      <c r="N455" t="str">
        <f>VLOOKUP(M455, CategoryMap!$A$2:$B$100, 2, FALSE)</f>
        <v>Science &amp; Technology</v>
      </c>
      <c r="O455">
        <v>11527942</v>
      </c>
      <c r="P455">
        <v>260879</v>
      </c>
      <c r="Q455">
        <v>8362</v>
      </c>
      <c r="R455" s="3">
        <f t="shared" si="54"/>
        <v>2.3355513065558449E-2</v>
      </c>
      <c r="S455">
        <v>1701</v>
      </c>
      <c r="T455" t="str">
        <f t="shared" si="55"/>
        <v>Long</v>
      </c>
    </row>
    <row r="456" spans="1:20" ht="18.75" customHeight="1" x14ac:dyDescent="0.35">
      <c r="A456" t="s">
        <v>1833</v>
      </c>
      <c r="B456" t="s">
        <v>2801</v>
      </c>
      <c r="C456" t="s">
        <v>3233</v>
      </c>
      <c r="D456" s="2" t="s">
        <v>1834</v>
      </c>
      <c r="E456" s="2">
        <f t="shared" si="50"/>
        <v>45412</v>
      </c>
      <c r="F456" s="4">
        <f t="shared" si="51"/>
        <v>2024</v>
      </c>
      <c r="G456" t="str">
        <f t="shared" si="52"/>
        <v>April</v>
      </c>
      <c r="H456" t="str">
        <f t="shared" si="53"/>
        <v>2024-04</v>
      </c>
      <c r="I456" s="4">
        <f t="shared" ca="1" si="49"/>
        <v>512</v>
      </c>
      <c r="J456" t="s">
        <v>954</v>
      </c>
      <c r="K456" t="s">
        <v>955</v>
      </c>
      <c r="L456" t="s">
        <v>29</v>
      </c>
      <c r="M456">
        <v>28</v>
      </c>
      <c r="N456" t="str">
        <f>VLOOKUP(M456, CategoryMap!$A$2:$B$100, 2, FALSE)</f>
        <v>Science &amp; Technology</v>
      </c>
      <c r="O456">
        <v>4565343</v>
      </c>
      <c r="P456">
        <v>152565</v>
      </c>
      <c r="Q456">
        <v>122</v>
      </c>
      <c r="R456" s="3">
        <f t="shared" si="54"/>
        <v>3.3444803599641908E-2</v>
      </c>
      <c r="S456">
        <v>41</v>
      </c>
      <c r="T456" t="str">
        <f t="shared" si="55"/>
        <v>Short</v>
      </c>
    </row>
    <row r="457" spans="1:20" ht="18.75" customHeight="1" x14ac:dyDescent="0.35">
      <c r="A457" t="s">
        <v>1835</v>
      </c>
      <c r="B457" t="s">
        <v>2802</v>
      </c>
      <c r="C457" t="s">
        <v>3234</v>
      </c>
      <c r="D457" s="2" t="s">
        <v>1836</v>
      </c>
      <c r="E457" s="2">
        <f t="shared" si="50"/>
        <v>45823</v>
      </c>
      <c r="F457" s="4">
        <f t="shared" si="51"/>
        <v>2025</v>
      </c>
      <c r="G457" t="str">
        <f t="shared" si="52"/>
        <v>June</v>
      </c>
      <c r="H457" t="str">
        <f t="shared" si="53"/>
        <v>2025-06</v>
      </c>
      <c r="I457" s="4">
        <f t="shared" ca="1" si="49"/>
        <v>101</v>
      </c>
      <c r="J457" t="s">
        <v>1837</v>
      </c>
      <c r="K457" t="s">
        <v>1838</v>
      </c>
      <c r="L457" t="s">
        <v>1839</v>
      </c>
      <c r="M457">
        <v>28</v>
      </c>
      <c r="N457" t="str">
        <f>VLOOKUP(M457, CategoryMap!$A$2:$B$100, 2, FALSE)</f>
        <v>Science &amp; Technology</v>
      </c>
      <c r="O457">
        <v>123699</v>
      </c>
      <c r="P457">
        <v>3336</v>
      </c>
      <c r="Q457">
        <v>1435</v>
      </c>
      <c r="R457" s="3">
        <f t="shared" si="54"/>
        <v>3.856943063403908E-2</v>
      </c>
      <c r="S457">
        <v>808</v>
      </c>
      <c r="T457" t="str">
        <f t="shared" si="55"/>
        <v>Long</v>
      </c>
    </row>
    <row r="458" spans="1:20" ht="18.75" customHeight="1" x14ac:dyDescent="0.35">
      <c r="A458" t="s">
        <v>1840</v>
      </c>
      <c r="B458" t="s">
        <v>2803</v>
      </c>
      <c r="C458" t="s">
        <v>3235</v>
      </c>
      <c r="D458" s="2" t="s">
        <v>1841</v>
      </c>
      <c r="E458" s="2">
        <f t="shared" si="50"/>
        <v>45810</v>
      </c>
      <c r="F458" s="4">
        <f t="shared" si="51"/>
        <v>2025</v>
      </c>
      <c r="G458" t="str">
        <f t="shared" si="52"/>
        <v>June</v>
      </c>
      <c r="H458" t="str">
        <f t="shared" si="53"/>
        <v>2025-06</v>
      </c>
      <c r="I458" s="4">
        <f t="shared" ca="1" si="49"/>
        <v>114</v>
      </c>
      <c r="J458" t="s">
        <v>1842</v>
      </c>
      <c r="K458" t="s">
        <v>1843</v>
      </c>
      <c r="L458" t="s">
        <v>1844</v>
      </c>
      <c r="M458">
        <v>27</v>
      </c>
      <c r="N458" t="str">
        <f>VLOOKUP(M458, CategoryMap!$A$2:$B$100, 2, FALSE)</f>
        <v>Education</v>
      </c>
      <c r="O458">
        <v>80139</v>
      </c>
      <c r="P458">
        <v>4690</v>
      </c>
      <c r="Q458">
        <v>274</v>
      </c>
      <c r="R458" s="3">
        <f t="shared" si="54"/>
        <v>6.1942375123223398E-2</v>
      </c>
      <c r="S458">
        <v>967</v>
      </c>
      <c r="T458" t="str">
        <f t="shared" si="55"/>
        <v>Long</v>
      </c>
    </row>
    <row r="459" spans="1:20" ht="18.75" customHeight="1" x14ac:dyDescent="0.35">
      <c r="A459" t="s">
        <v>1845</v>
      </c>
      <c r="B459" t="s">
        <v>2804</v>
      </c>
      <c r="C459" t="s">
        <v>3236</v>
      </c>
      <c r="D459" s="2" t="s">
        <v>1846</v>
      </c>
      <c r="E459" s="2">
        <f t="shared" si="50"/>
        <v>45824</v>
      </c>
      <c r="F459" s="4">
        <f t="shared" si="51"/>
        <v>2025</v>
      </c>
      <c r="G459" t="str">
        <f t="shared" si="52"/>
        <v>June</v>
      </c>
      <c r="H459" t="str">
        <f t="shared" si="53"/>
        <v>2025-06</v>
      </c>
      <c r="I459" s="4">
        <f t="shared" ca="1" si="49"/>
        <v>100</v>
      </c>
      <c r="J459" t="s">
        <v>1847</v>
      </c>
      <c r="K459" t="s">
        <v>1848</v>
      </c>
      <c r="L459" t="s">
        <v>1849</v>
      </c>
      <c r="M459">
        <v>2</v>
      </c>
      <c r="N459" t="str">
        <f>VLOOKUP(M459, CategoryMap!$A$2:$B$100, 2, FALSE)</f>
        <v>Autos &amp; Vehicles</v>
      </c>
      <c r="O459">
        <v>113584</v>
      </c>
      <c r="P459">
        <v>322</v>
      </c>
      <c r="Q459">
        <v>0</v>
      </c>
      <c r="R459" s="3">
        <f t="shared" si="54"/>
        <v>2.8349063248344838E-3</v>
      </c>
      <c r="S459">
        <v>11</v>
      </c>
      <c r="T459" t="str">
        <f t="shared" si="55"/>
        <v>Short</v>
      </c>
    </row>
    <row r="460" spans="1:20" ht="18.75" customHeight="1" x14ac:dyDescent="0.35">
      <c r="A460" t="s">
        <v>1850</v>
      </c>
      <c r="B460" t="s">
        <v>2805</v>
      </c>
      <c r="C460" t="s">
        <v>3237</v>
      </c>
      <c r="D460" s="2" t="s">
        <v>1851</v>
      </c>
      <c r="E460" s="2">
        <f t="shared" si="50"/>
        <v>45797</v>
      </c>
      <c r="F460" s="4">
        <f t="shared" si="51"/>
        <v>2025</v>
      </c>
      <c r="G460" t="str">
        <f t="shared" si="52"/>
        <v>May</v>
      </c>
      <c r="H460" t="str">
        <f t="shared" si="53"/>
        <v>2025-05</v>
      </c>
      <c r="I460" s="4">
        <f t="shared" ca="1" si="49"/>
        <v>127</v>
      </c>
      <c r="J460" t="s">
        <v>1852</v>
      </c>
      <c r="K460" t="s">
        <v>1853</v>
      </c>
      <c r="L460" t="s">
        <v>1854</v>
      </c>
      <c r="M460">
        <v>24</v>
      </c>
      <c r="N460" t="str">
        <f>VLOOKUP(M460, CategoryMap!$A$2:$B$100, 2, FALSE)</f>
        <v>Entertainment</v>
      </c>
      <c r="O460">
        <v>18060554</v>
      </c>
      <c r="P460">
        <v>604517</v>
      </c>
      <c r="Q460">
        <v>1317</v>
      </c>
      <c r="R460" s="3">
        <f t="shared" si="54"/>
        <v>3.354459669398846E-2</v>
      </c>
      <c r="S460">
        <v>43</v>
      </c>
      <c r="T460" t="str">
        <f t="shared" si="55"/>
        <v>Short</v>
      </c>
    </row>
    <row r="461" spans="1:20" ht="18.75" customHeight="1" x14ac:dyDescent="0.35">
      <c r="A461" t="s">
        <v>1855</v>
      </c>
      <c r="B461" t="s">
        <v>2806</v>
      </c>
      <c r="C461" t="s">
        <v>3238</v>
      </c>
      <c r="D461" s="2" t="s">
        <v>1856</v>
      </c>
      <c r="E461" s="2">
        <f t="shared" si="50"/>
        <v>45808</v>
      </c>
      <c r="F461" s="4">
        <f t="shared" si="51"/>
        <v>2025</v>
      </c>
      <c r="G461" t="str">
        <f t="shared" si="52"/>
        <v>May</v>
      </c>
      <c r="H461" t="str">
        <f t="shared" si="53"/>
        <v>2025-05</v>
      </c>
      <c r="I461" s="4">
        <f t="shared" ca="1" si="49"/>
        <v>116</v>
      </c>
      <c r="J461" t="s">
        <v>1857</v>
      </c>
      <c r="K461" t="s">
        <v>1858</v>
      </c>
      <c r="L461" t="s">
        <v>1859</v>
      </c>
      <c r="M461">
        <v>17</v>
      </c>
      <c r="N461" t="str">
        <f>VLOOKUP(M461, CategoryMap!$A$2:$B$100, 2, FALSE)</f>
        <v>Sports</v>
      </c>
      <c r="O461">
        <v>162870</v>
      </c>
      <c r="P461">
        <v>2652</v>
      </c>
      <c r="Q461">
        <v>107</v>
      </c>
      <c r="R461" s="3">
        <f t="shared" si="54"/>
        <v>1.6939890710382512E-2</v>
      </c>
      <c r="S461">
        <v>550</v>
      </c>
      <c r="T461" t="str">
        <f t="shared" si="55"/>
        <v>Long</v>
      </c>
    </row>
    <row r="462" spans="1:20" ht="18.75" customHeight="1" x14ac:dyDescent="0.35">
      <c r="A462" t="s">
        <v>1860</v>
      </c>
      <c r="B462" t="s">
        <v>2807</v>
      </c>
      <c r="C462" t="s">
        <v>3239</v>
      </c>
      <c r="D462" s="2" t="s">
        <v>1861</v>
      </c>
      <c r="E462" s="2">
        <f t="shared" si="50"/>
        <v>45817</v>
      </c>
      <c r="F462" s="4">
        <f t="shared" si="51"/>
        <v>2025</v>
      </c>
      <c r="G462" t="str">
        <f t="shared" si="52"/>
        <v>June</v>
      </c>
      <c r="H462" t="str">
        <f t="shared" si="53"/>
        <v>2025-06</v>
      </c>
      <c r="I462" s="4">
        <f t="shared" ca="1" si="49"/>
        <v>107</v>
      </c>
      <c r="J462" t="s">
        <v>1862</v>
      </c>
      <c r="K462" t="s">
        <v>1863</v>
      </c>
      <c r="L462" t="s">
        <v>1864</v>
      </c>
      <c r="M462">
        <v>28</v>
      </c>
      <c r="N462" t="str">
        <f>VLOOKUP(M462, CategoryMap!$A$2:$B$100, 2, FALSE)</f>
        <v>Science &amp; Technology</v>
      </c>
      <c r="O462">
        <v>2497590</v>
      </c>
      <c r="P462">
        <v>57328</v>
      </c>
      <c r="Q462">
        <v>1970.1447811447799</v>
      </c>
      <c r="R462" s="3">
        <f t="shared" si="54"/>
        <v>2.3742145340566217E-2</v>
      </c>
      <c r="S462">
        <v>274</v>
      </c>
      <c r="T462" t="str">
        <f t="shared" si="55"/>
        <v>Long</v>
      </c>
    </row>
    <row r="463" spans="1:20" ht="18.75" customHeight="1" x14ac:dyDescent="0.35">
      <c r="A463" t="s">
        <v>1865</v>
      </c>
      <c r="B463" t="s">
        <v>2808</v>
      </c>
      <c r="C463" t="s">
        <v>3240</v>
      </c>
      <c r="D463" s="2" t="s">
        <v>1866</v>
      </c>
      <c r="E463" s="2">
        <f t="shared" si="50"/>
        <v>45781</v>
      </c>
      <c r="F463" s="4">
        <f t="shared" si="51"/>
        <v>2025</v>
      </c>
      <c r="G463" t="str">
        <f t="shared" si="52"/>
        <v>May</v>
      </c>
      <c r="H463" t="str">
        <f t="shared" si="53"/>
        <v>2025-05</v>
      </c>
      <c r="I463" s="4">
        <f t="shared" ca="1" si="49"/>
        <v>143</v>
      </c>
      <c r="J463" t="s">
        <v>1867</v>
      </c>
      <c r="K463" t="s">
        <v>1868</v>
      </c>
      <c r="L463" t="s">
        <v>1869</v>
      </c>
      <c r="M463">
        <v>1</v>
      </c>
      <c r="N463" t="str">
        <f>VLOOKUP(M463, CategoryMap!$A$2:$B$100, 2, FALSE)</f>
        <v>Film &amp; Animation</v>
      </c>
      <c r="O463">
        <v>5349325</v>
      </c>
      <c r="P463">
        <v>15351</v>
      </c>
      <c r="Q463">
        <v>0</v>
      </c>
      <c r="R463" s="3">
        <f t="shared" si="54"/>
        <v>2.8697078603375191E-3</v>
      </c>
      <c r="S463">
        <v>1547</v>
      </c>
      <c r="T463" t="str">
        <f t="shared" si="55"/>
        <v>Long</v>
      </c>
    </row>
    <row r="464" spans="1:20" ht="18.75" customHeight="1" x14ac:dyDescent="0.35">
      <c r="A464" t="s">
        <v>1870</v>
      </c>
      <c r="B464" t="s">
        <v>2809</v>
      </c>
      <c r="C464" t="s">
        <v>3241</v>
      </c>
      <c r="D464" s="2" t="s">
        <v>1871</v>
      </c>
      <c r="E464" s="2">
        <f t="shared" si="50"/>
        <v>45802</v>
      </c>
      <c r="F464" s="4">
        <f t="shared" si="51"/>
        <v>2025</v>
      </c>
      <c r="G464" t="str">
        <f t="shared" si="52"/>
        <v>May</v>
      </c>
      <c r="H464" t="str">
        <f t="shared" si="53"/>
        <v>2025-05</v>
      </c>
      <c r="I464" s="4">
        <f t="shared" ca="1" si="49"/>
        <v>122</v>
      </c>
      <c r="J464" t="s">
        <v>1872</v>
      </c>
      <c r="K464" t="s">
        <v>1873</v>
      </c>
      <c r="L464" t="s">
        <v>29</v>
      </c>
      <c r="M464">
        <v>27</v>
      </c>
      <c r="N464" t="str">
        <f>VLOOKUP(M464, CategoryMap!$A$2:$B$100, 2, FALSE)</f>
        <v>Education</v>
      </c>
      <c r="O464">
        <v>1039</v>
      </c>
      <c r="P464">
        <v>3</v>
      </c>
      <c r="Q464">
        <v>0</v>
      </c>
      <c r="R464" s="3">
        <f t="shared" si="54"/>
        <v>2.8873917228103944E-3</v>
      </c>
      <c r="S464">
        <v>20</v>
      </c>
      <c r="T464" t="str">
        <f t="shared" si="55"/>
        <v>Short</v>
      </c>
    </row>
    <row r="465" spans="1:20" ht="18.75" customHeight="1" x14ac:dyDescent="0.35">
      <c r="A465" t="s">
        <v>1874</v>
      </c>
      <c r="B465" t="s">
        <v>2810</v>
      </c>
      <c r="C465" t="s">
        <v>11</v>
      </c>
      <c r="D465" s="2" t="s">
        <v>1875</v>
      </c>
      <c r="E465" s="2">
        <f t="shared" si="50"/>
        <v>45756</v>
      </c>
      <c r="F465" s="4">
        <f t="shared" si="51"/>
        <v>2025</v>
      </c>
      <c r="G465" t="str">
        <f t="shared" si="52"/>
        <v>April</v>
      </c>
      <c r="H465" t="str">
        <f t="shared" si="53"/>
        <v>2025-04</v>
      </c>
      <c r="I465" s="4">
        <f t="shared" ca="1" si="49"/>
        <v>168</v>
      </c>
      <c r="J465" t="s">
        <v>1876</v>
      </c>
      <c r="K465" t="s">
        <v>1877</v>
      </c>
      <c r="L465" t="s">
        <v>1878</v>
      </c>
      <c r="M465">
        <v>23</v>
      </c>
      <c r="N465" t="str">
        <f>VLOOKUP(M465, CategoryMap!$A$2:$B$100, 2, FALSE)</f>
        <v>Comedy</v>
      </c>
      <c r="O465">
        <v>241594</v>
      </c>
      <c r="P465">
        <v>3533</v>
      </c>
      <c r="Q465">
        <v>112</v>
      </c>
      <c r="R465" s="3">
        <f t="shared" si="54"/>
        <v>1.5087295214285123E-2</v>
      </c>
      <c r="S465">
        <v>62</v>
      </c>
      <c r="T465" t="str">
        <f t="shared" si="55"/>
        <v>Long</v>
      </c>
    </row>
    <row r="466" spans="1:20" ht="18.75" customHeight="1" x14ac:dyDescent="0.35">
      <c r="A466" t="s">
        <v>1879</v>
      </c>
      <c r="B466" t="s">
        <v>2811</v>
      </c>
      <c r="C466" t="s">
        <v>3242</v>
      </c>
      <c r="D466" s="2" t="s">
        <v>1880</v>
      </c>
      <c r="E466" s="2">
        <f t="shared" si="50"/>
        <v>45788</v>
      </c>
      <c r="F466" s="4">
        <f t="shared" si="51"/>
        <v>2025</v>
      </c>
      <c r="G466" t="str">
        <f t="shared" si="52"/>
        <v>May</v>
      </c>
      <c r="H466" t="str">
        <f t="shared" si="53"/>
        <v>2025-05</v>
      </c>
      <c r="I466" s="4">
        <f t="shared" ca="1" si="49"/>
        <v>136</v>
      </c>
      <c r="J466" t="s">
        <v>1881</v>
      </c>
      <c r="K466" t="s">
        <v>1882</v>
      </c>
      <c r="L466" t="s">
        <v>1883</v>
      </c>
      <c r="M466">
        <v>28</v>
      </c>
      <c r="N466" t="str">
        <f>VLOOKUP(M466, CategoryMap!$A$2:$B$100, 2, FALSE)</f>
        <v>Science &amp; Technology</v>
      </c>
      <c r="O466">
        <v>716986</v>
      </c>
      <c r="P466">
        <v>15929</v>
      </c>
      <c r="Q466">
        <v>958</v>
      </c>
      <c r="R466" s="3">
        <f t="shared" si="54"/>
        <v>2.3552761141779618E-2</v>
      </c>
      <c r="S466">
        <v>272</v>
      </c>
      <c r="T466" t="str">
        <f t="shared" si="55"/>
        <v>Long</v>
      </c>
    </row>
    <row r="467" spans="1:20" ht="18.75" customHeight="1" x14ac:dyDescent="0.35">
      <c r="A467" t="s">
        <v>1884</v>
      </c>
      <c r="B467" t="s">
        <v>2812</v>
      </c>
      <c r="C467" t="s">
        <v>3243</v>
      </c>
      <c r="D467" s="2" t="s">
        <v>1885</v>
      </c>
      <c r="E467" s="2">
        <f t="shared" si="50"/>
        <v>45828</v>
      </c>
      <c r="F467" s="4">
        <f t="shared" si="51"/>
        <v>2025</v>
      </c>
      <c r="G467" t="str">
        <f t="shared" si="52"/>
        <v>June</v>
      </c>
      <c r="H467" t="str">
        <f t="shared" si="53"/>
        <v>2025-06</v>
      </c>
      <c r="I467" s="4">
        <f t="shared" ca="1" si="49"/>
        <v>96</v>
      </c>
      <c r="J467" t="s">
        <v>1886</v>
      </c>
      <c r="K467" t="s">
        <v>1887</v>
      </c>
      <c r="L467" t="s">
        <v>29</v>
      </c>
      <c r="M467">
        <v>24</v>
      </c>
      <c r="N467" t="str">
        <f>VLOOKUP(M467, CategoryMap!$A$2:$B$100, 2, FALSE)</f>
        <v>Entertainment</v>
      </c>
      <c r="O467">
        <v>4640</v>
      </c>
      <c r="P467">
        <v>14</v>
      </c>
      <c r="Q467">
        <v>0</v>
      </c>
      <c r="R467" s="3">
        <f t="shared" si="54"/>
        <v>3.0172413793103448E-3</v>
      </c>
      <c r="S467">
        <v>9</v>
      </c>
      <c r="T467" t="str">
        <f t="shared" si="55"/>
        <v>Short</v>
      </c>
    </row>
    <row r="468" spans="1:20" ht="18.75" customHeight="1" x14ac:dyDescent="0.35">
      <c r="A468" t="s">
        <v>1888</v>
      </c>
      <c r="B468" t="s">
        <v>2813</v>
      </c>
      <c r="C468" t="s">
        <v>3244</v>
      </c>
      <c r="D468" s="2" t="s">
        <v>1889</v>
      </c>
      <c r="E468" s="2">
        <f t="shared" si="50"/>
        <v>45787</v>
      </c>
      <c r="F468" s="4">
        <f t="shared" si="51"/>
        <v>2025</v>
      </c>
      <c r="G468" t="str">
        <f t="shared" si="52"/>
        <v>May</v>
      </c>
      <c r="H468" t="str">
        <f t="shared" si="53"/>
        <v>2025-05</v>
      </c>
      <c r="I468" s="4">
        <f t="shared" ca="1" si="49"/>
        <v>137</v>
      </c>
      <c r="J468" t="s">
        <v>1890</v>
      </c>
      <c r="K468" t="s">
        <v>1891</v>
      </c>
      <c r="L468" t="s">
        <v>29</v>
      </c>
      <c r="M468">
        <v>22</v>
      </c>
      <c r="N468" t="str">
        <f>VLOOKUP(M468, CategoryMap!$A$2:$B$100, 2, FALSE)</f>
        <v>People &amp; Blogs</v>
      </c>
      <c r="O468">
        <v>2108</v>
      </c>
      <c r="P468">
        <v>17</v>
      </c>
      <c r="Q468">
        <v>6</v>
      </c>
      <c r="R468" s="3">
        <f t="shared" si="54"/>
        <v>1.0910815939278937E-2</v>
      </c>
      <c r="S468">
        <v>38</v>
      </c>
      <c r="T468" t="str">
        <f t="shared" si="55"/>
        <v>Short</v>
      </c>
    </row>
    <row r="469" spans="1:20" ht="18.75" customHeight="1" x14ac:dyDescent="0.35">
      <c r="A469" t="s">
        <v>1892</v>
      </c>
      <c r="B469" t="s">
        <v>2814</v>
      </c>
      <c r="C469" t="s">
        <v>3245</v>
      </c>
      <c r="D469" s="2" t="s">
        <v>1893</v>
      </c>
      <c r="E469" s="2">
        <f t="shared" si="50"/>
        <v>44742</v>
      </c>
      <c r="F469" s="4">
        <f t="shared" si="51"/>
        <v>2022</v>
      </c>
      <c r="G469" t="str">
        <f t="shared" si="52"/>
        <v>June</v>
      </c>
      <c r="H469" t="str">
        <f t="shared" si="53"/>
        <v>2022-06</v>
      </c>
      <c r="I469" s="4">
        <f t="shared" ca="1" si="49"/>
        <v>1182</v>
      </c>
      <c r="J469" t="s">
        <v>1287</v>
      </c>
      <c r="K469" t="s">
        <v>1288</v>
      </c>
      <c r="L469" t="s">
        <v>1894</v>
      </c>
      <c r="M469">
        <v>28</v>
      </c>
      <c r="N469" t="str">
        <f>VLOOKUP(M469, CategoryMap!$A$2:$B$100, 2, FALSE)</f>
        <v>Science &amp; Technology</v>
      </c>
      <c r="O469">
        <v>7947737</v>
      </c>
      <c r="P469">
        <v>260818</v>
      </c>
      <c r="Q469">
        <v>12964</v>
      </c>
      <c r="R469" s="3">
        <f t="shared" si="54"/>
        <v>3.4447793126521423E-2</v>
      </c>
      <c r="S469">
        <v>695</v>
      </c>
      <c r="T469" t="str">
        <f t="shared" si="55"/>
        <v>Long</v>
      </c>
    </row>
    <row r="470" spans="1:20" ht="18.75" customHeight="1" x14ac:dyDescent="0.35">
      <c r="A470" t="s">
        <v>1895</v>
      </c>
      <c r="B470" t="s">
        <v>2815</v>
      </c>
      <c r="C470" t="s">
        <v>3246</v>
      </c>
      <c r="D470" s="2" t="s">
        <v>1896</v>
      </c>
      <c r="E470" s="2">
        <f t="shared" si="50"/>
        <v>45702</v>
      </c>
      <c r="F470" s="4">
        <f t="shared" si="51"/>
        <v>2025</v>
      </c>
      <c r="G470" t="str">
        <f t="shared" si="52"/>
        <v>February</v>
      </c>
      <c r="H470" t="str">
        <f t="shared" si="53"/>
        <v>2025-02</v>
      </c>
      <c r="I470" s="4">
        <f t="shared" ca="1" si="49"/>
        <v>222</v>
      </c>
      <c r="J470" t="s">
        <v>1310</v>
      </c>
      <c r="K470" t="s">
        <v>1311</v>
      </c>
      <c r="L470" t="s">
        <v>1312</v>
      </c>
      <c r="M470">
        <v>28</v>
      </c>
      <c r="N470" t="str">
        <f>VLOOKUP(M470, CategoryMap!$A$2:$B$100, 2, FALSE)</f>
        <v>Science &amp; Technology</v>
      </c>
      <c r="O470">
        <v>1087634</v>
      </c>
      <c r="P470">
        <v>16993</v>
      </c>
      <c r="Q470">
        <v>1891</v>
      </c>
      <c r="R470" s="3">
        <f t="shared" si="54"/>
        <v>1.7362458326973963E-2</v>
      </c>
      <c r="S470">
        <v>422</v>
      </c>
      <c r="T470" t="str">
        <f t="shared" si="55"/>
        <v>Long</v>
      </c>
    </row>
    <row r="471" spans="1:20" ht="18.75" customHeight="1" x14ac:dyDescent="0.35">
      <c r="A471" t="s">
        <v>1897</v>
      </c>
      <c r="B471" t="s">
        <v>2816</v>
      </c>
      <c r="C471" t="s">
        <v>3247</v>
      </c>
      <c r="D471" s="2" t="s">
        <v>1898</v>
      </c>
      <c r="E471" s="2">
        <f t="shared" si="50"/>
        <v>45827</v>
      </c>
      <c r="F471" s="4">
        <f t="shared" si="51"/>
        <v>2025</v>
      </c>
      <c r="G471" t="str">
        <f t="shared" si="52"/>
        <v>June</v>
      </c>
      <c r="H471" t="str">
        <f t="shared" si="53"/>
        <v>2025-06</v>
      </c>
      <c r="I471" s="4">
        <f t="shared" ca="1" si="49"/>
        <v>97</v>
      </c>
      <c r="J471" t="s">
        <v>1899</v>
      </c>
      <c r="K471" t="s">
        <v>1900</v>
      </c>
      <c r="L471" t="s">
        <v>1901</v>
      </c>
      <c r="M471">
        <v>22</v>
      </c>
      <c r="N471" t="str">
        <f>VLOOKUP(M471, CategoryMap!$A$2:$B$100, 2, FALSE)</f>
        <v>People &amp; Blogs</v>
      </c>
      <c r="O471">
        <v>15304</v>
      </c>
      <c r="P471">
        <v>88</v>
      </c>
      <c r="Q471">
        <v>0</v>
      </c>
      <c r="R471" s="3">
        <f t="shared" si="54"/>
        <v>5.7501306847882903E-3</v>
      </c>
      <c r="S471">
        <v>14</v>
      </c>
      <c r="T471" t="str">
        <f t="shared" si="55"/>
        <v>Short</v>
      </c>
    </row>
    <row r="472" spans="1:20" ht="18.75" customHeight="1" x14ac:dyDescent="0.35">
      <c r="A472" t="s">
        <v>1902</v>
      </c>
      <c r="B472" t="s">
        <v>1903</v>
      </c>
      <c r="C472" t="s">
        <v>3248</v>
      </c>
      <c r="D472" s="2" t="s">
        <v>1904</v>
      </c>
      <c r="E472" s="2">
        <f t="shared" si="50"/>
        <v>45409</v>
      </c>
      <c r="F472" s="4">
        <f t="shared" si="51"/>
        <v>2024</v>
      </c>
      <c r="G472" t="str">
        <f t="shared" si="52"/>
        <v>April</v>
      </c>
      <c r="H472" t="str">
        <f t="shared" si="53"/>
        <v>2024-04</v>
      </c>
      <c r="I472" s="4">
        <f t="shared" ca="1" si="49"/>
        <v>515</v>
      </c>
      <c r="J472" t="s">
        <v>1905</v>
      </c>
      <c r="K472" t="s">
        <v>1906</v>
      </c>
      <c r="L472" t="s">
        <v>1907</v>
      </c>
      <c r="M472">
        <v>28</v>
      </c>
      <c r="N472" t="str">
        <f>VLOOKUP(M472, CategoryMap!$A$2:$B$100, 2, FALSE)</f>
        <v>Science &amp; Technology</v>
      </c>
      <c r="O472">
        <v>3611874</v>
      </c>
      <c r="P472">
        <v>181285</v>
      </c>
      <c r="Q472">
        <v>5610</v>
      </c>
      <c r="R472" s="3">
        <f t="shared" si="54"/>
        <v>5.1744606816295363E-2</v>
      </c>
      <c r="S472">
        <v>82</v>
      </c>
      <c r="T472" t="str">
        <f t="shared" si="55"/>
        <v>Long</v>
      </c>
    </row>
    <row r="473" spans="1:20" ht="18.75" customHeight="1" x14ac:dyDescent="0.35">
      <c r="A473" t="s">
        <v>1908</v>
      </c>
      <c r="B473" t="s">
        <v>1909</v>
      </c>
      <c r="C473" t="s">
        <v>3249</v>
      </c>
      <c r="D473" s="2" t="s">
        <v>1910</v>
      </c>
      <c r="E473" s="2">
        <f t="shared" si="50"/>
        <v>45259</v>
      </c>
      <c r="F473" s="4">
        <f t="shared" si="51"/>
        <v>2023</v>
      </c>
      <c r="G473" t="str">
        <f t="shared" si="52"/>
        <v>November</v>
      </c>
      <c r="H473" t="str">
        <f t="shared" si="53"/>
        <v>2023-11</v>
      </c>
      <c r="I473" s="4">
        <f t="shared" ca="1" si="49"/>
        <v>665</v>
      </c>
      <c r="J473" t="s">
        <v>524</v>
      </c>
      <c r="K473" t="s">
        <v>525</v>
      </c>
      <c r="L473" t="s">
        <v>1911</v>
      </c>
      <c r="M473">
        <v>28</v>
      </c>
      <c r="N473" t="str">
        <f>VLOOKUP(M473, CategoryMap!$A$2:$B$100, 2, FALSE)</f>
        <v>Science &amp; Technology</v>
      </c>
      <c r="O473">
        <v>50641492</v>
      </c>
      <c r="P473">
        <v>1429466</v>
      </c>
      <c r="Q473">
        <v>1996</v>
      </c>
      <c r="R473" s="3">
        <f t="shared" si="54"/>
        <v>2.8266584246767455E-2</v>
      </c>
      <c r="S473">
        <v>60</v>
      </c>
      <c r="T473" t="str">
        <f t="shared" si="55"/>
        <v>Short</v>
      </c>
    </row>
    <row r="474" spans="1:20" ht="18.75" customHeight="1" x14ac:dyDescent="0.35">
      <c r="A474" t="s">
        <v>1912</v>
      </c>
      <c r="B474" t="s">
        <v>2817</v>
      </c>
      <c r="C474" t="s">
        <v>3250</v>
      </c>
      <c r="D474" s="2" t="s">
        <v>1913</v>
      </c>
      <c r="E474" s="2">
        <f t="shared" si="50"/>
        <v>45778</v>
      </c>
      <c r="F474" s="4">
        <f t="shared" si="51"/>
        <v>2025</v>
      </c>
      <c r="G474" t="str">
        <f t="shared" si="52"/>
        <v>May</v>
      </c>
      <c r="H474" t="str">
        <f t="shared" si="53"/>
        <v>2025-05</v>
      </c>
      <c r="I474" s="4">
        <f t="shared" ca="1" si="49"/>
        <v>146</v>
      </c>
      <c r="J474" t="s">
        <v>1287</v>
      </c>
      <c r="K474" t="s">
        <v>1288</v>
      </c>
      <c r="L474" t="s">
        <v>1914</v>
      </c>
      <c r="M474">
        <v>28</v>
      </c>
      <c r="N474" t="str">
        <f>VLOOKUP(M474, CategoryMap!$A$2:$B$100, 2, FALSE)</f>
        <v>Science &amp; Technology</v>
      </c>
      <c r="O474">
        <v>1081527</v>
      </c>
      <c r="P474">
        <v>50566</v>
      </c>
      <c r="Q474">
        <v>2139</v>
      </c>
      <c r="R474" s="3">
        <f t="shared" si="54"/>
        <v>4.8732024258294059E-2</v>
      </c>
      <c r="S474">
        <v>1155</v>
      </c>
      <c r="T474" t="str">
        <f t="shared" si="55"/>
        <v>Long</v>
      </c>
    </row>
    <row r="475" spans="1:20" ht="18.75" customHeight="1" x14ac:dyDescent="0.35">
      <c r="A475" t="s">
        <v>1915</v>
      </c>
      <c r="B475" t="s">
        <v>2816</v>
      </c>
      <c r="C475" t="s">
        <v>3247</v>
      </c>
      <c r="D475" s="2" t="s">
        <v>1916</v>
      </c>
      <c r="E475" s="2">
        <f t="shared" si="50"/>
        <v>45828</v>
      </c>
      <c r="F475" s="4">
        <f t="shared" si="51"/>
        <v>2025</v>
      </c>
      <c r="G475" t="str">
        <f t="shared" si="52"/>
        <v>June</v>
      </c>
      <c r="H475" t="str">
        <f t="shared" si="53"/>
        <v>2025-06</v>
      </c>
      <c r="I475" s="4">
        <f t="shared" ca="1" si="49"/>
        <v>96</v>
      </c>
      <c r="J475" t="s">
        <v>1899</v>
      </c>
      <c r="K475" t="s">
        <v>1900</v>
      </c>
      <c r="L475" t="s">
        <v>1901</v>
      </c>
      <c r="M475">
        <v>22</v>
      </c>
      <c r="N475" t="str">
        <f>VLOOKUP(M475, CategoryMap!$A$2:$B$100, 2, FALSE)</f>
        <v>People &amp; Blogs</v>
      </c>
      <c r="O475">
        <v>11389</v>
      </c>
      <c r="P475">
        <v>48</v>
      </c>
      <c r="Q475">
        <v>0</v>
      </c>
      <c r="R475" s="3">
        <f t="shared" si="54"/>
        <v>4.2145930283606992E-3</v>
      </c>
      <c r="S475">
        <v>13</v>
      </c>
      <c r="T475" t="str">
        <f t="shared" si="55"/>
        <v>Short</v>
      </c>
    </row>
    <row r="476" spans="1:20" ht="18.75" customHeight="1" x14ac:dyDescent="0.35">
      <c r="A476" t="s">
        <v>1917</v>
      </c>
      <c r="B476" t="s">
        <v>2818</v>
      </c>
      <c r="C476" t="s">
        <v>3251</v>
      </c>
      <c r="D476" s="2" t="s">
        <v>1918</v>
      </c>
      <c r="E476" s="2">
        <f t="shared" si="50"/>
        <v>45787</v>
      </c>
      <c r="F476" s="4">
        <f t="shared" si="51"/>
        <v>2025</v>
      </c>
      <c r="G476" t="str">
        <f t="shared" si="52"/>
        <v>May</v>
      </c>
      <c r="H476" t="str">
        <f t="shared" si="53"/>
        <v>2025-05</v>
      </c>
      <c r="I476" s="4">
        <f t="shared" ca="1" si="49"/>
        <v>137</v>
      </c>
      <c r="J476" t="s">
        <v>1919</v>
      </c>
      <c r="K476" t="s">
        <v>1920</v>
      </c>
      <c r="L476" t="s">
        <v>1921</v>
      </c>
      <c r="M476">
        <v>28</v>
      </c>
      <c r="N476" t="str">
        <f>VLOOKUP(M476, CategoryMap!$A$2:$B$100, 2, FALSE)</f>
        <v>Science &amp; Technology</v>
      </c>
      <c r="O476">
        <v>379321</v>
      </c>
      <c r="P476">
        <v>17096</v>
      </c>
      <c r="Q476">
        <v>1819</v>
      </c>
      <c r="R476" s="3">
        <f t="shared" si="54"/>
        <v>4.9865417416910744E-2</v>
      </c>
      <c r="S476">
        <v>899</v>
      </c>
      <c r="T476" t="str">
        <f t="shared" si="55"/>
        <v>Long</v>
      </c>
    </row>
    <row r="477" spans="1:20" ht="18.75" customHeight="1" x14ac:dyDescent="0.35">
      <c r="A477" t="s">
        <v>1922</v>
      </c>
      <c r="B477" t="s">
        <v>2819</v>
      </c>
      <c r="C477" t="s">
        <v>3252</v>
      </c>
      <c r="D477" s="2" t="s">
        <v>1923</v>
      </c>
      <c r="E477" s="2">
        <f t="shared" si="50"/>
        <v>45671</v>
      </c>
      <c r="F477" s="4">
        <f t="shared" si="51"/>
        <v>2025</v>
      </c>
      <c r="G477" t="str">
        <f t="shared" si="52"/>
        <v>January</v>
      </c>
      <c r="H477" t="str">
        <f t="shared" si="53"/>
        <v>2025-01</v>
      </c>
      <c r="I477" s="4">
        <f t="shared" ca="1" si="49"/>
        <v>253</v>
      </c>
      <c r="J477" t="s">
        <v>1924</v>
      </c>
      <c r="K477" t="s">
        <v>1925</v>
      </c>
      <c r="L477" t="s">
        <v>1926</v>
      </c>
      <c r="M477">
        <v>23</v>
      </c>
      <c r="N477" t="str">
        <f>VLOOKUP(M477, CategoryMap!$A$2:$B$100, 2, FALSE)</f>
        <v>Comedy</v>
      </c>
      <c r="O477">
        <v>2732989</v>
      </c>
      <c r="P477">
        <v>153954</v>
      </c>
      <c r="Q477">
        <v>9482</v>
      </c>
      <c r="R477" s="3">
        <f t="shared" si="54"/>
        <v>5.980119202821526E-2</v>
      </c>
      <c r="S477">
        <v>526</v>
      </c>
      <c r="T477" t="str">
        <f t="shared" si="55"/>
        <v>Long</v>
      </c>
    </row>
    <row r="478" spans="1:20" ht="18.75" customHeight="1" x14ac:dyDescent="0.35">
      <c r="A478" t="s">
        <v>1927</v>
      </c>
      <c r="B478" t="s">
        <v>2820</v>
      </c>
      <c r="C478" t="s">
        <v>3253</v>
      </c>
      <c r="D478" s="2" t="s">
        <v>1928</v>
      </c>
      <c r="E478" s="2">
        <f t="shared" si="50"/>
        <v>45779</v>
      </c>
      <c r="F478" s="4">
        <f t="shared" si="51"/>
        <v>2025</v>
      </c>
      <c r="G478" t="str">
        <f t="shared" si="52"/>
        <v>May</v>
      </c>
      <c r="H478" t="str">
        <f t="shared" si="53"/>
        <v>2025-05</v>
      </c>
      <c r="I478" s="4">
        <f t="shared" ca="1" si="49"/>
        <v>145</v>
      </c>
      <c r="J478" t="s">
        <v>1929</v>
      </c>
      <c r="K478" t="s">
        <v>1930</v>
      </c>
      <c r="L478" t="s">
        <v>1931</v>
      </c>
      <c r="M478">
        <v>28</v>
      </c>
      <c r="N478" t="str">
        <f>VLOOKUP(M478, CategoryMap!$A$2:$B$100, 2, FALSE)</f>
        <v>Science &amp; Technology</v>
      </c>
      <c r="O478">
        <v>17190</v>
      </c>
      <c r="P478">
        <v>804</v>
      </c>
      <c r="Q478">
        <v>6</v>
      </c>
      <c r="R478" s="3">
        <f t="shared" si="54"/>
        <v>4.712041884816754E-2</v>
      </c>
      <c r="S478">
        <v>50</v>
      </c>
      <c r="T478" t="str">
        <f t="shared" si="55"/>
        <v>Short</v>
      </c>
    </row>
    <row r="479" spans="1:20" ht="18.75" customHeight="1" x14ac:dyDescent="0.35">
      <c r="A479" t="s">
        <v>1932</v>
      </c>
      <c r="B479" t="s">
        <v>2821</v>
      </c>
      <c r="C479" t="s">
        <v>3254</v>
      </c>
      <c r="D479" s="2" t="s">
        <v>1933</v>
      </c>
      <c r="E479" s="2">
        <f t="shared" si="50"/>
        <v>44944</v>
      </c>
      <c r="F479" s="4">
        <f t="shared" si="51"/>
        <v>2023</v>
      </c>
      <c r="G479" t="str">
        <f t="shared" si="52"/>
        <v>January</v>
      </c>
      <c r="H479" t="str">
        <f t="shared" si="53"/>
        <v>2023-01</v>
      </c>
      <c r="I479" s="4">
        <f t="shared" ca="1" si="49"/>
        <v>980</v>
      </c>
      <c r="J479" t="s">
        <v>1934</v>
      </c>
      <c r="K479" t="s">
        <v>1935</v>
      </c>
      <c r="L479" t="s">
        <v>1936</v>
      </c>
      <c r="M479">
        <v>10</v>
      </c>
      <c r="N479" t="str">
        <f>VLOOKUP(M479, CategoryMap!$A$2:$B$100, 2, FALSE)</f>
        <v>Music</v>
      </c>
      <c r="O479">
        <v>40419</v>
      </c>
      <c r="P479">
        <v>1199</v>
      </c>
      <c r="Q479">
        <v>64</v>
      </c>
      <c r="R479" s="3">
        <f t="shared" si="54"/>
        <v>3.1247680546277742E-2</v>
      </c>
      <c r="S479">
        <v>44</v>
      </c>
      <c r="T479" t="str">
        <f t="shared" si="55"/>
        <v>Short</v>
      </c>
    </row>
    <row r="480" spans="1:20" ht="18.75" customHeight="1" x14ac:dyDescent="0.35">
      <c r="A480" t="s">
        <v>1937</v>
      </c>
      <c r="B480" t="s">
        <v>2822</v>
      </c>
      <c r="C480" t="s">
        <v>11</v>
      </c>
      <c r="D480" s="2" t="s">
        <v>1938</v>
      </c>
      <c r="E480" s="2">
        <f t="shared" si="50"/>
        <v>45781</v>
      </c>
      <c r="F480" s="4">
        <f t="shared" si="51"/>
        <v>2025</v>
      </c>
      <c r="G480" t="str">
        <f t="shared" si="52"/>
        <v>May</v>
      </c>
      <c r="H480" t="str">
        <f t="shared" si="53"/>
        <v>2025-05</v>
      </c>
      <c r="I480" s="4">
        <f t="shared" ca="1" si="49"/>
        <v>143</v>
      </c>
      <c r="J480" t="s">
        <v>1939</v>
      </c>
      <c r="K480" t="s">
        <v>1940</v>
      </c>
      <c r="L480" t="s">
        <v>29</v>
      </c>
      <c r="M480">
        <v>27</v>
      </c>
      <c r="N480" t="str">
        <f>VLOOKUP(M480, CategoryMap!$A$2:$B$100, 2, FALSE)</f>
        <v>Education</v>
      </c>
      <c r="O480">
        <v>1539</v>
      </c>
      <c r="P480">
        <v>9</v>
      </c>
      <c r="Q480">
        <v>0</v>
      </c>
      <c r="R480" s="3">
        <f t="shared" si="54"/>
        <v>5.8479532163742687E-3</v>
      </c>
      <c r="S480">
        <v>40</v>
      </c>
      <c r="T480" t="str">
        <f t="shared" si="55"/>
        <v>Short</v>
      </c>
    </row>
    <row r="481" spans="1:20" ht="18.75" customHeight="1" x14ac:dyDescent="0.35">
      <c r="A481" t="s">
        <v>1941</v>
      </c>
      <c r="B481" t="s">
        <v>2823</v>
      </c>
      <c r="C481" t="s">
        <v>11</v>
      </c>
      <c r="D481" s="2" t="s">
        <v>1942</v>
      </c>
      <c r="E481" s="2">
        <f t="shared" si="50"/>
        <v>45824</v>
      </c>
      <c r="F481" s="4">
        <f t="shared" si="51"/>
        <v>2025</v>
      </c>
      <c r="G481" t="str">
        <f t="shared" si="52"/>
        <v>June</v>
      </c>
      <c r="H481" t="str">
        <f t="shared" si="53"/>
        <v>2025-06</v>
      </c>
      <c r="I481" s="4">
        <f t="shared" ca="1" si="49"/>
        <v>100</v>
      </c>
      <c r="J481" t="s">
        <v>1943</v>
      </c>
      <c r="K481" s="1" t="s">
        <v>1944</v>
      </c>
      <c r="L481" t="s">
        <v>29</v>
      </c>
      <c r="M481">
        <v>22</v>
      </c>
      <c r="N481" t="str">
        <f>VLOOKUP(M481, CategoryMap!$A$2:$B$100, 2, FALSE)</f>
        <v>People &amp; Blogs</v>
      </c>
      <c r="O481">
        <v>45328</v>
      </c>
      <c r="P481">
        <v>103</v>
      </c>
      <c r="Q481">
        <v>6</v>
      </c>
      <c r="R481" s="3">
        <f t="shared" si="54"/>
        <v>2.4046946699611718E-3</v>
      </c>
      <c r="S481">
        <v>10</v>
      </c>
      <c r="T481" t="str">
        <f t="shared" si="55"/>
        <v>Short</v>
      </c>
    </row>
    <row r="482" spans="1:20" ht="18.75" customHeight="1" x14ac:dyDescent="0.35">
      <c r="A482" t="s">
        <v>1945</v>
      </c>
      <c r="B482" t="s">
        <v>2824</v>
      </c>
      <c r="C482" t="s">
        <v>11</v>
      </c>
      <c r="D482" s="2" t="s">
        <v>1946</v>
      </c>
      <c r="E482" s="2">
        <f t="shared" si="50"/>
        <v>45821</v>
      </c>
      <c r="F482" s="4">
        <f t="shared" si="51"/>
        <v>2025</v>
      </c>
      <c r="G482" t="str">
        <f t="shared" si="52"/>
        <v>June</v>
      </c>
      <c r="H482" t="str">
        <f t="shared" si="53"/>
        <v>2025-06</v>
      </c>
      <c r="I482" s="4">
        <f t="shared" ca="1" si="49"/>
        <v>103</v>
      </c>
      <c r="J482" t="s">
        <v>1470</v>
      </c>
      <c r="K482" t="s">
        <v>1471</v>
      </c>
      <c r="L482" t="s">
        <v>29</v>
      </c>
      <c r="M482">
        <v>22</v>
      </c>
      <c r="N482" t="str">
        <f>VLOOKUP(M482, CategoryMap!$A$2:$B$100, 2, FALSE)</f>
        <v>People &amp; Blogs</v>
      </c>
      <c r="O482">
        <v>41035</v>
      </c>
      <c r="P482">
        <v>217464.60837887001</v>
      </c>
      <c r="Q482">
        <v>0</v>
      </c>
      <c r="R482" s="3">
        <f t="shared" si="54"/>
        <v>5.2994908828772997</v>
      </c>
      <c r="S482">
        <v>10</v>
      </c>
      <c r="T482" t="str">
        <f t="shared" si="55"/>
        <v>Short</v>
      </c>
    </row>
    <row r="483" spans="1:20" ht="18.75" customHeight="1" x14ac:dyDescent="0.35">
      <c r="A483" t="s">
        <v>1947</v>
      </c>
      <c r="B483" t="s">
        <v>2825</v>
      </c>
      <c r="C483" t="s">
        <v>3255</v>
      </c>
      <c r="D483" s="2" t="s">
        <v>1948</v>
      </c>
      <c r="E483" s="2">
        <f t="shared" si="50"/>
        <v>45671</v>
      </c>
      <c r="F483" s="4">
        <f t="shared" si="51"/>
        <v>2025</v>
      </c>
      <c r="G483" t="str">
        <f t="shared" si="52"/>
        <v>January</v>
      </c>
      <c r="H483" t="str">
        <f t="shared" si="53"/>
        <v>2025-01</v>
      </c>
      <c r="I483" s="4">
        <f t="shared" ca="1" si="49"/>
        <v>253</v>
      </c>
      <c r="J483" t="s">
        <v>1949</v>
      </c>
      <c r="K483" t="s">
        <v>1950</v>
      </c>
      <c r="L483" t="s">
        <v>1951</v>
      </c>
      <c r="M483">
        <v>28</v>
      </c>
      <c r="N483" t="str">
        <f>VLOOKUP(M483, CategoryMap!$A$2:$B$100, 2, FALSE)</f>
        <v>Science &amp; Technology</v>
      </c>
      <c r="O483">
        <v>752561</v>
      </c>
      <c r="P483">
        <v>13505</v>
      </c>
      <c r="Q483">
        <v>529</v>
      </c>
      <c r="R483" s="3">
        <f t="shared" si="54"/>
        <v>1.8648322195808711E-2</v>
      </c>
      <c r="S483">
        <v>601</v>
      </c>
      <c r="T483" t="str">
        <f t="shared" si="55"/>
        <v>Long</v>
      </c>
    </row>
    <row r="484" spans="1:20" ht="18.75" customHeight="1" x14ac:dyDescent="0.35">
      <c r="A484" t="s">
        <v>1952</v>
      </c>
      <c r="B484" t="s">
        <v>2826</v>
      </c>
      <c r="C484" t="s">
        <v>3175</v>
      </c>
      <c r="D484" s="2" t="s">
        <v>1953</v>
      </c>
      <c r="E484" s="2">
        <f t="shared" si="50"/>
        <v>45828</v>
      </c>
      <c r="F484" s="4">
        <f t="shared" si="51"/>
        <v>2025</v>
      </c>
      <c r="G484" t="str">
        <f t="shared" si="52"/>
        <v>June</v>
      </c>
      <c r="H484" t="str">
        <f t="shared" si="53"/>
        <v>2025-06</v>
      </c>
      <c r="I484" s="4">
        <f t="shared" ca="1" si="49"/>
        <v>96</v>
      </c>
      <c r="J484" t="s">
        <v>1444</v>
      </c>
      <c r="K484" t="s">
        <v>1445</v>
      </c>
      <c r="L484" t="s">
        <v>29</v>
      </c>
      <c r="M484">
        <v>15</v>
      </c>
      <c r="N484" t="str">
        <f>VLOOKUP(M484, CategoryMap!$A$2:$B$100, 2, FALSE)</f>
        <v>Pets &amp; Animals</v>
      </c>
      <c r="O484">
        <v>21064</v>
      </c>
      <c r="P484">
        <v>139</v>
      </c>
      <c r="Q484">
        <v>1</v>
      </c>
      <c r="R484" s="3">
        <f t="shared" si="54"/>
        <v>6.6464109380934295E-3</v>
      </c>
      <c r="S484">
        <v>8</v>
      </c>
      <c r="T484" t="str">
        <f t="shared" si="55"/>
        <v>Short</v>
      </c>
    </row>
    <row r="485" spans="1:20" ht="18.75" customHeight="1" x14ac:dyDescent="0.35">
      <c r="A485" t="s">
        <v>1954</v>
      </c>
      <c r="B485" t="s">
        <v>2827</v>
      </c>
      <c r="C485" t="s">
        <v>3256</v>
      </c>
      <c r="D485" s="2" t="s">
        <v>1955</v>
      </c>
      <c r="E485" s="2">
        <f t="shared" si="50"/>
        <v>45810</v>
      </c>
      <c r="F485" s="4">
        <f t="shared" si="51"/>
        <v>2025</v>
      </c>
      <c r="G485" t="str">
        <f t="shared" si="52"/>
        <v>June</v>
      </c>
      <c r="H485" t="str">
        <f t="shared" si="53"/>
        <v>2025-06</v>
      </c>
      <c r="I485" s="4">
        <f t="shared" ca="1" si="49"/>
        <v>114</v>
      </c>
      <c r="J485" t="s">
        <v>1956</v>
      </c>
      <c r="K485" t="s">
        <v>1957</v>
      </c>
      <c r="L485" t="s">
        <v>1958</v>
      </c>
      <c r="M485">
        <v>28</v>
      </c>
      <c r="N485" t="str">
        <f>VLOOKUP(M485, CategoryMap!$A$2:$B$100, 2, FALSE)</f>
        <v>Science &amp; Technology</v>
      </c>
      <c r="O485">
        <v>2652</v>
      </c>
      <c r="P485">
        <v>55</v>
      </c>
      <c r="Q485">
        <v>1970.1447811447799</v>
      </c>
      <c r="R485" s="3">
        <f t="shared" si="54"/>
        <v>0.76362925382533176</v>
      </c>
      <c r="S485">
        <v>58</v>
      </c>
      <c r="T485" t="str">
        <f t="shared" si="55"/>
        <v>Short</v>
      </c>
    </row>
    <row r="486" spans="1:20" ht="18.75" customHeight="1" x14ac:dyDescent="0.35">
      <c r="A486" t="s">
        <v>1959</v>
      </c>
      <c r="B486" t="s">
        <v>2828</v>
      </c>
      <c r="C486" t="s">
        <v>3257</v>
      </c>
      <c r="D486" s="2" t="s">
        <v>1960</v>
      </c>
      <c r="E486" s="2">
        <f t="shared" si="50"/>
        <v>45809</v>
      </c>
      <c r="F486" s="4">
        <f t="shared" si="51"/>
        <v>2025</v>
      </c>
      <c r="G486" t="str">
        <f t="shared" si="52"/>
        <v>June</v>
      </c>
      <c r="H486" t="str">
        <f t="shared" si="53"/>
        <v>2025-06</v>
      </c>
      <c r="I486" s="4">
        <f t="shared" ca="1" si="49"/>
        <v>115</v>
      </c>
      <c r="J486" t="s">
        <v>1265</v>
      </c>
      <c r="K486" t="s">
        <v>1266</v>
      </c>
      <c r="L486" t="s">
        <v>1961</v>
      </c>
      <c r="M486">
        <v>28</v>
      </c>
      <c r="N486" t="str">
        <f>VLOOKUP(M486, CategoryMap!$A$2:$B$100, 2, FALSE)</f>
        <v>Science &amp; Technology</v>
      </c>
      <c r="O486">
        <v>620769</v>
      </c>
      <c r="P486">
        <v>25351</v>
      </c>
      <c r="Q486">
        <v>1163</v>
      </c>
      <c r="R486" s="3">
        <f t="shared" si="54"/>
        <v>4.2711540041464699E-2</v>
      </c>
      <c r="S486">
        <v>694</v>
      </c>
      <c r="T486" t="str">
        <f t="shared" si="55"/>
        <v>Long</v>
      </c>
    </row>
    <row r="487" spans="1:20" ht="18.75" customHeight="1" x14ac:dyDescent="0.35">
      <c r="A487" t="s">
        <v>1962</v>
      </c>
      <c r="B487" t="s">
        <v>2829</v>
      </c>
      <c r="C487" t="s">
        <v>3258</v>
      </c>
      <c r="D487" s="2" t="s">
        <v>1963</v>
      </c>
      <c r="E487" s="2">
        <f t="shared" si="50"/>
        <v>45799</v>
      </c>
      <c r="F487" s="4">
        <f t="shared" si="51"/>
        <v>2025</v>
      </c>
      <c r="G487" t="str">
        <f t="shared" si="52"/>
        <v>May</v>
      </c>
      <c r="H487" t="str">
        <f t="shared" si="53"/>
        <v>2025-05</v>
      </c>
      <c r="I487" s="4">
        <f t="shared" ca="1" si="49"/>
        <v>125</v>
      </c>
      <c r="J487" t="s">
        <v>1964</v>
      </c>
      <c r="K487" t="s">
        <v>1965</v>
      </c>
      <c r="L487" t="s">
        <v>1966</v>
      </c>
      <c r="M487">
        <v>28</v>
      </c>
      <c r="N487" t="str">
        <f>VLOOKUP(M487, CategoryMap!$A$2:$B$100, 2, FALSE)</f>
        <v>Science &amp; Technology</v>
      </c>
      <c r="O487">
        <v>7326</v>
      </c>
      <c r="P487">
        <v>90</v>
      </c>
      <c r="Q487">
        <v>1</v>
      </c>
      <c r="R487" s="3">
        <f t="shared" si="54"/>
        <v>1.2421512421512421E-2</v>
      </c>
      <c r="S487">
        <v>24</v>
      </c>
      <c r="T487" t="str">
        <f t="shared" si="55"/>
        <v>Short</v>
      </c>
    </row>
    <row r="488" spans="1:20" ht="18.75" customHeight="1" x14ac:dyDescent="0.35">
      <c r="A488" t="s">
        <v>1967</v>
      </c>
      <c r="B488" t="s">
        <v>2830</v>
      </c>
      <c r="C488" t="s">
        <v>3259</v>
      </c>
      <c r="D488" s="2" t="s">
        <v>1968</v>
      </c>
      <c r="E488" s="2">
        <f t="shared" si="50"/>
        <v>45750</v>
      </c>
      <c r="F488" s="4">
        <f t="shared" si="51"/>
        <v>2025</v>
      </c>
      <c r="G488" t="str">
        <f t="shared" si="52"/>
        <v>April</v>
      </c>
      <c r="H488" t="str">
        <f t="shared" si="53"/>
        <v>2025-04</v>
      </c>
      <c r="I488" s="4">
        <f t="shared" ca="1" si="49"/>
        <v>174</v>
      </c>
      <c r="J488" t="s">
        <v>1969</v>
      </c>
      <c r="K488" t="s">
        <v>1970</v>
      </c>
      <c r="L488" t="s">
        <v>1971</v>
      </c>
      <c r="M488">
        <v>27</v>
      </c>
      <c r="N488" t="str">
        <f>VLOOKUP(M488, CategoryMap!$A$2:$B$100, 2, FALSE)</f>
        <v>Education</v>
      </c>
      <c r="O488">
        <v>1190</v>
      </c>
      <c r="P488">
        <v>217464.60837887001</v>
      </c>
      <c r="Q488">
        <v>1</v>
      </c>
      <c r="R488" s="3">
        <f t="shared" si="54"/>
        <v>182.74420872173951</v>
      </c>
      <c r="S488">
        <v>33</v>
      </c>
      <c r="T488" t="str">
        <f t="shared" si="55"/>
        <v>Short</v>
      </c>
    </row>
    <row r="489" spans="1:20" ht="18.75" customHeight="1" x14ac:dyDescent="0.35">
      <c r="A489" t="s">
        <v>1972</v>
      </c>
      <c r="B489" t="s">
        <v>2831</v>
      </c>
      <c r="C489" t="s">
        <v>3260</v>
      </c>
      <c r="D489" s="2" t="s">
        <v>1973</v>
      </c>
      <c r="E489" s="2">
        <f t="shared" si="50"/>
        <v>45775</v>
      </c>
      <c r="F489" s="4">
        <f t="shared" si="51"/>
        <v>2025</v>
      </c>
      <c r="G489" t="str">
        <f t="shared" si="52"/>
        <v>April</v>
      </c>
      <c r="H489" t="str">
        <f t="shared" si="53"/>
        <v>2025-04</v>
      </c>
      <c r="I489" s="4">
        <f t="shared" ca="1" si="49"/>
        <v>149</v>
      </c>
      <c r="J489" t="s">
        <v>1974</v>
      </c>
      <c r="K489" t="s">
        <v>1975</v>
      </c>
      <c r="L489" t="s">
        <v>1976</v>
      </c>
      <c r="M489">
        <v>25</v>
      </c>
      <c r="N489" t="str">
        <f>VLOOKUP(M489, CategoryMap!$A$2:$B$100, 2, FALSE)</f>
        <v>News &amp; Politics</v>
      </c>
      <c r="O489">
        <v>25600</v>
      </c>
      <c r="P489">
        <v>354</v>
      </c>
      <c r="Q489">
        <v>120</v>
      </c>
      <c r="R489" s="3">
        <f t="shared" si="54"/>
        <v>1.8515625000000001E-2</v>
      </c>
      <c r="S489">
        <v>148</v>
      </c>
      <c r="T489" t="str">
        <f t="shared" si="55"/>
        <v>Long</v>
      </c>
    </row>
    <row r="490" spans="1:20" ht="18.75" customHeight="1" x14ac:dyDescent="0.35">
      <c r="A490" t="s">
        <v>1977</v>
      </c>
      <c r="B490" t="s">
        <v>1978</v>
      </c>
      <c r="C490" t="s">
        <v>3261</v>
      </c>
      <c r="D490" s="2" t="s">
        <v>1979</v>
      </c>
      <c r="E490" s="2">
        <f t="shared" si="50"/>
        <v>45583</v>
      </c>
      <c r="F490" s="4">
        <f t="shared" si="51"/>
        <v>2024</v>
      </c>
      <c r="G490" t="str">
        <f t="shared" si="52"/>
        <v>October</v>
      </c>
      <c r="H490" t="str">
        <f t="shared" si="53"/>
        <v>2024-10</v>
      </c>
      <c r="I490" s="4">
        <f t="shared" ca="1" si="49"/>
        <v>341</v>
      </c>
      <c r="J490" t="s">
        <v>1980</v>
      </c>
      <c r="K490" t="s">
        <v>1981</v>
      </c>
      <c r="L490" t="s">
        <v>1982</v>
      </c>
      <c r="M490">
        <v>25</v>
      </c>
      <c r="N490" t="str">
        <f>VLOOKUP(M490, CategoryMap!$A$2:$B$100, 2, FALSE)</f>
        <v>News &amp; Politics</v>
      </c>
      <c r="O490">
        <v>29732507</v>
      </c>
      <c r="P490">
        <v>48267</v>
      </c>
      <c r="Q490">
        <v>0</v>
      </c>
      <c r="R490" s="3">
        <f t="shared" si="54"/>
        <v>1.623374712398117E-3</v>
      </c>
      <c r="S490">
        <v>752</v>
      </c>
      <c r="T490" t="str">
        <f t="shared" si="55"/>
        <v>Long</v>
      </c>
    </row>
    <row r="491" spans="1:20" ht="18.75" customHeight="1" x14ac:dyDescent="0.35">
      <c r="A491" t="s">
        <v>1983</v>
      </c>
      <c r="B491" t="s">
        <v>2832</v>
      </c>
      <c r="C491" t="s">
        <v>3262</v>
      </c>
      <c r="D491" s="2" t="s">
        <v>1984</v>
      </c>
      <c r="E491" s="2">
        <f t="shared" si="50"/>
        <v>45786</v>
      </c>
      <c r="F491" s="4">
        <f t="shared" si="51"/>
        <v>2025</v>
      </c>
      <c r="G491" t="str">
        <f t="shared" si="52"/>
        <v>May</v>
      </c>
      <c r="H491" t="str">
        <f t="shared" si="53"/>
        <v>2025-05</v>
      </c>
      <c r="I491" s="4">
        <f t="shared" ca="1" si="49"/>
        <v>138</v>
      </c>
      <c r="J491" t="s">
        <v>1985</v>
      </c>
      <c r="K491" t="s">
        <v>1986</v>
      </c>
      <c r="L491" t="s">
        <v>1987</v>
      </c>
      <c r="M491">
        <v>28</v>
      </c>
      <c r="N491" t="str">
        <f>VLOOKUP(M491, CategoryMap!$A$2:$B$100, 2, FALSE)</f>
        <v>Science &amp; Technology</v>
      </c>
      <c r="O491">
        <v>6030</v>
      </c>
      <c r="P491">
        <v>121</v>
      </c>
      <c r="Q491">
        <v>1</v>
      </c>
      <c r="R491" s="3">
        <f t="shared" si="54"/>
        <v>2.023217247097844E-2</v>
      </c>
      <c r="S491">
        <v>50</v>
      </c>
      <c r="T491" t="str">
        <f t="shared" si="55"/>
        <v>Short</v>
      </c>
    </row>
    <row r="492" spans="1:20" ht="18.75" customHeight="1" x14ac:dyDescent="0.35">
      <c r="A492" t="s">
        <v>1988</v>
      </c>
      <c r="B492" t="s">
        <v>2833</v>
      </c>
      <c r="C492" t="s">
        <v>3263</v>
      </c>
      <c r="D492" s="2" t="s">
        <v>1989</v>
      </c>
      <c r="E492" s="2">
        <f t="shared" si="50"/>
        <v>45761</v>
      </c>
      <c r="F492" s="4">
        <f t="shared" si="51"/>
        <v>2025</v>
      </c>
      <c r="G492" t="str">
        <f t="shared" si="52"/>
        <v>April</v>
      </c>
      <c r="H492" t="str">
        <f t="shared" si="53"/>
        <v>2025-04</v>
      </c>
      <c r="I492" s="4">
        <f t="shared" ca="1" si="49"/>
        <v>163</v>
      </c>
      <c r="J492" t="s">
        <v>178</v>
      </c>
      <c r="K492" t="s">
        <v>179</v>
      </c>
      <c r="L492" t="s">
        <v>1990</v>
      </c>
      <c r="M492">
        <v>28</v>
      </c>
      <c r="N492" t="str">
        <f>VLOOKUP(M492, CategoryMap!$A$2:$B$100, 2, FALSE)</f>
        <v>Science &amp; Technology</v>
      </c>
      <c r="O492">
        <v>1777792</v>
      </c>
      <c r="P492">
        <v>69507</v>
      </c>
      <c r="Q492">
        <v>3400</v>
      </c>
      <c r="R492" s="3">
        <f t="shared" si="54"/>
        <v>4.1009859421124631E-2</v>
      </c>
      <c r="S492">
        <v>501</v>
      </c>
      <c r="T492" t="str">
        <f t="shared" si="55"/>
        <v>Long</v>
      </c>
    </row>
    <row r="493" spans="1:20" ht="18.75" customHeight="1" x14ac:dyDescent="0.35">
      <c r="A493" t="s">
        <v>1991</v>
      </c>
      <c r="B493" t="s">
        <v>2834</v>
      </c>
      <c r="C493" t="s">
        <v>3264</v>
      </c>
      <c r="D493" s="2" t="s">
        <v>1992</v>
      </c>
      <c r="E493" s="2">
        <f t="shared" si="50"/>
        <v>45798</v>
      </c>
      <c r="F493" s="4">
        <f t="shared" si="51"/>
        <v>2025</v>
      </c>
      <c r="G493" t="str">
        <f t="shared" si="52"/>
        <v>May</v>
      </c>
      <c r="H493" t="str">
        <f t="shared" si="53"/>
        <v>2025-05</v>
      </c>
      <c r="I493" s="4">
        <f t="shared" ca="1" si="49"/>
        <v>126</v>
      </c>
      <c r="J493" t="s">
        <v>1993</v>
      </c>
      <c r="K493" t="s">
        <v>1994</v>
      </c>
      <c r="L493" t="s">
        <v>1995</v>
      </c>
      <c r="M493">
        <v>28</v>
      </c>
      <c r="N493" t="str">
        <f>VLOOKUP(M493, CategoryMap!$A$2:$B$100, 2, FALSE)</f>
        <v>Science &amp; Technology</v>
      </c>
      <c r="O493">
        <v>767236</v>
      </c>
      <c r="P493">
        <v>19667</v>
      </c>
      <c r="Q493">
        <v>669</v>
      </c>
      <c r="R493" s="3">
        <f t="shared" si="54"/>
        <v>2.6505534151160789E-2</v>
      </c>
      <c r="S493">
        <v>755</v>
      </c>
      <c r="T493" t="str">
        <f t="shared" si="55"/>
        <v>Long</v>
      </c>
    </row>
    <row r="494" spans="1:20" ht="18.75" customHeight="1" x14ac:dyDescent="0.35">
      <c r="A494" t="s">
        <v>1996</v>
      </c>
      <c r="B494" t="s">
        <v>2792</v>
      </c>
      <c r="C494" t="s">
        <v>3265</v>
      </c>
      <c r="D494" s="2" t="s">
        <v>1997</v>
      </c>
      <c r="E494" s="2">
        <f t="shared" si="50"/>
        <v>45756</v>
      </c>
      <c r="F494" s="4">
        <f t="shared" si="51"/>
        <v>2025</v>
      </c>
      <c r="G494" t="str">
        <f t="shared" si="52"/>
        <v>April</v>
      </c>
      <c r="H494" t="str">
        <f t="shared" si="53"/>
        <v>2025-04</v>
      </c>
      <c r="I494" s="4">
        <f t="shared" ca="1" si="49"/>
        <v>168</v>
      </c>
      <c r="J494" t="s">
        <v>1998</v>
      </c>
      <c r="K494" t="s">
        <v>1999</v>
      </c>
      <c r="L494" t="s">
        <v>2000</v>
      </c>
      <c r="M494">
        <v>28</v>
      </c>
      <c r="N494" t="str">
        <f>VLOOKUP(M494, CategoryMap!$A$2:$B$100, 2, FALSE)</f>
        <v>Science &amp; Technology</v>
      </c>
      <c r="O494">
        <v>465376</v>
      </c>
      <c r="P494">
        <v>3583</v>
      </c>
      <c r="Q494">
        <v>123</v>
      </c>
      <c r="R494" s="3">
        <f t="shared" si="54"/>
        <v>7.9634532077288035E-3</v>
      </c>
      <c r="S494">
        <v>973</v>
      </c>
      <c r="T494" t="str">
        <f t="shared" si="55"/>
        <v>Long</v>
      </c>
    </row>
    <row r="495" spans="1:20" ht="18.75" customHeight="1" x14ac:dyDescent="0.35">
      <c r="A495" t="s">
        <v>2001</v>
      </c>
      <c r="B495" t="s">
        <v>2835</v>
      </c>
      <c r="C495" t="s">
        <v>3266</v>
      </c>
      <c r="D495" s="2" t="s">
        <v>2002</v>
      </c>
      <c r="E495" s="2">
        <f t="shared" si="50"/>
        <v>45666</v>
      </c>
      <c r="F495" s="4">
        <f t="shared" si="51"/>
        <v>2025</v>
      </c>
      <c r="G495" t="str">
        <f t="shared" si="52"/>
        <v>January</v>
      </c>
      <c r="H495" t="str">
        <f t="shared" si="53"/>
        <v>2025-01</v>
      </c>
      <c r="I495" s="4">
        <f t="shared" ca="1" si="49"/>
        <v>258</v>
      </c>
      <c r="J495" t="s">
        <v>2003</v>
      </c>
      <c r="K495" t="s">
        <v>2004</v>
      </c>
      <c r="L495" t="s">
        <v>2005</v>
      </c>
      <c r="M495">
        <v>28</v>
      </c>
      <c r="N495" t="str">
        <f>VLOOKUP(M495, CategoryMap!$A$2:$B$100, 2, FALSE)</f>
        <v>Science &amp; Technology</v>
      </c>
      <c r="O495">
        <v>1100130</v>
      </c>
      <c r="P495">
        <v>8734</v>
      </c>
      <c r="Q495">
        <v>389</v>
      </c>
      <c r="R495" s="3">
        <f t="shared" si="54"/>
        <v>8.2926563224346213E-3</v>
      </c>
      <c r="S495">
        <v>1792</v>
      </c>
      <c r="T495" t="str">
        <f t="shared" si="55"/>
        <v>Long</v>
      </c>
    </row>
    <row r="496" spans="1:20" ht="18.75" customHeight="1" x14ac:dyDescent="0.35">
      <c r="A496" t="s">
        <v>2006</v>
      </c>
      <c r="B496" t="s">
        <v>2836</v>
      </c>
      <c r="C496" t="s">
        <v>3267</v>
      </c>
      <c r="D496" s="2" t="s">
        <v>2007</v>
      </c>
      <c r="E496" s="2">
        <f t="shared" si="50"/>
        <v>45648</v>
      </c>
      <c r="F496" s="4">
        <f t="shared" si="51"/>
        <v>2024</v>
      </c>
      <c r="G496" t="str">
        <f t="shared" si="52"/>
        <v>December</v>
      </c>
      <c r="H496" t="str">
        <f t="shared" si="53"/>
        <v>2024-12</v>
      </c>
      <c r="I496" s="4">
        <f t="shared" ca="1" si="49"/>
        <v>276</v>
      </c>
      <c r="J496" t="s">
        <v>2008</v>
      </c>
      <c r="K496" t="s">
        <v>2009</v>
      </c>
      <c r="L496" t="s">
        <v>2010</v>
      </c>
      <c r="M496">
        <v>28</v>
      </c>
      <c r="N496" t="str">
        <f>VLOOKUP(M496, CategoryMap!$A$2:$B$100, 2, FALSE)</f>
        <v>Science &amp; Technology</v>
      </c>
      <c r="O496">
        <v>2814241</v>
      </c>
      <c r="P496">
        <v>53773</v>
      </c>
      <c r="Q496">
        <v>10486</v>
      </c>
      <c r="R496" s="3">
        <f t="shared" si="54"/>
        <v>2.283350999434661E-2</v>
      </c>
      <c r="S496">
        <v>886</v>
      </c>
      <c r="T496" t="str">
        <f t="shared" si="55"/>
        <v>Long</v>
      </c>
    </row>
    <row r="497" spans="1:20" ht="18.75" customHeight="1" x14ac:dyDescent="0.35">
      <c r="A497" t="s">
        <v>2011</v>
      </c>
      <c r="B497" t="s">
        <v>2837</v>
      </c>
      <c r="C497" t="s">
        <v>3268</v>
      </c>
      <c r="D497" s="2" t="s">
        <v>2012</v>
      </c>
      <c r="E497" s="2">
        <f t="shared" si="50"/>
        <v>45816</v>
      </c>
      <c r="F497" s="4">
        <f t="shared" si="51"/>
        <v>2025</v>
      </c>
      <c r="G497" t="str">
        <f t="shared" si="52"/>
        <v>June</v>
      </c>
      <c r="H497" t="str">
        <f t="shared" si="53"/>
        <v>2025-06</v>
      </c>
      <c r="I497" s="4">
        <f t="shared" ca="1" si="49"/>
        <v>108</v>
      </c>
      <c r="J497" t="s">
        <v>2013</v>
      </c>
      <c r="K497" t="s">
        <v>2014</v>
      </c>
      <c r="L497" t="s">
        <v>2015</v>
      </c>
      <c r="M497">
        <v>28</v>
      </c>
      <c r="N497" t="str">
        <f>VLOOKUP(M497, CategoryMap!$A$2:$B$100, 2, FALSE)</f>
        <v>Science &amp; Technology</v>
      </c>
      <c r="O497">
        <v>31957</v>
      </c>
      <c r="P497">
        <v>1166</v>
      </c>
      <c r="Q497">
        <v>44</v>
      </c>
      <c r="R497" s="3">
        <f t="shared" si="54"/>
        <v>3.7863378915417592E-2</v>
      </c>
      <c r="S497">
        <v>600</v>
      </c>
      <c r="T497" t="str">
        <f t="shared" si="55"/>
        <v>Long</v>
      </c>
    </row>
    <row r="498" spans="1:20" ht="18.75" customHeight="1" x14ac:dyDescent="0.35">
      <c r="A498" t="s">
        <v>2016</v>
      </c>
      <c r="B498" t="s">
        <v>2838</v>
      </c>
      <c r="C498" t="s">
        <v>3269</v>
      </c>
      <c r="D498" s="2" t="s">
        <v>2017</v>
      </c>
      <c r="E498" s="2">
        <f t="shared" si="50"/>
        <v>45715</v>
      </c>
      <c r="F498" s="4">
        <f t="shared" si="51"/>
        <v>2025</v>
      </c>
      <c r="G498" t="str">
        <f t="shared" si="52"/>
        <v>February</v>
      </c>
      <c r="H498" t="str">
        <f t="shared" si="53"/>
        <v>2025-02</v>
      </c>
      <c r="I498" s="4">
        <f t="shared" ca="1" si="49"/>
        <v>209</v>
      </c>
      <c r="J498" t="s">
        <v>2018</v>
      </c>
      <c r="K498" t="s">
        <v>2019</v>
      </c>
      <c r="L498" t="s">
        <v>2020</v>
      </c>
      <c r="M498">
        <v>28</v>
      </c>
      <c r="N498" t="str">
        <f>VLOOKUP(M498, CategoryMap!$A$2:$B$100, 2, FALSE)</f>
        <v>Science &amp; Technology</v>
      </c>
      <c r="O498">
        <v>252848</v>
      </c>
      <c r="P498">
        <v>1631</v>
      </c>
      <c r="Q498">
        <v>176</v>
      </c>
      <c r="R498" s="3">
        <f t="shared" si="54"/>
        <v>7.1465860912484974E-3</v>
      </c>
      <c r="S498">
        <v>921</v>
      </c>
      <c r="T498" t="str">
        <f t="shared" si="55"/>
        <v>Long</v>
      </c>
    </row>
    <row r="499" spans="1:20" ht="18.75" customHeight="1" x14ac:dyDescent="0.35">
      <c r="A499" t="s">
        <v>2021</v>
      </c>
      <c r="B499" t="s">
        <v>2839</v>
      </c>
      <c r="C499" t="s">
        <v>3270</v>
      </c>
      <c r="D499" s="2" t="s">
        <v>2022</v>
      </c>
      <c r="E499" s="2">
        <f t="shared" si="50"/>
        <v>45731</v>
      </c>
      <c r="F499" s="4">
        <f t="shared" si="51"/>
        <v>2025</v>
      </c>
      <c r="G499" t="str">
        <f t="shared" si="52"/>
        <v>March</v>
      </c>
      <c r="H499" t="str">
        <f t="shared" si="53"/>
        <v>2025-03</v>
      </c>
      <c r="I499" s="4">
        <f t="shared" ca="1" si="49"/>
        <v>193</v>
      </c>
      <c r="J499" t="s">
        <v>2023</v>
      </c>
      <c r="K499" t="s">
        <v>2024</v>
      </c>
      <c r="L499" t="s">
        <v>2025</v>
      </c>
      <c r="M499">
        <v>24</v>
      </c>
      <c r="N499" t="str">
        <f>VLOOKUP(M499, CategoryMap!$A$2:$B$100, 2, FALSE)</f>
        <v>Entertainment</v>
      </c>
      <c r="O499">
        <v>800150</v>
      </c>
      <c r="P499">
        <v>10677</v>
      </c>
      <c r="Q499">
        <v>578</v>
      </c>
      <c r="R499" s="3">
        <f t="shared" si="54"/>
        <v>1.4066112603886771E-2</v>
      </c>
      <c r="S499">
        <v>124</v>
      </c>
      <c r="T499" t="str">
        <f t="shared" si="55"/>
        <v>Long</v>
      </c>
    </row>
    <row r="500" spans="1:20" ht="18.75" customHeight="1" x14ac:dyDescent="0.35">
      <c r="A500" t="s">
        <v>2026</v>
      </c>
      <c r="B500" t="s">
        <v>2840</v>
      </c>
      <c r="C500" t="s">
        <v>3271</v>
      </c>
      <c r="D500" s="2" t="s">
        <v>2027</v>
      </c>
      <c r="E500" s="2">
        <f t="shared" si="50"/>
        <v>45823</v>
      </c>
      <c r="F500" s="4">
        <f t="shared" si="51"/>
        <v>2025</v>
      </c>
      <c r="G500" t="str">
        <f t="shared" si="52"/>
        <v>June</v>
      </c>
      <c r="H500" t="str">
        <f t="shared" si="53"/>
        <v>2025-06</v>
      </c>
      <c r="I500" s="4">
        <f t="shared" ca="1" si="49"/>
        <v>101</v>
      </c>
      <c r="J500" t="s">
        <v>2028</v>
      </c>
      <c r="K500" t="s">
        <v>2029</v>
      </c>
      <c r="L500" t="s">
        <v>2030</v>
      </c>
      <c r="M500">
        <v>28</v>
      </c>
      <c r="N500" t="str">
        <f>VLOOKUP(M500, CategoryMap!$A$2:$B$100, 2, FALSE)</f>
        <v>Science &amp; Technology</v>
      </c>
      <c r="O500">
        <v>1701</v>
      </c>
      <c r="P500">
        <v>6</v>
      </c>
      <c r="Q500">
        <v>0</v>
      </c>
      <c r="R500" s="3">
        <f t="shared" si="54"/>
        <v>3.5273368606701938E-3</v>
      </c>
      <c r="S500">
        <v>29</v>
      </c>
      <c r="T500" t="str">
        <f t="shared" si="55"/>
        <v>Short</v>
      </c>
    </row>
    <row r="501" spans="1:20" ht="18.75" customHeight="1" x14ac:dyDescent="0.35">
      <c r="A501" t="s">
        <v>2031</v>
      </c>
      <c r="B501" t="s">
        <v>2841</v>
      </c>
      <c r="C501" t="s">
        <v>11</v>
      </c>
      <c r="D501" s="2" t="s">
        <v>2032</v>
      </c>
      <c r="E501" s="2">
        <f t="shared" si="50"/>
        <v>45785</v>
      </c>
      <c r="F501" s="4">
        <f t="shared" si="51"/>
        <v>2025</v>
      </c>
      <c r="G501" t="str">
        <f t="shared" si="52"/>
        <v>May</v>
      </c>
      <c r="H501" t="str">
        <f t="shared" si="53"/>
        <v>2025-05</v>
      </c>
      <c r="I501" s="4">
        <f t="shared" ca="1" si="49"/>
        <v>139</v>
      </c>
      <c r="J501" t="s">
        <v>2033</v>
      </c>
      <c r="K501" t="s">
        <v>2034</v>
      </c>
      <c r="L501" t="s">
        <v>29</v>
      </c>
      <c r="M501">
        <v>28</v>
      </c>
      <c r="N501" t="str">
        <f>VLOOKUP(M501, CategoryMap!$A$2:$B$100, 2, FALSE)</f>
        <v>Science &amp; Technology</v>
      </c>
      <c r="O501">
        <v>6392</v>
      </c>
      <c r="P501">
        <v>125</v>
      </c>
      <c r="Q501">
        <v>3</v>
      </c>
      <c r="R501" s="3">
        <f t="shared" si="54"/>
        <v>2.002503128911139E-2</v>
      </c>
      <c r="S501">
        <v>53</v>
      </c>
      <c r="T501" t="str">
        <f t="shared" si="55"/>
        <v>Short</v>
      </c>
    </row>
    <row r="502" spans="1:20" ht="18.75" customHeight="1" x14ac:dyDescent="0.35">
      <c r="A502" t="s">
        <v>2035</v>
      </c>
      <c r="B502" t="s">
        <v>2842</v>
      </c>
      <c r="C502" t="s">
        <v>11</v>
      </c>
      <c r="D502" s="2" t="s">
        <v>2036</v>
      </c>
      <c r="E502" s="2">
        <f t="shared" si="50"/>
        <v>45812</v>
      </c>
      <c r="F502" s="4">
        <f t="shared" si="51"/>
        <v>2025</v>
      </c>
      <c r="G502" t="str">
        <f t="shared" si="52"/>
        <v>June</v>
      </c>
      <c r="H502" t="str">
        <f t="shared" si="53"/>
        <v>2025-06</v>
      </c>
      <c r="I502" s="4">
        <f t="shared" ca="1" si="49"/>
        <v>112</v>
      </c>
      <c r="J502" t="s">
        <v>2037</v>
      </c>
      <c r="K502" t="s">
        <v>2038</v>
      </c>
      <c r="L502" t="s">
        <v>29</v>
      </c>
      <c r="M502">
        <v>24</v>
      </c>
      <c r="N502" t="str">
        <f>VLOOKUP(M502, CategoryMap!$A$2:$B$100, 2, FALSE)</f>
        <v>Entertainment</v>
      </c>
      <c r="O502">
        <v>1715</v>
      </c>
      <c r="P502">
        <v>12</v>
      </c>
      <c r="Q502">
        <v>0</v>
      </c>
      <c r="R502" s="3">
        <f t="shared" si="54"/>
        <v>6.9970845481049562E-3</v>
      </c>
      <c r="S502">
        <v>59</v>
      </c>
      <c r="T502" t="str">
        <f t="shared" si="55"/>
        <v>Short</v>
      </c>
    </row>
    <row r="503" spans="1:20" ht="18.75" customHeight="1" x14ac:dyDescent="0.35">
      <c r="A503" t="s">
        <v>2039</v>
      </c>
      <c r="B503" t="s">
        <v>2843</v>
      </c>
      <c r="C503" t="s">
        <v>3272</v>
      </c>
      <c r="D503" s="2" t="s">
        <v>2040</v>
      </c>
      <c r="E503" s="2">
        <f t="shared" si="50"/>
        <v>45790</v>
      </c>
      <c r="F503" s="4">
        <f t="shared" si="51"/>
        <v>2025</v>
      </c>
      <c r="G503" t="str">
        <f t="shared" si="52"/>
        <v>May</v>
      </c>
      <c r="H503" t="str">
        <f t="shared" si="53"/>
        <v>2025-05</v>
      </c>
      <c r="I503" s="4">
        <f t="shared" ca="1" si="49"/>
        <v>134</v>
      </c>
      <c r="J503" t="s">
        <v>2041</v>
      </c>
      <c r="K503" t="s">
        <v>2042</v>
      </c>
      <c r="L503" t="s">
        <v>2043</v>
      </c>
      <c r="M503">
        <v>28</v>
      </c>
      <c r="N503" t="str">
        <f>VLOOKUP(M503, CategoryMap!$A$2:$B$100, 2, FALSE)</f>
        <v>Science &amp; Technology</v>
      </c>
      <c r="O503">
        <v>1954</v>
      </c>
      <c r="P503">
        <v>26</v>
      </c>
      <c r="Q503">
        <v>0</v>
      </c>
      <c r="R503" s="3">
        <f t="shared" si="54"/>
        <v>1.3306038894575231E-2</v>
      </c>
      <c r="S503">
        <v>32</v>
      </c>
      <c r="T503" t="str">
        <f t="shared" si="55"/>
        <v>Short</v>
      </c>
    </row>
    <row r="504" spans="1:20" ht="18.75" customHeight="1" x14ac:dyDescent="0.35">
      <c r="A504" t="s">
        <v>1651</v>
      </c>
      <c r="B504" t="s">
        <v>2760</v>
      </c>
      <c r="C504" t="s">
        <v>11</v>
      </c>
      <c r="D504" s="2" t="s">
        <v>1652</v>
      </c>
      <c r="E504" s="2">
        <f t="shared" si="50"/>
        <v>45827</v>
      </c>
      <c r="F504" s="4">
        <f t="shared" si="51"/>
        <v>2025</v>
      </c>
      <c r="G504" t="str">
        <f t="shared" si="52"/>
        <v>June</v>
      </c>
      <c r="H504" t="str">
        <f t="shared" si="53"/>
        <v>2025-06</v>
      </c>
      <c r="I504" s="4">
        <f t="shared" ca="1" si="49"/>
        <v>97</v>
      </c>
      <c r="J504" t="s">
        <v>1653</v>
      </c>
      <c r="K504" t="s">
        <v>1654</v>
      </c>
      <c r="L504" t="s">
        <v>29</v>
      </c>
      <c r="M504">
        <v>28</v>
      </c>
      <c r="N504" t="str">
        <f>VLOOKUP(M504, CategoryMap!$A$2:$B$100, 2, FALSE)</f>
        <v>Science &amp; Technology</v>
      </c>
      <c r="O504">
        <v>9031</v>
      </c>
      <c r="P504">
        <v>145</v>
      </c>
      <c r="Q504">
        <v>1</v>
      </c>
      <c r="R504" s="3">
        <f t="shared" si="54"/>
        <v>1.6166537482006423E-2</v>
      </c>
      <c r="S504">
        <v>29</v>
      </c>
      <c r="T504" t="str">
        <f t="shared" si="55"/>
        <v>Short</v>
      </c>
    </row>
    <row r="505" spans="1:20" ht="18.75" customHeight="1" x14ac:dyDescent="0.35">
      <c r="A505" t="s">
        <v>2044</v>
      </c>
      <c r="B505" t="s">
        <v>2844</v>
      </c>
      <c r="C505" t="s">
        <v>3273</v>
      </c>
      <c r="D505" s="2" t="s">
        <v>2045</v>
      </c>
      <c r="E505" s="2">
        <f t="shared" si="50"/>
        <v>45584</v>
      </c>
      <c r="F505" s="4">
        <f t="shared" si="51"/>
        <v>2024</v>
      </c>
      <c r="G505" t="str">
        <f t="shared" si="52"/>
        <v>October</v>
      </c>
      <c r="H505" t="str">
        <f t="shared" si="53"/>
        <v>2024-10</v>
      </c>
      <c r="I505" s="4">
        <f t="shared" ca="1" si="49"/>
        <v>340</v>
      </c>
      <c r="J505" t="s">
        <v>2046</v>
      </c>
      <c r="K505" t="s">
        <v>2047</v>
      </c>
      <c r="L505" t="s">
        <v>2048</v>
      </c>
      <c r="M505">
        <v>27</v>
      </c>
      <c r="N505" t="str">
        <f>VLOOKUP(M505, CategoryMap!$A$2:$B$100, 2, FALSE)</f>
        <v>Education</v>
      </c>
      <c r="O505">
        <v>4876334</v>
      </c>
      <c r="P505">
        <v>248095</v>
      </c>
      <c r="Q505">
        <v>8364</v>
      </c>
      <c r="R505" s="3">
        <f t="shared" si="54"/>
        <v>5.2592582870656525E-2</v>
      </c>
      <c r="S505">
        <v>1710</v>
      </c>
      <c r="T505" t="str">
        <f t="shared" si="55"/>
        <v>Long</v>
      </c>
    </row>
    <row r="506" spans="1:20" ht="18.75" customHeight="1" x14ac:dyDescent="0.35">
      <c r="A506" t="s">
        <v>2049</v>
      </c>
      <c r="B506" t="s">
        <v>2845</v>
      </c>
      <c r="C506" t="s">
        <v>3274</v>
      </c>
      <c r="D506" s="2" t="s">
        <v>2050</v>
      </c>
      <c r="E506" s="2">
        <f t="shared" si="50"/>
        <v>45694</v>
      </c>
      <c r="F506" s="4">
        <f t="shared" si="51"/>
        <v>2025</v>
      </c>
      <c r="G506" t="str">
        <f t="shared" si="52"/>
        <v>February</v>
      </c>
      <c r="H506" t="str">
        <f t="shared" si="53"/>
        <v>2025-02</v>
      </c>
      <c r="I506" s="4">
        <f t="shared" ca="1" si="49"/>
        <v>230</v>
      </c>
      <c r="J506" t="s">
        <v>1287</v>
      </c>
      <c r="K506" t="s">
        <v>1288</v>
      </c>
      <c r="L506" t="s">
        <v>2051</v>
      </c>
      <c r="M506">
        <v>28</v>
      </c>
      <c r="N506" t="str">
        <f>VLOOKUP(M506, CategoryMap!$A$2:$B$100, 2, FALSE)</f>
        <v>Science &amp; Technology</v>
      </c>
      <c r="O506">
        <v>2725535</v>
      </c>
      <c r="P506">
        <v>75897</v>
      </c>
      <c r="Q506">
        <v>3859</v>
      </c>
      <c r="R506" s="3">
        <f t="shared" si="54"/>
        <v>2.9262511763745468E-2</v>
      </c>
      <c r="S506">
        <v>1989</v>
      </c>
      <c r="T506" t="str">
        <f t="shared" si="55"/>
        <v>Long</v>
      </c>
    </row>
    <row r="507" spans="1:20" ht="18.75" customHeight="1" x14ac:dyDescent="0.35">
      <c r="A507" t="s">
        <v>2052</v>
      </c>
      <c r="B507" t="s">
        <v>2846</v>
      </c>
      <c r="C507" t="s">
        <v>3275</v>
      </c>
      <c r="D507" s="2" t="s">
        <v>2053</v>
      </c>
      <c r="E507" s="2">
        <f t="shared" si="50"/>
        <v>45776</v>
      </c>
      <c r="F507" s="4">
        <f t="shared" si="51"/>
        <v>2025</v>
      </c>
      <c r="G507" t="str">
        <f t="shared" si="52"/>
        <v>April</v>
      </c>
      <c r="H507" t="str">
        <f t="shared" si="53"/>
        <v>2025-04</v>
      </c>
      <c r="I507" s="4">
        <f t="shared" ca="1" si="49"/>
        <v>148</v>
      </c>
      <c r="J507" t="s">
        <v>2054</v>
      </c>
      <c r="K507" t="s">
        <v>2055</v>
      </c>
      <c r="L507" t="s">
        <v>2056</v>
      </c>
      <c r="M507">
        <v>28</v>
      </c>
      <c r="N507" t="str">
        <f>VLOOKUP(M507, CategoryMap!$A$2:$B$100, 2, FALSE)</f>
        <v>Science &amp; Technology</v>
      </c>
      <c r="O507">
        <v>29339</v>
      </c>
      <c r="P507">
        <v>408</v>
      </c>
      <c r="Q507">
        <v>40</v>
      </c>
      <c r="R507" s="3">
        <f t="shared" si="54"/>
        <v>1.5269777429360237E-2</v>
      </c>
      <c r="S507">
        <v>167</v>
      </c>
      <c r="T507" t="str">
        <f t="shared" si="55"/>
        <v>Long</v>
      </c>
    </row>
    <row r="508" spans="1:20" ht="18.75" customHeight="1" x14ac:dyDescent="0.35">
      <c r="A508" t="s">
        <v>2057</v>
      </c>
      <c r="B508" t="s">
        <v>2847</v>
      </c>
      <c r="C508" t="s">
        <v>3276</v>
      </c>
      <c r="D508" s="2" t="s">
        <v>2058</v>
      </c>
      <c r="E508" s="2">
        <f t="shared" si="50"/>
        <v>45671</v>
      </c>
      <c r="F508" s="4">
        <f t="shared" si="51"/>
        <v>2025</v>
      </c>
      <c r="G508" t="str">
        <f t="shared" si="52"/>
        <v>January</v>
      </c>
      <c r="H508" t="str">
        <f t="shared" si="53"/>
        <v>2025-01</v>
      </c>
      <c r="I508" s="4">
        <f t="shared" ca="1" si="49"/>
        <v>253</v>
      </c>
      <c r="J508" t="s">
        <v>2059</v>
      </c>
      <c r="K508" t="s">
        <v>2060</v>
      </c>
      <c r="L508" t="s">
        <v>2061</v>
      </c>
      <c r="M508">
        <v>28</v>
      </c>
      <c r="N508" t="str">
        <f>VLOOKUP(M508, CategoryMap!$A$2:$B$100, 2, FALSE)</f>
        <v>Science &amp; Technology</v>
      </c>
      <c r="O508">
        <v>2541185</v>
      </c>
      <c r="P508">
        <v>64119</v>
      </c>
      <c r="Q508">
        <v>2774</v>
      </c>
      <c r="R508" s="3">
        <f t="shared" si="54"/>
        <v>2.6323545904764902E-2</v>
      </c>
      <c r="S508">
        <v>1847</v>
      </c>
      <c r="T508" t="str">
        <f t="shared" si="55"/>
        <v>Long</v>
      </c>
    </row>
    <row r="509" spans="1:20" ht="18.75" customHeight="1" x14ac:dyDescent="0.35">
      <c r="A509" t="s">
        <v>2062</v>
      </c>
      <c r="B509" t="s">
        <v>2848</v>
      </c>
      <c r="C509" t="s">
        <v>3277</v>
      </c>
      <c r="D509" s="2" t="s">
        <v>2063</v>
      </c>
      <c r="E509" s="2">
        <f t="shared" si="50"/>
        <v>45573</v>
      </c>
      <c r="F509" s="4">
        <f t="shared" si="51"/>
        <v>2024</v>
      </c>
      <c r="G509" t="str">
        <f t="shared" si="52"/>
        <v>October</v>
      </c>
      <c r="H509" t="str">
        <f t="shared" si="53"/>
        <v>2024-10</v>
      </c>
      <c r="I509" s="4">
        <f t="shared" ca="1" si="49"/>
        <v>351</v>
      </c>
      <c r="J509" t="s">
        <v>2064</v>
      </c>
      <c r="K509" t="s">
        <v>2065</v>
      </c>
      <c r="L509" t="s">
        <v>2066</v>
      </c>
      <c r="M509">
        <v>28</v>
      </c>
      <c r="N509" t="str">
        <f>VLOOKUP(M509, CategoryMap!$A$2:$B$100, 2, FALSE)</f>
        <v>Science &amp; Technology</v>
      </c>
      <c r="O509">
        <v>1246937</v>
      </c>
      <c r="P509">
        <v>28275</v>
      </c>
      <c r="Q509">
        <v>996</v>
      </c>
      <c r="R509" s="3">
        <f t="shared" si="54"/>
        <v>2.3474321477348094E-2</v>
      </c>
      <c r="S509">
        <v>808</v>
      </c>
      <c r="T509" t="str">
        <f t="shared" si="55"/>
        <v>Long</v>
      </c>
    </row>
    <row r="510" spans="1:20" ht="18.75" customHeight="1" x14ac:dyDescent="0.35">
      <c r="A510" t="s">
        <v>2067</v>
      </c>
      <c r="B510" t="s">
        <v>2849</v>
      </c>
      <c r="C510" t="s">
        <v>3278</v>
      </c>
      <c r="D510" s="2" t="s">
        <v>2068</v>
      </c>
      <c r="E510" s="2">
        <f t="shared" si="50"/>
        <v>45813</v>
      </c>
      <c r="F510" s="4">
        <f t="shared" si="51"/>
        <v>2025</v>
      </c>
      <c r="G510" t="str">
        <f t="shared" si="52"/>
        <v>June</v>
      </c>
      <c r="H510" t="str">
        <f t="shared" si="53"/>
        <v>2025-06</v>
      </c>
      <c r="I510" s="4">
        <f t="shared" ca="1" si="49"/>
        <v>111</v>
      </c>
      <c r="J510" t="s">
        <v>1993</v>
      </c>
      <c r="K510" t="s">
        <v>1994</v>
      </c>
      <c r="L510" t="s">
        <v>2069</v>
      </c>
      <c r="M510">
        <v>28</v>
      </c>
      <c r="N510" t="str">
        <f>VLOOKUP(M510, CategoryMap!$A$2:$B$100, 2, FALSE)</f>
        <v>Science &amp; Technology</v>
      </c>
      <c r="O510">
        <v>569490</v>
      </c>
      <c r="P510">
        <v>15310</v>
      </c>
      <c r="Q510">
        <v>631</v>
      </c>
      <c r="R510" s="3">
        <f t="shared" si="54"/>
        <v>2.7991711882561589E-2</v>
      </c>
      <c r="S510">
        <v>838</v>
      </c>
      <c r="T510" t="str">
        <f t="shared" si="55"/>
        <v>Long</v>
      </c>
    </row>
    <row r="511" spans="1:20" ht="18.75" customHeight="1" x14ac:dyDescent="0.35">
      <c r="A511" t="s">
        <v>2070</v>
      </c>
      <c r="B511" t="s">
        <v>2850</v>
      </c>
      <c r="C511" t="s">
        <v>3279</v>
      </c>
      <c r="D511" s="2" t="s">
        <v>2071</v>
      </c>
      <c r="E511" s="2">
        <f t="shared" si="50"/>
        <v>45405</v>
      </c>
      <c r="F511" s="4">
        <f t="shared" si="51"/>
        <v>2024</v>
      </c>
      <c r="G511" t="str">
        <f t="shared" si="52"/>
        <v>April</v>
      </c>
      <c r="H511" t="str">
        <f t="shared" si="53"/>
        <v>2024-04</v>
      </c>
      <c r="I511" s="4">
        <f t="shared" ca="1" si="49"/>
        <v>519</v>
      </c>
      <c r="J511" t="s">
        <v>1998</v>
      </c>
      <c r="K511" t="s">
        <v>1999</v>
      </c>
      <c r="L511" t="s">
        <v>2072</v>
      </c>
      <c r="M511">
        <v>28</v>
      </c>
      <c r="N511" t="str">
        <f>VLOOKUP(M511, CategoryMap!$A$2:$B$100, 2, FALSE)</f>
        <v>Science &amp; Technology</v>
      </c>
      <c r="O511">
        <v>578419</v>
      </c>
      <c r="P511">
        <v>5542</v>
      </c>
      <c r="Q511">
        <v>223</v>
      </c>
      <c r="R511" s="3">
        <f t="shared" si="54"/>
        <v>9.9668233581538639E-3</v>
      </c>
      <c r="S511">
        <v>990</v>
      </c>
      <c r="T511" t="str">
        <f t="shared" si="55"/>
        <v>Long</v>
      </c>
    </row>
    <row r="512" spans="1:20" ht="18.75" customHeight="1" x14ac:dyDescent="0.35">
      <c r="A512" t="s">
        <v>2073</v>
      </c>
      <c r="B512" t="s">
        <v>2851</v>
      </c>
      <c r="C512" t="s">
        <v>3280</v>
      </c>
      <c r="D512" s="2" t="s">
        <v>2074</v>
      </c>
      <c r="E512" s="2">
        <f t="shared" si="50"/>
        <v>45667</v>
      </c>
      <c r="F512" s="4">
        <f t="shared" si="51"/>
        <v>2025</v>
      </c>
      <c r="G512" t="str">
        <f t="shared" si="52"/>
        <v>January</v>
      </c>
      <c r="H512" t="str">
        <f t="shared" si="53"/>
        <v>2025-01</v>
      </c>
      <c r="I512" s="4">
        <f t="shared" ca="1" si="49"/>
        <v>257</v>
      </c>
      <c r="J512" t="s">
        <v>2075</v>
      </c>
      <c r="K512" t="s">
        <v>2076</v>
      </c>
      <c r="L512" t="s">
        <v>2077</v>
      </c>
      <c r="M512">
        <v>28</v>
      </c>
      <c r="N512" t="str">
        <f>VLOOKUP(M512, CategoryMap!$A$2:$B$100, 2, FALSE)</f>
        <v>Science &amp; Technology</v>
      </c>
      <c r="O512">
        <v>539853</v>
      </c>
      <c r="P512">
        <v>8751</v>
      </c>
      <c r="Q512">
        <v>338</v>
      </c>
      <c r="R512" s="3">
        <f t="shared" si="54"/>
        <v>1.6836064632409192E-2</v>
      </c>
      <c r="S512">
        <v>1214</v>
      </c>
      <c r="T512" t="str">
        <f t="shared" si="55"/>
        <v>Long</v>
      </c>
    </row>
    <row r="513" spans="1:20" ht="18.75" customHeight="1" x14ac:dyDescent="0.35">
      <c r="A513" t="s">
        <v>2078</v>
      </c>
      <c r="B513" t="s">
        <v>2852</v>
      </c>
      <c r="C513" t="s">
        <v>3281</v>
      </c>
      <c r="D513" s="2" t="s">
        <v>2079</v>
      </c>
      <c r="E513" s="2">
        <f t="shared" si="50"/>
        <v>44707</v>
      </c>
      <c r="F513" s="4">
        <f t="shared" si="51"/>
        <v>2022</v>
      </c>
      <c r="G513" t="str">
        <f t="shared" si="52"/>
        <v>May</v>
      </c>
      <c r="H513" t="str">
        <f t="shared" si="53"/>
        <v>2022-05</v>
      </c>
      <c r="I513" s="4">
        <f t="shared" ca="1" si="49"/>
        <v>1217</v>
      </c>
      <c r="J513" t="s">
        <v>178</v>
      </c>
      <c r="K513" t="s">
        <v>179</v>
      </c>
      <c r="L513" t="s">
        <v>2080</v>
      </c>
      <c r="M513">
        <v>28</v>
      </c>
      <c r="N513" t="str">
        <f>VLOOKUP(M513, CategoryMap!$A$2:$B$100, 2, FALSE)</f>
        <v>Science &amp; Technology</v>
      </c>
      <c r="O513">
        <v>4034331</v>
      </c>
      <c r="P513">
        <v>131765</v>
      </c>
      <c r="Q513">
        <v>3428</v>
      </c>
      <c r="R513" s="3">
        <f t="shared" si="54"/>
        <v>3.3510636583859874E-2</v>
      </c>
      <c r="S513">
        <v>1268</v>
      </c>
      <c r="T513" t="str">
        <f t="shared" si="55"/>
        <v>Long</v>
      </c>
    </row>
    <row r="514" spans="1:20" ht="18.75" customHeight="1" x14ac:dyDescent="0.35">
      <c r="A514" t="s">
        <v>2081</v>
      </c>
      <c r="B514" t="s">
        <v>2853</v>
      </c>
      <c r="C514" t="s">
        <v>3282</v>
      </c>
      <c r="D514" s="2" t="s">
        <v>2082</v>
      </c>
      <c r="E514" s="2">
        <f t="shared" si="50"/>
        <v>45512</v>
      </c>
      <c r="F514" s="4">
        <f t="shared" si="51"/>
        <v>2024</v>
      </c>
      <c r="G514" t="str">
        <f t="shared" si="52"/>
        <v>August</v>
      </c>
      <c r="H514" t="str">
        <f t="shared" si="53"/>
        <v>2024-08</v>
      </c>
      <c r="I514" s="4">
        <f t="shared" ref="I514:I577" ca="1" si="56">TODAY() - DATEVALUE(LEFT(D514,10))</f>
        <v>412</v>
      </c>
      <c r="J514" t="s">
        <v>2083</v>
      </c>
      <c r="K514" t="s">
        <v>2084</v>
      </c>
      <c r="L514" t="s">
        <v>2085</v>
      </c>
      <c r="M514">
        <v>27</v>
      </c>
      <c r="N514" t="str">
        <f>VLOOKUP(M514, CategoryMap!$A$2:$B$100, 2, FALSE)</f>
        <v>Education</v>
      </c>
      <c r="O514">
        <v>587614</v>
      </c>
      <c r="P514">
        <v>8504</v>
      </c>
      <c r="Q514">
        <v>738</v>
      </c>
      <c r="R514" s="3">
        <f t="shared" si="54"/>
        <v>1.5728011926196449E-2</v>
      </c>
      <c r="S514">
        <v>752</v>
      </c>
      <c r="T514" t="str">
        <f t="shared" si="55"/>
        <v>Long</v>
      </c>
    </row>
    <row r="515" spans="1:20" ht="18.75" customHeight="1" x14ac:dyDescent="0.35">
      <c r="A515" t="e">
        <v>#NAME?</v>
      </c>
      <c r="B515" t="s">
        <v>2854</v>
      </c>
      <c r="C515" t="s">
        <v>3283</v>
      </c>
      <c r="D515" s="2" t="s">
        <v>2086</v>
      </c>
      <c r="E515" s="2">
        <f t="shared" ref="E515:E578" si="57">DATEVALUE(LEFT(D515,10))</f>
        <v>45528</v>
      </c>
      <c r="F515" s="4">
        <f t="shared" ref="F515:F578" si="58">YEAR(E515)</f>
        <v>2024</v>
      </c>
      <c r="G515" t="str">
        <f t="shared" ref="G515:G578" si="59">TEXT(E515,"MMMM")</f>
        <v>August</v>
      </c>
      <c r="H515" t="str">
        <f t="shared" ref="H515:H578" si="60">TEXT(E515,"YYYY-MM")</f>
        <v>2024-08</v>
      </c>
      <c r="I515" s="4">
        <f t="shared" ca="1" si="56"/>
        <v>396</v>
      </c>
      <c r="J515" t="s">
        <v>2087</v>
      </c>
      <c r="K515" t="s">
        <v>2088</v>
      </c>
      <c r="L515" t="s">
        <v>2089</v>
      </c>
      <c r="M515">
        <v>20</v>
      </c>
      <c r="N515" t="str">
        <f>VLOOKUP(M515, CategoryMap!$A$2:$B$100, 2, FALSE)</f>
        <v>Gaming</v>
      </c>
      <c r="O515">
        <v>413270</v>
      </c>
      <c r="P515">
        <v>7744</v>
      </c>
      <c r="Q515">
        <v>294</v>
      </c>
      <c r="R515" s="3">
        <f t="shared" ref="R515:R578" si="61">IF(O515=0, 0, (P515 + Q515) / O515)</f>
        <v>1.9449754397851283E-2</v>
      </c>
      <c r="S515">
        <v>1164</v>
      </c>
      <c r="T515" t="str">
        <f t="shared" ref="T515:T578" si="62">IF(S515&lt;=60, "Short", "Long")</f>
        <v>Long</v>
      </c>
    </row>
    <row r="516" spans="1:20" ht="18.75" customHeight="1" x14ac:dyDescent="0.35">
      <c r="A516" t="s">
        <v>2090</v>
      </c>
      <c r="B516" t="s">
        <v>2855</v>
      </c>
      <c r="C516" t="s">
        <v>3284</v>
      </c>
      <c r="D516" s="2" t="s">
        <v>2091</v>
      </c>
      <c r="E516" s="2">
        <f t="shared" si="57"/>
        <v>45805</v>
      </c>
      <c r="F516" s="4">
        <f t="shared" si="58"/>
        <v>2025</v>
      </c>
      <c r="G516" t="str">
        <f t="shared" si="59"/>
        <v>May</v>
      </c>
      <c r="H516" t="str">
        <f t="shared" si="60"/>
        <v>2025-05</v>
      </c>
      <c r="I516" s="4">
        <f t="shared" ca="1" si="56"/>
        <v>119</v>
      </c>
      <c r="J516" t="s">
        <v>1974</v>
      </c>
      <c r="K516" t="s">
        <v>1975</v>
      </c>
      <c r="L516" t="s">
        <v>1976</v>
      </c>
      <c r="M516">
        <v>25</v>
      </c>
      <c r="N516" t="str">
        <f>VLOOKUP(M516, CategoryMap!$A$2:$B$100, 2, FALSE)</f>
        <v>News &amp; Politics</v>
      </c>
      <c r="O516">
        <v>120483</v>
      </c>
      <c r="P516">
        <v>24</v>
      </c>
      <c r="Q516">
        <v>2</v>
      </c>
      <c r="R516" s="3">
        <f t="shared" si="61"/>
        <v>2.1579807939709337E-4</v>
      </c>
      <c r="S516">
        <v>2687</v>
      </c>
      <c r="T516" t="str">
        <f t="shared" si="62"/>
        <v>Long</v>
      </c>
    </row>
    <row r="517" spans="1:20" ht="18.75" customHeight="1" x14ac:dyDescent="0.35">
      <c r="A517" t="s">
        <v>2092</v>
      </c>
      <c r="B517" t="s">
        <v>2856</v>
      </c>
      <c r="C517" t="s">
        <v>2093</v>
      </c>
      <c r="D517" s="2" t="s">
        <v>2094</v>
      </c>
      <c r="E517" s="2">
        <f t="shared" si="57"/>
        <v>45778</v>
      </c>
      <c r="F517" s="4">
        <f t="shared" si="58"/>
        <v>2025</v>
      </c>
      <c r="G517" t="str">
        <f t="shared" si="59"/>
        <v>May</v>
      </c>
      <c r="H517" t="str">
        <f t="shared" si="60"/>
        <v>2025-05</v>
      </c>
      <c r="I517" s="4">
        <f t="shared" ca="1" si="56"/>
        <v>146</v>
      </c>
      <c r="J517" t="s">
        <v>2095</v>
      </c>
      <c r="K517" t="s">
        <v>2096</v>
      </c>
      <c r="L517" t="s">
        <v>2097</v>
      </c>
      <c r="M517">
        <v>2</v>
      </c>
      <c r="N517" t="str">
        <f>VLOOKUP(M517, CategoryMap!$A$2:$B$100, 2, FALSE)</f>
        <v>Autos &amp; Vehicles</v>
      </c>
      <c r="O517">
        <v>4521</v>
      </c>
      <c r="P517">
        <v>48</v>
      </c>
      <c r="Q517">
        <v>0</v>
      </c>
      <c r="R517" s="3">
        <f t="shared" si="61"/>
        <v>1.0617120106171201E-2</v>
      </c>
      <c r="S517">
        <v>28</v>
      </c>
      <c r="T517" t="str">
        <f t="shared" si="62"/>
        <v>Short</v>
      </c>
    </row>
    <row r="518" spans="1:20" ht="18.75" customHeight="1" x14ac:dyDescent="0.35">
      <c r="A518" t="s">
        <v>2098</v>
      </c>
      <c r="B518" t="s">
        <v>2857</v>
      </c>
      <c r="C518" t="s">
        <v>3285</v>
      </c>
      <c r="D518" s="2" t="s">
        <v>2099</v>
      </c>
      <c r="E518" s="2">
        <f t="shared" si="57"/>
        <v>45815</v>
      </c>
      <c r="F518" s="4">
        <f t="shared" si="58"/>
        <v>2025</v>
      </c>
      <c r="G518" t="str">
        <f t="shared" si="59"/>
        <v>June</v>
      </c>
      <c r="H518" t="str">
        <f t="shared" si="60"/>
        <v>2025-06</v>
      </c>
      <c r="I518" s="4">
        <f t="shared" ca="1" si="56"/>
        <v>109</v>
      </c>
      <c r="J518" t="s">
        <v>1535</v>
      </c>
      <c r="K518" t="s">
        <v>1536</v>
      </c>
      <c r="L518" t="s">
        <v>2100</v>
      </c>
      <c r="M518">
        <v>28</v>
      </c>
      <c r="N518" t="str">
        <f>VLOOKUP(M518, CategoryMap!$A$2:$B$100, 2, FALSE)</f>
        <v>Science &amp; Technology</v>
      </c>
      <c r="O518">
        <v>379513</v>
      </c>
      <c r="P518">
        <v>17123</v>
      </c>
      <c r="Q518">
        <v>1002</v>
      </c>
      <c r="R518" s="3">
        <f t="shared" si="61"/>
        <v>4.775857480507914E-2</v>
      </c>
      <c r="S518">
        <v>631</v>
      </c>
      <c r="T518" t="str">
        <f t="shared" si="62"/>
        <v>Long</v>
      </c>
    </row>
    <row r="519" spans="1:20" ht="18.75" customHeight="1" x14ac:dyDescent="0.35">
      <c r="A519" t="s">
        <v>2101</v>
      </c>
      <c r="B519" t="s">
        <v>2858</v>
      </c>
      <c r="C519" t="s">
        <v>3286</v>
      </c>
      <c r="D519" s="2" t="s">
        <v>2102</v>
      </c>
      <c r="E519" s="2">
        <f t="shared" si="57"/>
        <v>45819</v>
      </c>
      <c r="F519" s="4">
        <f t="shared" si="58"/>
        <v>2025</v>
      </c>
      <c r="G519" t="str">
        <f t="shared" si="59"/>
        <v>June</v>
      </c>
      <c r="H519" t="str">
        <f t="shared" si="60"/>
        <v>2025-06</v>
      </c>
      <c r="I519" s="4">
        <f t="shared" ca="1" si="56"/>
        <v>105</v>
      </c>
      <c r="J519" t="s">
        <v>1560</v>
      </c>
      <c r="K519" t="s">
        <v>1561</v>
      </c>
      <c r="L519" t="s">
        <v>2103</v>
      </c>
      <c r="M519">
        <v>28</v>
      </c>
      <c r="N519" t="str">
        <f>VLOOKUP(M519, CategoryMap!$A$2:$B$100, 2, FALSE)</f>
        <v>Science &amp; Technology</v>
      </c>
      <c r="O519">
        <v>873493</v>
      </c>
      <c r="P519">
        <v>31376</v>
      </c>
      <c r="Q519">
        <v>1621</v>
      </c>
      <c r="R519" s="3">
        <f t="shared" si="61"/>
        <v>3.7775918066887772E-2</v>
      </c>
      <c r="S519">
        <v>742</v>
      </c>
      <c r="T519" t="str">
        <f t="shared" si="62"/>
        <v>Long</v>
      </c>
    </row>
    <row r="520" spans="1:20" ht="18.75" customHeight="1" x14ac:dyDescent="0.35">
      <c r="A520" t="s">
        <v>2104</v>
      </c>
      <c r="B520" t="s">
        <v>2859</v>
      </c>
      <c r="C520" t="s">
        <v>3287</v>
      </c>
      <c r="D520" s="2" t="s">
        <v>2105</v>
      </c>
      <c r="E520" s="2">
        <f t="shared" si="57"/>
        <v>45812</v>
      </c>
      <c r="F520" s="4">
        <f t="shared" si="58"/>
        <v>2025</v>
      </c>
      <c r="G520" t="str">
        <f t="shared" si="59"/>
        <v>June</v>
      </c>
      <c r="H520" t="str">
        <f t="shared" si="60"/>
        <v>2025-06</v>
      </c>
      <c r="I520" s="4">
        <f t="shared" ca="1" si="56"/>
        <v>112</v>
      </c>
      <c r="J520" t="s">
        <v>2106</v>
      </c>
      <c r="K520" t="s">
        <v>2107</v>
      </c>
      <c r="L520" t="s">
        <v>2108</v>
      </c>
      <c r="M520">
        <v>24</v>
      </c>
      <c r="N520" t="str">
        <f>VLOOKUP(M520, CategoryMap!$A$2:$B$100, 2, FALSE)</f>
        <v>Entertainment</v>
      </c>
      <c r="O520">
        <v>1207</v>
      </c>
      <c r="P520">
        <v>14</v>
      </c>
      <c r="Q520">
        <v>0</v>
      </c>
      <c r="R520" s="3">
        <f t="shared" si="61"/>
        <v>1.15990057995029E-2</v>
      </c>
      <c r="S520">
        <v>42</v>
      </c>
      <c r="T520" t="str">
        <f t="shared" si="62"/>
        <v>Short</v>
      </c>
    </row>
    <row r="521" spans="1:20" ht="18.75" customHeight="1" x14ac:dyDescent="0.35">
      <c r="A521" t="s">
        <v>2109</v>
      </c>
      <c r="B521" t="s">
        <v>2860</v>
      </c>
      <c r="C521" t="s">
        <v>11</v>
      </c>
      <c r="D521" s="2" t="s">
        <v>2110</v>
      </c>
      <c r="E521" s="2">
        <f t="shared" si="57"/>
        <v>45810</v>
      </c>
      <c r="F521" s="4">
        <f t="shared" si="58"/>
        <v>2025</v>
      </c>
      <c r="G521" t="str">
        <f t="shared" si="59"/>
        <v>June</v>
      </c>
      <c r="H521" t="str">
        <f t="shared" si="60"/>
        <v>2025-06</v>
      </c>
      <c r="I521" s="4">
        <f t="shared" ca="1" si="56"/>
        <v>114</v>
      </c>
      <c r="J521" t="s">
        <v>2111</v>
      </c>
      <c r="K521" t="s">
        <v>2112</v>
      </c>
      <c r="L521" t="s">
        <v>29</v>
      </c>
      <c r="M521">
        <v>22</v>
      </c>
      <c r="N521" t="str">
        <f>VLOOKUP(M521, CategoryMap!$A$2:$B$100, 2, FALSE)</f>
        <v>People &amp; Blogs</v>
      </c>
      <c r="O521">
        <v>21563</v>
      </c>
      <c r="P521">
        <v>154</v>
      </c>
      <c r="Q521">
        <v>0</v>
      </c>
      <c r="R521" s="3">
        <f t="shared" si="61"/>
        <v>7.1418633770811112E-3</v>
      </c>
      <c r="S521">
        <v>21</v>
      </c>
      <c r="T521" t="str">
        <f t="shared" si="62"/>
        <v>Short</v>
      </c>
    </row>
    <row r="522" spans="1:20" ht="18.75" customHeight="1" x14ac:dyDescent="0.35">
      <c r="A522" t="s">
        <v>2113</v>
      </c>
      <c r="B522" t="s">
        <v>2861</v>
      </c>
      <c r="C522" t="s">
        <v>3288</v>
      </c>
      <c r="D522" s="2" t="s">
        <v>2114</v>
      </c>
      <c r="E522" s="2">
        <f t="shared" si="57"/>
        <v>45779</v>
      </c>
      <c r="F522" s="4">
        <f t="shared" si="58"/>
        <v>2025</v>
      </c>
      <c r="G522" t="str">
        <f t="shared" si="59"/>
        <v>May</v>
      </c>
      <c r="H522" t="str">
        <f t="shared" si="60"/>
        <v>2025-05</v>
      </c>
      <c r="I522" s="4">
        <f t="shared" ca="1" si="56"/>
        <v>145</v>
      </c>
      <c r="J522" t="s">
        <v>2115</v>
      </c>
      <c r="K522" t="s">
        <v>2116</v>
      </c>
      <c r="L522" t="s">
        <v>2117</v>
      </c>
      <c r="M522">
        <v>22</v>
      </c>
      <c r="N522" t="str">
        <f>VLOOKUP(M522, CategoryMap!$A$2:$B$100, 2, FALSE)</f>
        <v>People &amp; Blogs</v>
      </c>
      <c r="O522">
        <v>523536</v>
      </c>
      <c r="P522">
        <v>4065</v>
      </c>
      <c r="Q522">
        <v>74</v>
      </c>
      <c r="R522" s="3">
        <f t="shared" si="61"/>
        <v>7.9058555667614067E-3</v>
      </c>
      <c r="S522">
        <v>20</v>
      </c>
      <c r="T522" t="str">
        <f t="shared" si="62"/>
        <v>Short</v>
      </c>
    </row>
    <row r="523" spans="1:20" ht="18.75" customHeight="1" x14ac:dyDescent="0.35">
      <c r="A523" t="s">
        <v>2118</v>
      </c>
      <c r="B523" t="s">
        <v>2862</v>
      </c>
      <c r="C523" t="s">
        <v>3289</v>
      </c>
      <c r="D523" s="2" t="s">
        <v>2119</v>
      </c>
      <c r="E523" s="2">
        <f t="shared" si="57"/>
        <v>45734</v>
      </c>
      <c r="F523" s="4">
        <f t="shared" si="58"/>
        <v>2025</v>
      </c>
      <c r="G523" t="str">
        <f t="shared" si="59"/>
        <v>March</v>
      </c>
      <c r="H523" t="str">
        <f t="shared" si="60"/>
        <v>2025-03</v>
      </c>
      <c r="I523" s="4">
        <f t="shared" ca="1" si="56"/>
        <v>190</v>
      </c>
      <c r="J523" t="s">
        <v>1905</v>
      </c>
      <c r="K523" t="s">
        <v>1906</v>
      </c>
      <c r="L523" t="s">
        <v>2120</v>
      </c>
      <c r="M523">
        <v>28</v>
      </c>
      <c r="N523" t="str">
        <f>VLOOKUP(M523, CategoryMap!$A$2:$B$100, 2, FALSE)</f>
        <v>Science &amp; Technology</v>
      </c>
      <c r="O523">
        <v>4358841</v>
      </c>
      <c r="P523">
        <v>99282</v>
      </c>
      <c r="Q523">
        <v>8985</v>
      </c>
      <c r="R523" s="3">
        <f t="shared" si="61"/>
        <v>2.4838483440896331E-2</v>
      </c>
      <c r="S523">
        <v>2294</v>
      </c>
      <c r="T523" t="str">
        <f t="shared" si="62"/>
        <v>Long</v>
      </c>
    </row>
    <row r="524" spans="1:20" ht="18.75" customHeight="1" x14ac:dyDescent="0.35">
      <c r="A524" t="s">
        <v>2121</v>
      </c>
      <c r="B524" t="s">
        <v>2863</v>
      </c>
      <c r="C524" t="s">
        <v>11</v>
      </c>
      <c r="D524" s="2" t="s">
        <v>2122</v>
      </c>
      <c r="E524" s="2">
        <f t="shared" si="57"/>
        <v>45805</v>
      </c>
      <c r="F524" s="4">
        <f t="shared" si="58"/>
        <v>2025</v>
      </c>
      <c r="G524" t="str">
        <f t="shared" si="59"/>
        <v>May</v>
      </c>
      <c r="H524" t="str">
        <f t="shared" si="60"/>
        <v>2025-05</v>
      </c>
      <c r="I524" s="4">
        <f t="shared" ca="1" si="56"/>
        <v>119</v>
      </c>
      <c r="J524" t="s">
        <v>2123</v>
      </c>
      <c r="K524" t="s">
        <v>2124</v>
      </c>
      <c r="L524" t="s">
        <v>29</v>
      </c>
      <c r="M524">
        <v>28</v>
      </c>
      <c r="N524" t="str">
        <f>VLOOKUP(M524, CategoryMap!$A$2:$B$100, 2, FALSE)</f>
        <v>Science &amp; Technology</v>
      </c>
      <c r="O524">
        <v>5331</v>
      </c>
      <c r="P524">
        <v>18</v>
      </c>
      <c r="Q524">
        <v>0</v>
      </c>
      <c r="R524" s="3">
        <f t="shared" si="61"/>
        <v>3.3764772087788407E-3</v>
      </c>
      <c r="S524">
        <v>56</v>
      </c>
      <c r="T524" t="str">
        <f t="shared" si="62"/>
        <v>Short</v>
      </c>
    </row>
    <row r="525" spans="1:20" ht="18.75" customHeight="1" x14ac:dyDescent="0.35">
      <c r="A525" t="s">
        <v>2125</v>
      </c>
      <c r="B525" t="s">
        <v>2864</v>
      </c>
      <c r="C525" t="s">
        <v>3290</v>
      </c>
      <c r="D525" s="2" t="s">
        <v>2126</v>
      </c>
      <c r="E525" s="2">
        <f t="shared" si="57"/>
        <v>45781</v>
      </c>
      <c r="F525" s="4">
        <f t="shared" si="58"/>
        <v>2025</v>
      </c>
      <c r="G525" t="str">
        <f t="shared" si="59"/>
        <v>May</v>
      </c>
      <c r="H525" t="str">
        <f t="shared" si="60"/>
        <v>2025-05</v>
      </c>
      <c r="I525" s="4">
        <f t="shared" ca="1" si="56"/>
        <v>143</v>
      </c>
      <c r="J525" t="s">
        <v>2127</v>
      </c>
      <c r="K525" t="s">
        <v>2128</v>
      </c>
      <c r="L525" t="s">
        <v>2129</v>
      </c>
      <c r="M525">
        <v>26</v>
      </c>
      <c r="N525" t="str">
        <f>VLOOKUP(M525, CategoryMap!$A$2:$B$100, 2, FALSE)</f>
        <v>Howto &amp; Style</v>
      </c>
      <c r="O525">
        <v>5091</v>
      </c>
      <c r="P525">
        <v>39</v>
      </c>
      <c r="Q525">
        <v>0</v>
      </c>
      <c r="R525" s="3">
        <f t="shared" si="61"/>
        <v>7.6605774896876845E-3</v>
      </c>
      <c r="S525">
        <v>39</v>
      </c>
      <c r="T525" t="str">
        <f t="shared" si="62"/>
        <v>Short</v>
      </c>
    </row>
    <row r="526" spans="1:20" ht="18.75" customHeight="1" x14ac:dyDescent="0.35">
      <c r="A526" t="s">
        <v>2130</v>
      </c>
      <c r="B526" t="s">
        <v>2865</v>
      </c>
      <c r="C526" t="s">
        <v>3291</v>
      </c>
      <c r="D526" s="2" t="s">
        <v>2131</v>
      </c>
      <c r="E526" s="2">
        <f t="shared" si="57"/>
        <v>44658</v>
      </c>
      <c r="F526" s="4">
        <f t="shared" si="58"/>
        <v>2022</v>
      </c>
      <c r="G526" t="str">
        <f t="shared" si="59"/>
        <v>April</v>
      </c>
      <c r="H526" t="str">
        <f t="shared" si="60"/>
        <v>2022-04</v>
      </c>
      <c r="I526" s="4">
        <f t="shared" ca="1" si="56"/>
        <v>1266</v>
      </c>
      <c r="J526" t="s">
        <v>2132</v>
      </c>
      <c r="K526" t="s">
        <v>2133</v>
      </c>
      <c r="L526" t="s">
        <v>2134</v>
      </c>
      <c r="M526">
        <v>25</v>
      </c>
      <c r="N526" t="str">
        <f>VLOOKUP(M526, CategoryMap!$A$2:$B$100, 2, FALSE)</f>
        <v>News &amp; Politics</v>
      </c>
      <c r="O526">
        <v>344551</v>
      </c>
      <c r="P526">
        <v>7548</v>
      </c>
      <c r="Q526">
        <v>465</v>
      </c>
      <c r="R526" s="3">
        <f t="shared" si="61"/>
        <v>2.325635392148042E-2</v>
      </c>
      <c r="S526">
        <v>967</v>
      </c>
      <c r="T526" t="str">
        <f t="shared" si="62"/>
        <v>Long</v>
      </c>
    </row>
    <row r="527" spans="1:20" ht="18.75" customHeight="1" x14ac:dyDescent="0.35">
      <c r="A527" t="s">
        <v>2135</v>
      </c>
      <c r="B527" t="s">
        <v>2866</v>
      </c>
      <c r="C527" t="s">
        <v>3292</v>
      </c>
      <c r="D527" s="2" t="s">
        <v>2136</v>
      </c>
      <c r="E527" s="2">
        <f t="shared" si="57"/>
        <v>45766</v>
      </c>
      <c r="F527" s="4">
        <f t="shared" si="58"/>
        <v>2025</v>
      </c>
      <c r="G527" t="str">
        <f t="shared" si="59"/>
        <v>April</v>
      </c>
      <c r="H527" t="str">
        <f t="shared" si="60"/>
        <v>2025-04</v>
      </c>
      <c r="I527" s="4">
        <f t="shared" ca="1" si="56"/>
        <v>158</v>
      </c>
      <c r="J527" t="s">
        <v>2137</v>
      </c>
      <c r="K527" t="s">
        <v>2138</v>
      </c>
      <c r="L527" t="s">
        <v>2139</v>
      </c>
      <c r="M527">
        <v>28</v>
      </c>
      <c r="N527" t="str">
        <f>VLOOKUP(M527, CategoryMap!$A$2:$B$100, 2, FALSE)</f>
        <v>Science &amp; Technology</v>
      </c>
      <c r="O527">
        <v>253351</v>
      </c>
      <c r="P527">
        <v>3346</v>
      </c>
      <c r="Q527">
        <v>127</v>
      </c>
      <c r="R527" s="3">
        <f t="shared" si="61"/>
        <v>1.3708254555932284E-2</v>
      </c>
      <c r="S527">
        <v>1232</v>
      </c>
      <c r="T527" t="str">
        <f t="shared" si="62"/>
        <v>Long</v>
      </c>
    </row>
    <row r="528" spans="1:20" ht="18.75" customHeight="1" x14ac:dyDescent="0.35">
      <c r="A528" t="s">
        <v>2140</v>
      </c>
      <c r="B528" t="s">
        <v>2867</v>
      </c>
      <c r="C528" t="s">
        <v>3293</v>
      </c>
      <c r="D528" s="2" t="s">
        <v>2141</v>
      </c>
      <c r="E528" s="2">
        <f t="shared" si="57"/>
        <v>45797</v>
      </c>
      <c r="F528" s="4">
        <f t="shared" si="58"/>
        <v>2025</v>
      </c>
      <c r="G528" t="str">
        <f t="shared" si="59"/>
        <v>May</v>
      </c>
      <c r="H528" t="str">
        <f t="shared" si="60"/>
        <v>2025-05</v>
      </c>
      <c r="I528" s="4">
        <f t="shared" ca="1" si="56"/>
        <v>127</v>
      </c>
      <c r="J528" t="s">
        <v>2142</v>
      </c>
      <c r="K528" t="s">
        <v>2143</v>
      </c>
      <c r="L528" t="s">
        <v>2144</v>
      </c>
      <c r="M528">
        <v>28</v>
      </c>
      <c r="N528" t="str">
        <f>VLOOKUP(M528, CategoryMap!$A$2:$B$100, 2, FALSE)</f>
        <v>Science &amp; Technology</v>
      </c>
      <c r="O528">
        <v>399707</v>
      </c>
      <c r="P528">
        <v>6911</v>
      </c>
      <c r="Q528">
        <v>898</v>
      </c>
      <c r="R528" s="3">
        <f t="shared" si="61"/>
        <v>1.9536810713847892E-2</v>
      </c>
      <c r="S528">
        <v>487</v>
      </c>
      <c r="T528" t="str">
        <f t="shared" si="62"/>
        <v>Long</v>
      </c>
    </row>
    <row r="529" spans="1:20" ht="18.75" customHeight="1" x14ac:dyDescent="0.35">
      <c r="A529" t="s">
        <v>2145</v>
      </c>
      <c r="B529" t="s">
        <v>2868</v>
      </c>
      <c r="C529" t="s">
        <v>3294</v>
      </c>
      <c r="D529" s="2" t="s">
        <v>2146</v>
      </c>
      <c r="E529" s="2">
        <f t="shared" si="57"/>
        <v>45686</v>
      </c>
      <c r="F529" s="4">
        <f t="shared" si="58"/>
        <v>2025</v>
      </c>
      <c r="G529" t="str">
        <f t="shared" si="59"/>
        <v>January</v>
      </c>
      <c r="H529" t="str">
        <f t="shared" si="60"/>
        <v>2025-01</v>
      </c>
      <c r="I529" s="4">
        <f t="shared" ca="1" si="56"/>
        <v>238</v>
      </c>
      <c r="J529" t="s">
        <v>2147</v>
      </c>
      <c r="K529" t="s">
        <v>2148</v>
      </c>
      <c r="L529" t="s">
        <v>2149</v>
      </c>
      <c r="M529">
        <v>28</v>
      </c>
      <c r="N529" t="str">
        <f>VLOOKUP(M529, CategoryMap!$A$2:$B$100, 2, FALSE)</f>
        <v>Science &amp; Technology</v>
      </c>
      <c r="O529">
        <v>938450</v>
      </c>
      <c r="P529">
        <v>16415</v>
      </c>
      <c r="Q529">
        <v>1961</v>
      </c>
      <c r="R529" s="3">
        <f t="shared" si="61"/>
        <v>1.9581224359315894E-2</v>
      </c>
      <c r="S529">
        <v>836</v>
      </c>
      <c r="T529" t="str">
        <f t="shared" si="62"/>
        <v>Long</v>
      </c>
    </row>
    <row r="530" spans="1:20" ht="18.75" customHeight="1" x14ac:dyDescent="0.35">
      <c r="A530" t="s">
        <v>2150</v>
      </c>
      <c r="B530" t="s">
        <v>2569</v>
      </c>
      <c r="C530" t="s">
        <v>3295</v>
      </c>
      <c r="D530" s="2" t="s">
        <v>2151</v>
      </c>
      <c r="E530" s="2">
        <f t="shared" si="57"/>
        <v>45655</v>
      </c>
      <c r="F530" s="4">
        <f t="shared" si="58"/>
        <v>2024</v>
      </c>
      <c r="G530" t="str">
        <f t="shared" si="59"/>
        <v>December</v>
      </c>
      <c r="H530" t="str">
        <f t="shared" si="60"/>
        <v>2024-12</v>
      </c>
      <c r="I530" s="4">
        <f t="shared" ca="1" si="56"/>
        <v>269</v>
      </c>
      <c r="J530" t="s">
        <v>2152</v>
      </c>
      <c r="K530" t="s">
        <v>2153</v>
      </c>
      <c r="L530" t="s">
        <v>2154</v>
      </c>
      <c r="M530">
        <v>24</v>
      </c>
      <c r="N530" t="str">
        <f>VLOOKUP(M530, CategoryMap!$A$2:$B$100, 2, FALSE)</f>
        <v>Entertainment</v>
      </c>
      <c r="O530">
        <v>1935909</v>
      </c>
      <c r="P530">
        <v>8010</v>
      </c>
      <c r="Q530">
        <v>256</v>
      </c>
      <c r="R530" s="3">
        <f t="shared" si="61"/>
        <v>4.269828798771017E-3</v>
      </c>
      <c r="S530">
        <v>893</v>
      </c>
      <c r="T530" t="str">
        <f t="shared" si="62"/>
        <v>Long</v>
      </c>
    </row>
    <row r="531" spans="1:20" ht="18.75" customHeight="1" x14ac:dyDescent="0.35">
      <c r="A531" t="s">
        <v>2155</v>
      </c>
      <c r="B531" t="s">
        <v>2869</v>
      </c>
      <c r="C531" t="s">
        <v>11</v>
      </c>
      <c r="D531" s="2" t="s">
        <v>2156</v>
      </c>
      <c r="E531" s="2">
        <f t="shared" si="57"/>
        <v>45807</v>
      </c>
      <c r="F531" s="4">
        <f t="shared" si="58"/>
        <v>2025</v>
      </c>
      <c r="G531" t="str">
        <f t="shared" si="59"/>
        <v>May</v>
      </c>
      <c r="H531" t="str">
        <f t="shared" si="60"/>
        <v>2025-05</v>
      </c>
      <c r="I531" s="4">
        <f t="shared" ca="1" si="56"/>
        <v>117</v>
      </c>
      <c r="J531" t="s">
        <v>2157</v>
      </c>
      <c r="K531" t="s">
        <v>2158</v>
      </c>
      <c r="L531" t="s">
        <v>2159</v>
      </c>
      <c r="M531">
        <v>2</v>
      </c>
      <c r="N531" t="str">
        <f>VLOOKUP(M531, CategoryMap!$A$2:$B$100, 2, FALSE)</f>
        <v>Autos &amp; Vehicles</v>
      </c>
      <c r="O531">
        <v>491435</v>
      </c>
      <c r="P531">
        <v>5564</v>
      </c>
      <c r="Q531">
        <v>727</v>
      </c>
      <c r="R531" s="3">
        <f t="shared" si="61"/>
        <v>1.2801286029688564E-2</v>
      </c>
      <c r="S531">
        <v>1140</v>
      </c>
      <c r="T531" t="str">
        <f t="shared" si="62"/>
        <v>Long</v>
      </c>
    </row>
    <row r="532" spans="1:20" ht="18.75" customHeight="1" x14ac:dyDescent="0.35">
      <c r="A532" t="s">
        <v>2160</v>
      </c>
      <c r="B532" t="s">
        <v>2870</v>
      </c>
      <c r="C532" t="s">
        <v>3296</v>
      </c>
      <c r="D532" s="2" t="s">
        <v>2161</v>
      </c>
      <c r="E532" s="2">
        <f t="shared" si="57"/>
        <v>45810</v>
      </c>
      <c r="F532" s="4">
        <f t="shared" si="58"/>
        <v>2025</v>
      </c>
      <c r="G532" t="str">
        <f t="shared" si="59"/>
        <v>June</v>
      </c>
      <c r="H532" t="str">
        <f t="shared" si="60"/>
        <v>2025-06</v>
      </c>
      <c r="I532" s="4">
        <f t="shared" ca="1" si="56"/>
        <v>114</v>
      </c>
      <c r="J532" t="s">
        <v>2162</v>
      </c>
      <c r="K532" t="s">
        <v>2163</v>
      </c>
      <c r="L532" t="s">
        <v>2164</v>
      </c>
      <c r="M532">
        <v>28</v>
      </c>
      <c r="N532" t="str">
        <f>VLOOKUP(M532, CategoryMap!$A$2:$B$100, 2, FALSE)</f>
        <v>Science &amp; Technology</v>
      </c>
      <c r="O532">
        <v>142155</v>
      </c>
      <c r="P532">
        <v>2841</v>
      </c>
      <c r="Q532">
        <v>371</v>
      </c>
      <c r="R532" s="3">
        <f t="shared" si="61"/>
        <v>2.2595054693820126E-2</v>
      </c>
      <c r="S532">
        <v>565</v>
      </c>
      <c r="T532" t="str">
        <f t="shared" si="62"/>
        <v>Long</v>
      </c>
    </row>
    <row r="533" spans="1:20" ht="18.75" customHeight="1" x14ac:dyDescent="0.35">
      <c r="A533" t="s">
        <v>2165</v>
      </c>
      <c r="B533" t="s">
        <v>2871</v>
      </c>
      <c r="C533" t="s">
        <v>11</v>
      </c>
      <c r="D533" s="2" t="s">
        <v>2166</v>
      </c>
      <c r="E533" s="2">
        <f t="shared" si="57"/>
        <v>45791</v>
      </c>
      <c r="F533" s="4">
        <f t="shared" si="58"/>
        <v>2025</v>
      </c>
      <c r="G533" t="str">
        <f t="shared" si="59"/>
        <v>May</v>
      </c>
      <c r="H533" t="str">
        <f t="shared" si="60"/>
        <v>2025-05</v>
      </c>
      <c r="I533" s="4">
        <f t="shared" ca="1" si="56"/>
        <v>133</v>
      </c>
      <c r="J533" t="s">
        <v>1774</v>
      </c>
      <c r="K533" t="s">
        <v>1775</v>
      </c>
      <c r="L533" t="s">
        <v>29</v>
      </c>
      <c r="M533">
        <v>28</v>
      </c>
      <c r="N533" t="str">
        <f>VLOOKUP(M533, CategoryMap!$A$2:$B$100, 2, FALSE)</f>
        <v>Science &amp; Technology</v>
      </c>
      <c r="O533">
        <v>1391</v>
      </c>
      <c r="P533">
        <v>8</v>
      </c>
      <c r="Q533">
        <v>0</v>
      </c>
      <c r="R533" s="3">
        <f t="shared" si="61"/>
        <v>5.7512580877066861E-3</v>
      </c>
      <c r="S533">
        <v>15</v>
      </c>
      <c r="T533" t="str">
        <f t="shared" si="62"/>
        <v>Short</v>
      </c>
    </row>
    <row r="534" spans="1:20" ht="18.75" customHeight="1" x14ac:dyDescent="0.35">
      <c r="A534" t="s">
        <v>2167</v>
      </c>
      <c r="B534" t="s">
        <v>2872</v>
      </c>
      <c r="C534" t="s">
        <v>3297</v>
      </c>
      <c r="D534" s="2" t="s">
        <v>2168</v>
      </c>
      <c r="E534" s="2">
        <f t="shared" si="57"/>
        <v>45698</v>
      </c>
      <c r="F534" s="4">
        <f t="shared" si="58"/>
        <v>2025</v>
      </c>
      <c r="G534" t="str">
        <f t="shared" si="59"/>
        <v>February</v>
      </c>
      <c r="H534" t="str">
        <f t="shared" si="60"/>
        <v>2025-02</v>
      </c>
      <c r="I534" s="4">
        <f t="shared" ca="1" si="56"/>
        <v>226</v>
      </c>
      <c r="J534" t="s">
        <v>2169</v>
      </c>
      <c r="K534" t="s">
        <v>2170</v>
      </c>
      <c r="L534" t="s">
        <v>2171</v>
      </c>
      <c r="M534">
        <v>28</v>
      </c>
      <c r="N534" t="str">
        <f>VLOOKUP(M534, CategoryMap!$A$2:$B$100, 2, FALSE)</f>
        <v>Science &amp; Technology</v>
      </c>
      <c r="O534">
        <v>951324</v>
      </c>
      <c r="P534">
        <v>12795</v>
      </c>
      <c r="Q534">
        <v>715</v>
      </c>
      <c r="R534" s="3">
        <f t="shared" si="61"/>
        <v>1.4201260558968342E-2</v>
      </c>
      <c r="S534">
        <v>998</v>
      </c>
      <c r="T534" t="str">
        <f t="shared" si="62"/>
        <v>Long</v>
      </c>
    </row>
    <row r="535" spans="1:20" ht="18.75" customHeight="1" x14ac:dyDescent="0.35">
      <c r="A535" t="s">
        <v>2172</v>
      </c>
      <c r="B535" t="s">
        <v>2873</v>
      </c>
      <c r="C535" t="s">
        <v>3298</v>
      </c>
      <c r="D535" s="2" t="s">
        <v>2173</v>
      </c>
      <c r="E535" s="2">
        <f t="shared" si="57"/>
        <v>44967</v>
      </c>
      <c r="F535" s="4">
        <f t="shared" si="58"/>
        <v>2023</v>
      </c>
      <c r="G535" t="str">
        <f t="shared" si="59"/>
        <v>February</v>
      </c>
      <c r="H535" t="str">
        <f t="shared" si="60"/>
        <v>2023-02</v>
      </c>
      <c r="I535" s="4">
        <f t="shared" ca="1" si="56"/>
        <v>957</v>
      </c>
      <c r="J535" t="s">
        <v>2174</v>
      </c>
      <c r="K535" t="s">
        <v>2175</v>
      </c>
      <c r="L535" t="s">
        <v>2176</v>
      </c>
      <c r="M535">
        <v>24</v>
      </c>
      <c r="N535" t="str">
        <f>VLOOKUP(M535, CategoryMap!$A$2:$B$100, 2, FALSE)</f>
        <v>Entertainment</v>
      </c>
      <c r="O535">
        <v>3606687</v>
      </c>
      <c r="P535">
        <v>16556</v>
      </c>
      <c r="Q535">
        <v>1970.1447811447799</v>
      </c>
      <c r="R535" s="3">
        <f t="shared" si="61"/>
        <v>5.1366100748816796E-3</v>
      </c>
      <c r="S535">
        <v>945</v>
      </c>
      <c r="T535" t="str">
        <f t="shared" si="62"/>
        <v>Long</v>
      </c>
    </row>
    <row r="536" spans="1:20" ht="18.75" customHeight="1" x14ac:dyDescent="0.35">
      <c r="A536" t="s">
        <v>2177</v>
      </c>
      <c r="B536" t="s">
        <v>2874</v>
      </c>
      <c r="C536" t="s">
        <v>3299</v>
      </c>
      <c r="D536" s="2" t="s">
        <v>2178</v>
      </c>
      <c r="E536" s="2">
        <f t="shared" si="57"/>
        <v>45340</v>
      </c>
      <c r="F536" s="4">
        <f t="shared" si="58"/>
        <v>2024</v>
      </c>
      <c r="G536" t="str">
        <f t="shared" si="59"/>
        <v>February</v>
      </c>
      <c r="H536" t="str">
        <f t="shared" si="60"/>
        <v>2024-02</v>
      </c>
      <c r="I536" s="4">
        <f t="shared" ca="1" si="56"/>
        <v>584</v>
      </c>
      <c r="J536" t="s">
        <v>2179</v>
      </c>
      <c r="K536" t="s">
        <v>2180</v>
      </c>
      <c r="L536" t="s">
        <v>29</v>
      </c>
      <c r="M536">
        <v>27</v>
      </c>
      <c r="N536" t="str">
        <f>VLOOKUP(M536, CategoryMap!$A$2:$B$100, 2, FALSE)</f>
        <v>Education</v>
      </c>
      <c r="O536">
        <v>12937151</v>
      </c>
      <c r="P536">
        <v>26618</v>
      </c>
      <c r="Q536">
        <v>719</v>
      </c>
      <c r="R536" s="3">
        <f t="shared" si="61"/>
        <v>2.1130618325472124E-3</v>
      </c>
      <c r="S536">
        <v>2680</v>
      </c>
      <c r="T536" t="str">
        <f t="shared" si="62"/>
        <v>Long</v>
      </c>
    </row>
    <row r="537" spans="1:20" ht="18.75" customHeight="1" x14ac:dyDescent="0.35">
      <c r="A537" t="s">
        <v>2181</v>
      </c>
      <c r="B537" t="s">
        <v>2875</v>
      </c>
      <c r="C537" t="s">
        <v>3300</v>
      </c>
      <c r="D537" s="2" t="s">
        <v>2182</v>
      </c>
      <c r="E537" s="2">
        <f t="shared" si="57"/>
        <v>45817</v>
      </c>
      <c r="F537" s="4">
        <f t="shared" si="58"/>
        <v>2025</v>
      </c>
      <c r="G537" t="str">
        <f t="shared" si="59"/>
        <v>June</v>
      </c>
      <c r="H537" t="str">
        <f t="shared" si="60"/>
        <v>2025-06</v>
      </c>
      <c r="I537" s="4">
        <f t="shared" ca="1" si="56"/>
        <v>107</v>
      </c>
      <c r="J537" t="s">
        <v>2183</v>
      </c>
      <c r="K537" t="s">
        <v>2184</v>
      </c>
      <c r="L537" t="s">
        <v>2185</v>
      </c>
      <c r="M537">
        <v>28</v>
      </c>
      <c r="N537" t="str">
        <f>VLOOKUP(M537, CategoryMap!$A$2:$B$100, 2, FALSE)</f>
        <v>Science &amp; Technology</v>
      </c>
      <c r="O537">
        <v>598</v>
      </c>
      <c r="P537">
        <v>6</v>
      </c>
      <c r="Q537">
        <v>0</v>
      </c>
      <c r="R537" s="3">
        <f t="shared" si="61"/>
        <v>1.0033444816053512E-2</v>
      </c>
      <c r="S537">
        <v>726</v>
      </c>
      <c r="T537" t="str">
        <f t="shared" si="62"/>
        <v>Long</v>
      </c>
    </row>
    <row r="538" spans="1:20" ht="18.75" customHeight="1" x14ac:dyDescent="0.35">
      <c r="A538" t="s">
        <v>2186</v>
      </c>
      <c r="B538" t="s">
        <v>2876</v>
      </c>
      <c r="C538" t="s">
        <v>3301</v>
      </c>
      <c r="D538" s="2" t="s">
        <v>2187</v>
      </c>
      <c r="E538" s="2">
        <f t="shared" si="57"/>
        <v>45750</v>
      </c>
      <c r="F538" s="4">
        <f t="shared" si="58"/>
        <v>2025</v>
      </c>
      <c r="G538" t="str">
        <f t="shared" si="59"/>
        <v>April</v>
      </c>
      <c r="H538" t="str">
        <f t="shared" si="60"/>
        <v>2025-04</v>
      </c>
      <c r="I538" s="4">
        <f t="shared" ca="1" si="56"/>
        <v>174</v>
      </c>
      <c r="J538" t="s">
        <v>1287</v>
      </c>
      <c r="K538" t="s">
        <v>1288</v>
      </c>
      <c r="L538" t="s">
        <v>2188</v>
      </c>
      <c r="M538">
        <v>28</v>
      </c>
      <c r="N538" t="str">
        <f>VLOOKUP(M538, CategoryMap!$A$2:$B$100, 2, FALSE)</f>
        <v>Science &amp; Technology</v>
      </c>
      <c r="O538">
        <v>1354345</v>
      </c>
      <c r="P538">
        <v>53312</v>
      </c>
      <c r="Q538">
        <v>3029</v>
      </c>
      <c r="R538" s="3">
        <f t="shared" si="61"/>
        <v>4.1600183114346788E-2</v>
      </c>
      <c r="S538">
        <v>1765</v>
      </c>
      <c r="T538" t="str">
        <f t="shared" si="62"/>
        <v>Long</v>
      </c>
    </row>
    <row r="539" spans="1:20" ht="18.75" customHeight="1" x14ac:dyDescent="0.35">
      <c r="A539" t="s">
        <v>2189</v>
      </c>
      <c r="B539" t="s">
        <v>2877</v>
      </c>
      <c r="C539" t="s">
        <v>3302</v>
      </c>
      <c r="D539" s="2" t="s">
        <v>2190</v>
      </c>
      <c r="E539" s="2">
        <f t="shared" si="57"/>
        <v>43615</v>
      </c>
      <c r="F539" s="4">
        <f t="shared" si="58"/>
        <v>2019</v>
      </c>
      <c r="G539" t="str">
        <f t="shared" si="59"/>
        <v>May</v>
      </c>
      <c r="H539" t="str">
        <f t="shared" si="60"/>
        <v>2019-05</v>
      </c>
      <c r="I539" s="4">
        <f t="shared" ca="1" si="56"/>
        <v>2309</v>
      </c>
      <c r="J539" t="s">
        <v>2191</v>
      </c>
      <c r="K539" t="s">
        <v>2192</v>
      </c>
      <c r="L539" t="s">
        <v>2193</v>
      </c>
      <c r="M539">
        <v>28</v>
      </c>
      <c r="N539" t="str">
        <f>VLOOKUP(M539, CategoryMap!$A$2:$B$100, 2, FALSE)</f>
        <v>Science &amp; Technology</v>
      </c>
      <c r="O539">
        <v>558398</v>
      </c>
      <c r="P539">
        <v>13010</v>
      </c>
      <c r="Q539">
        <v>243</v>
      </c>
      <c r="R539" s="3">
        <f t="shared" si="61"/>
        <v>2.3733967528536994E-2</v>
      </c>
      <c r="S539">
        <v>29</v>
      </c>
      <c r="T539" t="str">
        <f t="shared" si="62"/>
        <v>Short</v>
      </c>
    </row>
    <row r="540" spans="1:20" ht="18.75" customHeight="1" x14ac:dyDescent="0.35">
      <c r="A540" t="s">
        <v>2194</v>
      </c>
      <c r="B540" t="s">
        <v>2195</v>
      </c>
      <c r="C540" t="s">
        <v>3303</v>
      </c>
      <c r="D540" s="2" t="s">
        <v>2196</v>
      </c>
      <c r="E540" s="2">
        <f t="shared" si="57"/>
        <v>45430</v>
      </c>
      <c r="F540" s="4">
        <f t="shared" si="58"/>
        <v>2024</v>
      </c>
      <c r="G540" t="str">
        <f t="shared" si="59"/>
        <v>May</v>
      </c>
      <c r="H540" t="str">
        <f t="shared" si="60"/>
        <v>2024-05</v>
      </c>
      <c r="I540" s="4">
        <f t="shared" ca="1" si="56"/>
        <v>494</v>
      </c>
      <c r="J540" t="s">
        <v>1905</v>
      </c>
      <c r="K540" t="s">
        <v>1906</v>
      </c>
      <c r="L540" t="s">
        <v>2197</v>
      </c>
      <c r="M540">
        <v>28</v>
      </c>
      <c r="N540" t="str">
        <f>VLOOKUP(M540, CategoryMap!$A$2:$B$100, 2, FALSE)</f>
        <v>Science &amp; Technology</v>
      </c>
      <c r="O540">
        <v>6426488</v>
      </c>
      <c r="P540">
        <v>205015</v>
      </c>
      <c r="Q540">
        <v>6750</v>
      </c>
      <c r="R540" s="3">
        <f t="shared" si="61"/>
        <v>3.2951901567387976E-2</v>
      </c>
      <c r="S540">
        <v>1219</v>
      </c>
      <c r="T540" t="str">
        <f t="shared" si="62"/>
        <v>Long</v>
      </c>
    </row>
    <row r="541" spans="1:20" ht="18.75" customHeight="1" x14ac:dyDescent="0.35">
      <c r="A541" t="s">
        <v>2198</v>
      </c>
      <c r="B541" t="s">
        <v>2878</v>
      </c>
      <c r="C541" t="s">
        <v>11</v>
      </c>
      <c r="D541" s="2" t="s">
        <v>2199</v>
      </c>
      <c r="E541" s="2">
        <f t="shared" si="57"/>
        <v>45800</v>
      </c>
      <c r="F541" s="4">
        <f t="shared" si="58"/>
        <v>2025</v>
      </c>
      <c r="G541" t="str">
        <f t="shared" si="59"/>
        <v>May</v>
      </c>
      <c r="H541" t="str">
        <f t="shared" si="60"/>
        <v>2025-05</v>
      </c>
      <c r="I541" s="4">
        <f t="shared" ca="1" si="56"/>
        <v>124</v>
      </c>
      <c r="J541" t="s">
        <v>2200</v>
      </c>
      <c r="K541" t="s">
        <v>2201</v>
      </c>
      <c r="L541" t="s">
        <v>29</v>
      </c>
      <c r="M541">
        <v>28</v>
      </c>
      <c r="N541" t="str">
        <f>VLOOKUP(M541, CategoryMap!$A$2:$B$100, 2, FALSE)</f>
        <v>Science &amp; Technology</v>
      </c>
      <c r="O541">
        <v>8504</v>
      </c>
      <c r="P541">
        <v>270</v>
      </c>
      <c r="Q541">
        <v>5</v>
      </c>
      <c r="R541" s="3">
        <f t="shared" si="61"/>
        <v>3.233772342427093E-2</v>
      </c>
      <c r="S541">
        <v>56</v>
      </c>
      <c r="T541" t="str">
        <f t="shared" si="62"/>
        <v>Short</v>
      </c>
    </row>
    <row r="542" spans="1:20" ht="18.75" customHeight="1" x14ac:dyDescent="0.35">
      <c r="A542" t="s">
        <v>2202</v>
      </c>
      <c r="B542" t="s">
        <v>2879</v>
      </c>
      <c r="C542" t="s">
        <v>3304</v>
      </c>
      <c r="D542" s="2" t="s">
        <v>2203</v>
      </c>
      <c r="E542" s="2">
        <f t="shared" si="57"/>
        <v>45723</v>
      </c>
      <c r="F542" s="4">
        <f t="shared" si="58"/>
        <v>2025</v>
      </c>
      <c r="G542" t="str">
        <f t="shared" si="59"/>
        <v>March</v>
      </c>
      <c r="H542" t="str">
        <f t="shared" si="60"/>
        <v>2025-03</v>
      </c>
      <c r="I542" s="4">
        <f t="shared" ca="1" si="56"/>
        <v>201</v>
      </c>
      <c r="J542" t="s">
        <v>2204</v>
      </c>
      <c r="K542" t="s">
        <v>2205</v>
      </c>
      <c r="L542" t="s">
        <v>2206</v>
      </c>
      <c r="M542">
        <v>28</v>
      </c>
      <c r="N542" t="str">
        <f>VLOOKUP(M542, CategoryMap!$A$2:$B$100, 2, FALSE)</f>
        <v>Science &amp; Technology</v>
      </c>
      <c r="O542">
        <v>49258</v>
      </c>
      <c r="P542">
        <v>718</v>
      </c>
      <c r="Q542">
        <v>32</v>
      </c>
      <c r="R542" s="3">
        <f t="shared" si="61"/>
        <v>1.5225953144666855E-2</v>
      </c>
      <c r="S542">
        <v>2884</v>
      </c>
      <c r="T542" t="str">
        <f t="shared" si="62"/>
        <v>Long</v>
      </c>
    </row>
    <row r="543" spans="1:20" ht="18.75" customHeight="1" x14ac:dyDescent="0.35">
      <c r="A543" t="s">
        <v>2207</v>
      </c>
      <c r="B543" t="s">
        <v>2871</v>
      </c>
      <c r="C543" t="s">
        <v>11</v>
      </c>
      <c r="D543" s="2" t="s">
        <v>2208</v>
      </c>
      <c r="E543" s="2">
        <f t="shared" si="57"/>
        <v>45810</v>
      </c>
      <c r="F543" s="4">
        <f t="shared" si="58"/>
        <v>2025</v>
      </c>
      <c r="G543" t="str">
        <f t="shared" si="59"/>
        <v>June</v>
      </c>
      <c r="H543" t="str">
        <f t="shared" si="60"/>
        <v>2025-06</v>
      </c>
      <c r="I543" s="4">
        <f t="shared" ca="1" si="56"/>
        <v>114</v>
      </c>
      <c r="J543" t="s">
        <v>2209</v>
      </c>
      <c r="K543" t="s">
        <v>2210</v>
      </c>
      <c r="L543" t="s">
        <v>29</v>
      </c>
      <c r="M543">
        <v>22</v>
      </c>
      <c r="N543" t="str">
        <f>VLOOKUP(M543, CategoryMap!$A$2:$B$100, 2, FALSE)</f>
        <v>People &amp; Blogs</v>
      </c>
      <c r="O543">
        <v>3409</v>
      </c>
      <c r="P543">
        <v>43</v>
      </c>
      <c r="Q543">
        <v>0</v>
      </c>
      <c r="R543" s="3">
        <f t="shared" si="61"/>
        <v>1.261366969785861E-2</v>
      </c>
      <c r="S543">
        <v>55</v>
      </c>
      <c r="T543" t="str">
        <f t="shared" si="62"/>
        <v>Short</v>
      </c>
    </row>
    <row r="544" spans="1:20" ht="18.75" customHeight="1" x14ac:dyDescent="0.35">
      <c r="A544" t="s">
        <v>2211</v>
      </c>
      <c r="B544" t="s">
        <v>2880</v>
      </c>
      <c r="C544" t="s">
        <v>3305</v>
      </c>
      <c r="D544" s="2" t="s">
        <v>2212</v>
      </c>
      <c r="E544" s="2">
        <f t="shared" si="57"/>
        <v>45827</v>
      </c>
      <c r="F544" s="4">
        <f t="shared" si="58"/>
        <v>2025</v>
      </c>
      <c r="G544" t="str">
        <f t="shared" si="59"/>
        <v>June</v>
      </c>
      <c r="H544" t="str">
        <f t="shared" si="60"/>
        <v>2025-06</v>
      </c>
      <c r="I544" s="4">
        <f t="shared" ca="1" si="56"/>
        <v>97</v>
      </c>
      <c r="J544" t="s">
        <v>1624</v>
      </c>
      <c r="K544" t="s">
        <v>1625</v>
      </c>
      <c r="L544" t="s">
        <v>2213</v>
      </c>
      <c r="M544">
        <v>28</v>
      </c>
      <c r="N544" t="str">
        <f>VLOOKUP(M544, CategoryMap!$A$2:$B$100, 2, FALSE)</f>
        <v>Science &amp; Technology</v>
      </c>
      <c r="O544">
        <v>143251</v>
      </c>
      <c r="P544">
        <v>10834</v>
      </c>
      <c r="Q544">
        <v>426</v>
      </c>
      <c r="R544" s="3">
        <f t="shared" si="61"/>
        <v>7.8603290727464387E-2</v>
      </c>
      <c r="S544">
        <v>709</v>
      </c>
      <c r="T544" t="str">
        <f t="shared" si="62"/>
        <v>Long</v>
      </c>
    </row>
    <row r="545" spans="1:20" ht="18.75" customHeight="1" x14ac:dyDescent="0.35">
      <c r="A545" t="s">
        <v>2214</v>
      </c>
      <c r="B545" t="s">
        <v>2881</v>
      </c>
      <c r="C545" t="s">
        <v>11</v>
      </c>
      <c r="D545" s="2" t="s">
        <v>2215</v>
      </c>
      <c r="E545" s="2">
        <f t="shared" si="57"/>
        <v>45797</v>
      </c>
      <c r="F545" s="4">
        <f t="shared" si="58"/>
        <v>2025</v>
      </c>
      <c r="G545" t="str">
        <f t="shared" si="59"/>
        <v>May</v>
      </c>
      <c r="H545" t="str">
        <f t="shared" si="60"/>
        <v>2025-05</v>
      </c>
      <c r="I545" s="4">
        <f t="shared" ca="1" si="56"/>
        <v>127</v>
      </c>
      <c r="J545" t="s">
        <v>2216</v>
      </c>
      <c r="K545" t="s">
        <v>2217</v>
      </c>
      <c r="L545" t="s">
        <v>2218</v>
      </c>
      <c r="M545">
        <v>28</v>
      </c>
      <c r="N545" t="str">
        <f>VLOOKUP(M545, CategoryMap!$A$2:$B$100, 2, FALSE)</f>
        <v>Science &amp; Technology</v>
      </c>
      <c r="O545">
        <v>312</v>
      </c>
      <c r="P545">
        <v>217464.60837887001</v>
      </c>
      <c r="Q545">
        <v>0</v>
      </c>
      <c r="R545" s="3">
        <f t="shared" si="61"/>
        <v>697.00194993227569</v>
      </c>
      <c r="S545">
        <v>56</v>
      </c>
      <c r="T545" t="str">
        <f t="shared" si="62"/>
        <v>Short</v>
      </c>
    </row>
    <row r="546" spans="1:20" ht="18.75" customHeight="1" x14ac:dyDescent="0.35">
      <c r="A546" t="s">
        <v>2219</v>
      </c>
      <c r="B546" t="s">
        <v>2882</v>
      </c>
      <c r="C546" t="s">
        <v>3306</v>
      </c>
      <c r="D546" s="2" t="s">
        <v>2220</v>
      </c>
      <c r="E546" s="2">
        <f t="shared" si="57"/>
        <v>45795</v>
      </c>
      <c r="F546" s="4">
        <f t="shared" si="58"/>
        <v>2025</v>
      </c>
      <c r="G546" t="str">
        <f t="shared" si="59"/>
        <v>May</v>
      </c>
      <c r="H546" t="str">
        <f t="shared" si="60"/>
        <v>2025-05</v>
      </c>
      <c r="I546" s="4">
        <f t="shared" ca="1" si="56"/>
        <v>129</v>
      </c>
      <c r="J546" t="s">
        <v>719</v>
      </c>
      <c r="K546" t="s">
        <v>720</v>
      </c>
      <c r="L546" t="s">
        <v>2221</v>
      </c>
      <c r="M546">
        <v>28</v>
      </c>
      <c r="N546" t="str">
        <f>VLOOKUP(M546, CategoryMap!$A$2:$B$100, 2, FALSE)</f>
        <v>Science &amp; Technology</v>
      </c>
      <c r="O546">
        <v>45458</v>
      </c>
      <c r="P546">
        <v>1287</v>
      </c>
      <c r="Q546">
        <v>48</v>
      </c>
      <c r="R546" s="3">
        <f t="shared" si="61"/>
        <v>2.9367768049628228E-2</v>
      </c>
      <c r="S546">
        <v>689</v>
      </c>
      <c r="T546" t="str">
        <f t="shared" si="62"/>
        <v>Long</v>
      </c>
    </row>
    <row r="547" spans="1:20" ht="18.75" customHeight="1" x14ac:dyDescent="0.35">
      <c r="A547" t="s">
        <v>2222</v>
      </c>
      <c r="B547" t="s">
        <v>2883</v>
      </c>
      <c r="C547" t="s">
        <v>3307</v>
      </c>
      <c r="D547" s="2" t="s">
        <v>2223</v>
      </c>
      <c r="E547" s="2">
        <f t="shared" si="57"/>
        <v>45581</v>
      </c>
      <c r="F547" s="4">
        <f t="shared" si="58"/>
        <v>2024</v>
      </c>
      <c r="G547" t="str">
        <f t="shared" si="59"/>
        <v>October</v>
      </c>
      <c r="H547" t="str">
        <f t="shared" si="60"/>
        <v>2024-10</v>
      </c>
      <c r="I547" s="4">
        <f t="shared" ca="1" si="56"/>
        <v>343</v>
      </c>
      <c r="J547" t="s">
        <v>1993</v>
      </c>
      <c r="K547" t="s">
        <v>1994</v>
      </c>
      <c r="L547" t="s">
        <v>2224</v>
      </c>
      <c r="M547">
        <v>28</v>
      </c>
      <c r="N547" t="str">
        <f>VLOOKUP(M547, CategoryMap!$A$2:$B$100, 2, FALSE)</f>
        <v>Science &amp; Technology</v>
      </c>
      <c r="O547">
        <v>3113836</v>
      </c>
      <c r="P547">
        <v>63684</v>
      </c>
      <c r="Q547">
        <v>2014</v>
      </c>
      <c r="R547" s="3">
        <f t="shared" si="61"/>
        <v>2.109873480812734E-2</v>
      </c>
      <c r="S547">
        <v>1071</v>
      </c>
      <c r="T547" t="str">
        <f t="shared" si="62"/>
        <v>Long</v>
      </c>
    </row>
    <row r="548" spans="1:20" ht="18.75" customHeight="1" x14ac:dyDescent="0.35">
      <c r="A548" t="s">
        <v>2225</v>
      </c>
      <c r="B548" t="s">
        <v>2884</v>
      </c>
      <c r="C548" t="s">
        <v>3308</v>
      </c>
      <c r="D548" s="2" t="s">
        <v>2226</v>
      </c>
      <c r="E548" s="2">
        <f t="shared" si="57"/>
        <v>45775</v>
      </c>
      <c r="F548" s="4">
        <f t="shared" si="58"/>
        <v>2025</v>
      </c>
      <c r="G548" t="str">
        <f t="shared" si="59"/>
        <v>April</v>
      </c>
      <c r="H548" t="str">
        <f t="shared" si="60"/>
        <v>2025-04</v>
      </c>
      <c r="I548" s="4">
        <f t="shared" ca="1" si="56"/>
        <v>149</v>
      </c>
      <c r="J548" t="s">
        <v>2227</v>
      </c>
      <c r="K548" t="s">
        <v>2228</v>
      </c>
      <c r="L548" t="s">
        <v>29</v>
      </c>
      <c r="M548">
        <v>10</v>
      </c>
      <c r="N548" t="str">
        <f>VLOOKUP(M548, CategoryMap!$A$2:$B$100, 2, FALSE)</f>
        <v>Music</v>
      </c>
      <c r="O548">
        <v>5313043</v>
      </c>
      <c r="P548">
        <v>43968</v>
      </c>
      <c r="Q548">
        <v>1206</v>
      </c>
      <c r="R548" s="3">
        <f t="shared" si="61"/>
        <v>8.5024721237904523E-3</v>
      </c>
      <c r="S548">
        <v>258</v>
      </c>
      <c r="T548" t="str">
        <f t="shared" si="62"/>
        <v>Long</v>
      </c>
    </row>
    <row r="549" spans="1:20" ht="18.75" customHeight="1" x14ac:dyDescent="0.35">
      <c r="A549" t="s">
        <v>2229</v>
      </c>
      <c r="B549" t="s">
        <v>2885</v>
      </c>
      <c r="C549" t="s">
        <v>3309</v>
      </c>
      <c r="D549" s="2" t="s">
        <v>2230</v>
      </c>
      <c r="E549" s="2">
        <f t="shared" si="57"/>
        <v>45604</v>
      </c>
      <c r="F549" s="4">
        <f t="shared" si="58"/>
        <v>2024</v>
      </c>
      <c r="G549" t="str">
        <f t="shared" si="59"/>
        <v>November</v>
      </c>
      <c r="H549" t="str">
        <f t="shared" si="60"/>
        <v>2024-11</v>
      </c>
      <c r="I549" s="4">
        <f t="shared" ca="1" si="56"/>
        <v>320</v>
      </c>
      <c r="J549" t="s">
        <v>2231</v>
      </c>
      <c r="K549" t="s">
        <v>2232</v>
      </c>
      <c r="L549" t="s">
        <v>29</v>
      </c>
      <c r="M549">
        <v>30</v>
      </c>
      <c r="N549" t="e">
        <f>VLOOKUP(M549, CategoryMap!$A$2:$B$100, 2, FALSE)</f>
        <v>#N/A</v>
      </c>
      <c r="O549">
        <v>8080299.3584589604</v>
      </c>
      <c r="P549">
        <v>566</v>
      </c>
      <c r="Q549">
        <v>31</v>
      </c>
      <c r="R549" s="3">
        <f t="shared" si="61"/>
        <v>7.3883401284510975E-5</v>
      </c>
      <c r="S549">
        <v>445</v>
      </c>
      <c r="T549" t="str">
        <f t="shared" si="62"/>
        <v>Long</v>
      </c>
    </row>
    <row r="550" spans="1:20" ht="18.75" customHeight="1" x14ac:dyDescent="0.35">
      <c r="A550" t="s">
        <v>2233</v>
      </c>
      <c r="B550" t="s">
        <v>2886</v>
      </c>
      <c r="C550" t="s">
        <v>11</v>
      </c>
      <c r="D550" s="2" t="s">
        <v>2234</v>
      </c>
      <c r="E550" s="2">
        <f t="shared" si="57"/>
        <v>44683</v>
      </c>
      <c r="F550" s="4">
        <f t="shared" si="58"/>
        <v>2022</v>
      </c>
      <c r="G550" t="str">
        <f t="shared" si="59"/>
        <v>May</v>
      </c>
      <c r="H550" t="str">
        <f t="shared" si="60"/>
        <v>2022-05</v>
      </c>
      <c r="I550" s="4">
        <f t="shared" ca="1" si="56"/>
        <v>1241</v>
      </c>
      <c r="J550" t="s">
        <v>2235</v>
      </c>
      <c r="K550" t="s">
        <v>2236</v>
      </c>
      <c r="L550" t="s">
        <v>29</v>
      </c>
      <c r="M550">
        <v>26</v>
      </c>
      <c r="N550" t="str">
        <f>VLOOKUP(M550, CategoryMap!$A$2:$B$100, 2, FALSE)</f>
        <v>Howto &amp; Style</v>
      </c>
      <c r="O550">
        <v>518748</v>
      </c>
      <c r="P550">
        <v>13628</v>
      </c>
      <c r="Q550">
        <v>138</v>
      </c>
      <c r="R550" s="3">
        <f t="shared" si="61"/>
        <v>2.6536969781088313E-2</v>
      </c>
      <c r="S550">
        <v>26</v>
      </c>
      <c r="T550" t="str">
        <f t="shared" si="62"/>
        <v>Short</v>
      </c>
    </row>
    <row r="551" spans="1:20" ht="18.75" customHeight="1" x14ac:dyDescent="0.35">
      <c r="A551" t="s">
        <v>2237</v>
      </c>
      <c r="B551" t="s">
        <v>2887</v>
      </c>
      <c r="C551" t="s">
        <v>3310</v>
      </c>
      <c r="D551" s="2" t="s">
        <v>2238</v>
      </c>
      <c r="E551" s="2">
        <f t="shared" si="57"/>
        <v>45768</v>
      </c>
      <c r="F551" s="4">
        <f t="shared" si="58"/>
        <v>2025</v>
      </c>
      <c r="G551" t="str">
        <f t="shared" si="59"/>
        <v>April</v>
      </c>
      <c r="H551" t="str">
        <f t="shared" si="60"/>
        <v>2025-04</v>
      </c>
      <c r="I551" s="4">
        <f t="shared" ca="1" si="56"/>
        <v>156</v>
      </c>
      <c r="J551" t="s">
        <v>49</v>
      </c>
      <c r="K551" t="s">
        <v>50</v>
      </c>
      <c r="L551" t="s">
        <v>2239</v>
      </c>
      <c r="M551">
        <v>19</v>
      </c>
      <c r="N551" t="str">
        <f>VLOOKUP(M551, CategoryMap!$A$2:$B$100, 2, FALSE)</f>
        <v>Travel &amp; Events</v>
      </c>
      <c r="O551">
        <v>550003</v>
      </c>
      <c r="P551">
        <v>17392</v>
      </c>
      <c r="Q551">
        <v>3143</v>
      </c>
      <c r="R551" s="3">
        <f t="shared" si="61"/>
        <v>3.7336159984581903E-2</v>
      </c>
      <c r="S551">
        <v>653</v>
      </c>
      <c r="T551" t="str">
        <f t="shared" si="62"/>
        <v>Long</v>
      </c>
    </row>
    <row r="552" spans="1:20" ht="18.75" customHeight="1" x14ac:dyDescent="0.35">
      <c r="A552" t="s">
        <v>2240</v>
      </c>
      <c r="B552" t="s">
        <v>2888</v>
      </c>
      <c r="C552" t="s">
        <v>3311</v>
      </c>
      <c r="D552" s="2" t="s">
        <v>2241</v>
      </c>
      <c r="E552" s="2">
        <f t="shared" si="57"/>
        <v>44396</v>
      </c>
      <c r="F552" s="4">
        <f t="shared" si="58"/>
        <v>2021</v>
      </c>
      <c r="G552" t="str">
        <f t="shared" si="59"/>
        <v>July</v>
      </c>
      <c r="H552" t="str">
        <f t="shared" si="60"/>
        <v>2021-07</v>
      </c>
      <c r="I552" s="4">
        <f t="shared" ca="1" si="56"/>
        <v>1528</v>
      </c>
      <c r="J552" t="s">
        <v>2242</v>
      </c>
      <c r="K552" t="s">
        <v>2243</v>
      </c>
      <c r="L552" t="s">
        <v>2244</v>
      </c>
      <c r="M552">
        <v>27</v>
      </c>
      <c r="N552" t="str">
        <f>VLOOKUP(M552, CategoryMap!$A$2:$B$100, 2, FALSE)</f>
        <v>Education</v>
      </c>
      <c r="O552">
        <v>36380480</v>
      </c>
      <c r="P552">
        <v>1565736</v>
      </c>
      <c r="Q552">
        <v>10939</v>
      </c>
      <c r="R552" s="3">
        <f t="shared" si="61"/>
        <v>4.3338488112306381E-2</v>
      </c>
      <c r="S552">
        <v>42</v>
      </c>
      <c r="T552" t="str">
        <f t="shared" si="62"/>
        <v>Short</v>
      </c>
    </row>
    <row r="553" spans="1:20" ht="18.75" customHeight="1" x14ac:dyDescent="0.35">
      <c r="A553" t="s">
        <v>2245</v>
      </c>
      <c r="B553" t="s">
        <v>2889</v>
      </c>
      <c r="C553" t="s">
        <v>3312</v>
      </c>
      <c r="D553" s="2" t="s">
        <v>2246</v>
      </c>
      <c r="E553" s="2">
        <f t="shared" si="57"/>
        <v>44307</v>
      </c>
      <c r="F553" s="4">
        <f t="shared" si="58"/>
        <v>2021</v>
      </c>
      <c r="G553" t="str">
        <f t="shared" si="59"/>
        <v>April</v>
      </c>
      <c r="H553" t="str">
        <f t="shared" si="60"/>
        <v>2021-04</v>
      </c>
      <c r="I553" s="4">
        <f t="shared" ca="1" si="56"/>
        <v>1617</v>
      </c>
      <c r="J553" t="s">
        <v>2247</v>
      </c>
      <c r="K553" t="s">
        <v>2248</v>
      </c>
      <c r="L553" t="s">
        <v>2249</v>
      </c>
      <c r="M553">
        <v>28</v>
      </c>
      <c r="N553" t="str">
        <f>VLOOKUP(M553, CategoryMap!$A$2:$B$100, 2, FALSE)</f>
        <v>Science &amp; Technology</v>
      </c>
      <c r="O553">
        <v>506114</v>
      </c>
      <c r="P553">
        <v>28060</v>
      </c>
      <c r="Q553">
        <v>906</v>
      </c>
      <c r="R553" s="3">
        <f t="shared" si="61"/>
        <v>5.7232165085336503E-2</v>
      </c>
      <c r="S553">
        <v>59</v>
      </c>
      <c r="T553" t="str">
        <f t="shared" si="62"/>
        <v>Short</v>
      </c>
    </row>
    <row r="554" spans="1:20" ht="18.75" customHeight="1" x14ac:dyDescent="0.35">
      <c r="A554" t="s">
        <v>2250</v>
      </c>
      <c r="B554" t="s">
        <v>2890</v>
      </c>
      <c r="C554" t="s">
        <v>3313</v>
      </c>
      <c r="D554" s="2" t="s">
        <v>2251</v>
      </c>
      <c r="E554" s="2">
        <f t="shared" si="57"/>
        <v>45811</v>
      </c>
      <c r="F554" s="4">
        <f t="shared" si="58"/>
        <v>2025</v>
      </c>
      <c r="G554" t="str">
        <f t="shared" si="59"/>
        <v>June</v>
      </c>
      <c r="H554" t="str">
        <f t="shared" si="60"/>
        <v>2025-06</v>
      </c>
      <c r="I554" s="4">
        <f t="shared" ca="1" si="56"/>
        <v>113</v>
      </c>
      <c r="J554" t="s">
        <v>2252</v>
      </c>
      <c r="K554" t="s">
        <v>2253</v>
      </c>
      <c r="L554" t="s">
        <v>2254</v>
      </c>
      <c r="M554">
        <v>20</v>
      </c>
      <c r="N554" t="str">
        <f>VLOOKUP(M554, CategoryMap!$A$2:$B$100, 2, FALSE)</f>
        <v>Gaming</v>
      </c>
      <c r="O554">
        <v>2442688</v>
      </c>
      <c r="P554">
        <v>64839</v>
      </c>
      <c r="Q554">
        <v>4283</v>
      </c>
      <c r="R554" s="3">
        <f t="shared" si="61"/>
        <v>2.8297514868865774E-2</v>
      </c>
      <c r="S554">
        <v>128</v>
      </c>
      <c r="T554" t="str">
        <f t="shared" si="62"/>
        <v>Long</v>
      </c>
    </row>
    <row r="555" spans="1:20" ht="18.75" customHeight="1" x14ac:dyDescent="0.35">
      <c r="A555" t="s">
        <v>2255</v>
      </c>
      <c r="B555" t="s">
        <v>2891</v>
      </c>
      <c r="C555" t="s">
        <v>3286</v>
      </c>
      <c r="D555" s="2" t="s">
        <v>2256</v>
      </c>
      <c r="E555" s="2">
        <f t="shared" si="57"/>
        <v>45784</v>
      </c>
      <c r="F555" s="4">
        <f t="shared" si="58"/>
        <v>2025</v>
      </c>
      <c r="G555" t="str">
        <f t="shared" si="59"/>
        <v>May</v>
      </c>
      <c r="H555" t="str">
        <f t="shared" si="60"/>
        <v>2025-05</v>
      </c>
      <c r="I555" s="4">
        <f t="shared" ca="1" si="56"/>
        <v>140</v>
      </c>
      <c r="J555" t="s">
        <v>1560</v>
      </c>
      <c r="K555" t="s">
        <v>1561</v>
      </c>
      <c r="L555" t="s">
        <v>2257</v>
      </c>
      <c r="M555">
        <v>28</v>
      </c>
      <c r="N555" t="str">
        <f>VLOOKUP(M555, CategoryMap!$A$2:$B$100, 2, FALSE)</f>
        <v>Science &amp; Technology</v>
      </c>
      <c r="O555">
        <v>1271817</v>
      </c>
      <c r="P555">
        <v>36745</v>
      </c>
      <c r="Q555">
        <v>1659</v>
      </c>
      <c r="R555" s="3">
        <f t="shared" si="61"/>
        <v>3.0196168159412871E-2</v>
      </c>
      <c r="S555">
        <v>533</v>
      </c>
      <c r="T555" t="str">
        <f t="shared" si="62"/>
        <v>Long</v>
      </c>
    </row>
    <row r="556" spans="1:20" ht="18.75" customHeight="1" x14ac:dyDescent="0.35">
      <c r="A556" t="s">
        <v>2258</v>
      </c>
      <c r="B556" t="s">
        <v>2892</v>
      </c>
      <c r="C556" t="s">
        <v>3314</v>
      </c>
      <c r="D556" s="2" t="s">
        <v>2259</v>
      </c>
      <c r="E556" s="2">
        <f t="shared" si="57"/>
        <v>45810</v>
      </c>
      <c r="F556" s="4">
        <f t="shared" si="58"/>
        <v>2025</v>
      </c>
      <c r="G556" t="str">
        <f t="shared" si="59"/>
        <v>June</v>
      </c>
      <c r="H556" t="str">
        <f t="shared" si="60"/>
        <v>2025-06</v>
      </c>
      <c r="I556" s="4">
        <f t="shared" ca="1" si="56"/>
        <v>114</v>
      </c>
      <c r="J556" t="s">
        <v>2260</v>
      </c>
      <c r="K556" t="s">
        <v>2261</v>
      </c>
      <c r="L556" t="s">
        <v>29</v>
      </c>
      <c r="M556">
        <v>2</v>
      </c>
      <c r="N556" t="str">
        <f>VLOOKUP(M556, CategoryMap!$A$2:$B$100, 2, FALSE)</f>
        <v>Autos &amp; Vehicles</v>
      </c>
      <c r="O556">
        <v>4560</v>
      </c>
      <c r="P556">
        <v>65</v>
      </c>
      <c r="Q556">
        <v>0</v>
      </c>
      <c r="R556" s="3">
        <f t="shared" si="61"/>
        <v>1.425438596491228E-2</v>
      </c>
      <c r="S556">
        <v>33</v>
      </c>
      <c r="T556" t="str">
        <f t="shared" si="62"/>
        <v>Short</v>
      </c>
    </row>
    <row r="557" spans="1:20" ht="18.75" customHeight="1" x14ac:dyDescent="0.35">
      <c r="A557" t="s">
        <v>2262</v>
      </c>
      <c r="B557" t="s">
        <v>2893</v>
      </c>
      <c r="C557" t="s">
        <v>3315</v>
      </c>
      <c r="D557" s="2" t="s">
        <v>2263</v>
      </c>
      <c r="E557" s="2">
        <f t="shared" si="57"/>
        <v>44916</v>
      </c>
      <c r="F557" s="4">
        <f t="shared" si="58"/>
        <v>2022</v>
      </c>
      <c r="G557" t="str">
        <f t="shared" si="59"/>
        <v>December</v>
      </c>
      <c r="H557" t="str">
        <f t="shared" si="60"/>
        <v>2022-12</v>
      </c>
      <c r="I557" s="4">
        <f t="shared" ca="1" si="56"/>
        <v>1008</v>
      </c>
      <c r="J557" t="s">
        <v>2264</v>
      </c>
      <c r="K557" t="s">
        <v>2265</v>
      </c>
      <c r="L557" t="s">
        <v>2266</v>
      </c>
      <c r="M557">
        <v>26</v>
      </c>
      <c r="N557" t="str">
        <f>VLOOKUP(M557, CategoryMap!$A$2:$B$100, 2, FALSE)</f>
        <v>Howto &amp; Style</v>
      </c>
      <c r="O557">
        <v>989306</v>
      </c>
      <c r="P557">
        <v>5953</v>
      </c>
      <c r="Q557">
        <v>245</v>
      </c>
      <c r="R557" s="3">
        <f t="shared" si="61"/>
        <v>6.2649978874079401E-3</v>
      </c>
      <c r="S557">
        <v>47</v>
      </c>
      <c r="T557" t="str">
        <f t="shared" si="62"/>
        <v>Short</v>
      </c>
    </row>
    <row r="558" spans="1:20" ht="18.75" customHeight="1" x14ac:dyDescent="0.35">
      <c r="A558" t="s">
        <v>2267</v>
      </c>
      <c r="B558" t="s">
        <v>2894</v>
      </c>
      <c r="C558" t="s">
        <v>3286</v>
      </c>
      <c r="D558" s="2" t="s">
        <v>2268</v>
      </c>
      <c r="E558" s="2">
        <f t="shared" si="57"/>
        <v>45758</v>
      </c>
      <c r="F558" s="4">
        <f t="shared" si="58"/>
        <v>2025</v>
      </c>
      <c r="G558" t="str">
        <f t="shared" si="59"/>
        <v>April</v>
      </c>
      <c r="H558" t="str">
        <f t="shared" si="60"/>
        <v>2025-04</v>
      </c>
      <c r="I558" s="4">
        <f t="shared" ca="1" si="56"/>
        <v>166</v>
      </c>
      <c r="J558" t="s">
        <v>1560</v>
      </c>
      <c r="K558" t="s">
        <v>1561</v>
      </c>
      <c r="L558" t="s">
        <v>2269</v>
      </c>
      <c r="M558">
        <v>28</v>
      </c>
      <c r="N558" t="str">
        <f>VLOOKUP(M558, CategoryMap!$A$2:$B$100, 2, FALSE)</f>
        <v>Science &amp; Technology</v>
      </c>
      <c r="O558">
        <v>909665</v>
      </c>
      <c r="P558">
        <v>28875</v>
      </c>
      <c r="Q558">
        <v>1235</v>
      </c>
      <c r="R558" s="3">
        <f t="shared" si="61"/>
        <v>3.3100097288562273E-2</v>
      </c>
      <c r="S558">
        <v>649</v>
      </c>
      <c r="T558" t="str">
        <f t="shared" si="62"/>
        <v>Long</v>
      </c>
    </row>
    <row r="559" spans="1:20" ht="18.75" customHeight="1" x14ac:dyDescent="0.35">
      <c r="A559" t="s">
        <v>2270</v>
      </c>
      <c r="B559" t="s">
        <v>2895</v>
      </c>
      <c r="C559" t="s">
        <v>3316</v>
      </c>
      <c r="D559" s="2" t="s">
        <v>2271</v>
      </c>
      <c r="E559" s="2">
        <f t="shared" si="57"/>
        <v>45817</v>
      </c>
      <c r="F559" s="4">
        <f t="shared" si="58"/>
        <v>2025</v>
      </c>
      <c r="G559" t="str">
        <f t="shared" si="59"/>
        <v>June</v>
      </c>
      <c r="H559" t="str">
        <f t="shared" si="60"/>
        <v>2025-06</v>
      </c>
      <c r="I559" s="4">
        <f t="shared" ca="1" si="56"/>
        <v>107</v>
      </c>
      <c r="J559" t="s">
        <v>2272</v>
      </c>
      <c r="K559" t="s">
        <v>2273</v>
      </c>
      <c r="L559" t="s">
        <v>2274</v>
      </c>
      <c r="M559">
        <v>28</v>
      </c>
      <c r="N559" t="str">
        <f>VLOOKUP(M559, CategoryMap!$A$2:$B$100, 2, FALSE)</f>
        <v>Science &amp; Technology</v>
      </c>
      <c r="O559">
        <v>76774</v>
      </c>
      <c r="P559">
        <v>1310</v>
      </c>
      <c r="Q559">
        <v>464</v>
      </c>
      <c r="R559" s="3">
        <f t="shared" si="61"/>
        <v>2.3106780941464559E-2</v>
      </c>
      <c r="S559">
        <v>688</v>
      </c>
      <c r="T559" t="str">
        <f t="shared" si="62"/>
        <v>Long</v>
      </c>
    </row>
    <row r="560" spans="1:20" ht="18.75" customHeight="1" x14ac:dyDescent="0.35">
      <c r="A560" t="s">
        <v>2275</v>
      </c>
      <c r="B560" t="s">
        <v>2896</v>
      </c>
      <c r="C560" t="s">
        <v>3317</v>
      </c>
      <c r="D560" s="2" t="s">
        <v>2276</v>
      </c>
      <c r="E560" s="2">
        <f t="shared" si="57"/>
        <v>45771</v>
      </c>
      <c r="F560" s="4">
        <f t="shared" si="58"/>
        <v>2025</v>
      </c>
      <c r="G560" t="str">
        <f t="shared" si="59"/>
        <v>April</v>
      </c>
      <c r="H560" t="str">
        <f t="shared" si="60"/>
        <v>2025-04</v>
      </c>
      <c r="I560" s="4">
        <f t="shared" ca="1" si="56"/>
        <v>153</v>
      </c>
      <c r="J560" t="s">
        <v>2277</v>
      </c>
      <c r="K560" t="s">
        <v>2278</v>
      </c>
      <c r="L560" t="s">
        <v>2279</v>
      </c>
      <c r="M560">
        <v>24</v>
      </c>
      <c r="N560" t="str">
        <f>VLOOKUP(M560, CategoryMap!$A$2:$B$100, 2, FALSE)</f>
        <v>Entertainment</v>
      </c>
      <c r="O560">
        <v>33748</v>
      </c>
      <c r="P560">
        <v>1111</v>
      </c>
      <c r="Q560">
        <v>215</v>
      </c>
      <c r="R560" s="3">
        <f t="shared" si="61"/>
        <v>3.9291217257318954E-2</v>
      </c>
      <c r="S560">
        <v>1091</v>
      </c>
      <c r="T560" t="str">
        <f t="shared" si="62"/>
        <v>Long</v>
      </c>
    </row>
    <row r="561" spans="1:20" ht="18.75" customHeight="1" x14ac:dyDescent="0.35">
      <c r="A561" t="s">
        <v>2280</v>
      </c>
      <c r="B561" t="s">
        <v>2897</v>
      </c>
      <c r="C561" t="s">
        <v>3318</v>
      </c>
      <c r="D561" s="2" t="s">
        <v>2281</v>
      </c>
      <c r="E561" s="2">
        <f t="shared" si="57"/>
        <v>45818</v>
      </c>
      <c r="F561" s="4">
        <f t="shared" si="58"/>
        <v>2025</v>
      </c>
      <c r="G561" t="str">
        <f t="shared" si="59"/>
        <v>June</v>
      </c>
      <c r="H561" t="str">
        <f t="shared" si="60"/>
        <v>2025-06</v>
      </c>
      <c r="I561" s="4">
        <f t="shared" ca="1" si="56"/>
        <v>106</v>
      </c>
      <c r="J561" t="s">
        <v>1535</v>
      </c>
      <c r="K561" t="s">
        <v>1536</v>
      </c>
      <c r="L561" t="s">
        <v>2282</v>
      </c>
      <c r="M561">
        <v>28</v>
      </c>
      <c r="N561" t="str">
        <f>VLOOKUP(M561, CategoryMap!$A$2:$B$100, 2, FALSE)</f>
        <v>Science &amp; Technology</v>
      </c>
      <c r="O561">
        <v>951498</v>
      </c>
      <c r="P561">
        <v>25055</v>
      </c>
      <c r="Q561">
        <v>1797</v>
      </c>
      <c r="R561" s="3">
        <f t="shared" si="61"/>
        <v>2.8220763469812865E-2</v>
      </c>
      <c r="S561">
        <v>824</v>
      </c>
      <c r="T561" t="str">
        <f t="shared" si="62"/>
        <v>Long</v>
      </c>
    </row>
    <row r="562" spans="1:20" ht="18.75" customHeight="1" x14ac:dyDescent="0.35">
      <c r="A562" t="s">
        <v>2283</v>
      </c>
      <c r="B562" t="s">
        <v>2898</v>
      </c>
      <c r="C562" t="s">
        <v>3319</v>
      </c>
      <c r="D562" s="2" t="s">
        <v>2284</v>
      </c>
      <c r="E562" s="2">
        <f t="shared" si="57"/>
        <v>45790</v>
      </c>
      <c r="F562" s="4">
        <f t="shared" si="58"/>
        <v>2025</v>
      </c>
      <c r="G562" t="str">
        <f t="shared" si="59"/>
        <v>May</v>
      </c>
      <c r="H562" t="str">
        <f t="shared" si="60"/>
        <v>2025-05</v>
      </c>
      <c r="I562" s="4">
        <f t="shared" ca="1" si="56"/>
        <v>134</v>
      </c>
      <c r="J562" t="s">
        <v>1535</v>
      </c>
      <c r="K562" t="s">
        <v>1536</v>
      </c>
      <c r="L562" t="s">
        <v>2285</v>
      </c>
      <c r="M562">
        <v>28</v>
      </c>
      <c r="N562" t="str">
        <f>VLOOKUP(M562, CategoryMap!$A$2:$B$100, 2, FALSE)</f>
        <v>Science &amp; Technology</v>
      </c>
      <c r="O562">
        <v>271031</v>
      </c>
      <c r="P562">
        <v>13354</v>
      </c>
      <c r="Q562">
        <v>704</v>
      </c>
      <c r="R562" s="3">
        <f t="shared" si="61"/>
        <v>5.1868605436278505E-2</v>
      </c>
      <c r="S562">
        <v>862</v>
      </c>
      <c r="T562" t="str">
        <f t="shared" si="62"/>
        <v>Long</v>
      </c>
    </row>
    <row r="563" spans="1:20" ht="18.75" customHeight="1" x14ac:dyDescent="0.35">
      <c r="A563" t="s">
        <v>2286</v>
      </c>
      <c r="B563" t="s">
        <v>2899</v>
      </c>
      <c r="C563" t="s">
        <v>3320</v>
      </c>
      <c r="D563" s="2" t="s">
        <v>2287</v>
      </c>
      <c r="E563" s="2">
        <f t="shared" si="57"/>
        <v>44151</v>
      </c>
      <c r="F563" s="4">
        <f t="shared" si="58"/>
        <v>2020</v>
      </c>
      <c r="G563" t="str">
        <f t="shared" si="59"/>
        <v>November</v>
      </c>
      <c r="H563" t="str">
        <f t="shared" si="60"/>
        <v>2020-11</v>
      </c>
      <c r="I563" s="4">
        <f t="shared" ca="1" si="56"/>
        <v>1773</v>
      </c>
      <c r="J563" t="s">
        <v>2288</v>
      </c>
      <c r="K563" t="s">
        <v>2289</v>
      </c>
      <c r="L563" t="s">
        <v>2290</v>
      </c>
      <c r="M563">
        <v>27</v>
      </c>
      <c r="N563" t="str">
        <f>VLOOKUP(M563, CategoryMap!$A$2:$B$100, 2, FALSE)</f>
        <v>Education</v>
      </c>
      <c r="O563">
        <v>10046433</v>
      </c>
      <c r="P563">
        <v>294250</v>
      </c>
      <c r="Q563">
        <v>8716</v>
      </c>
      <c r="R563" s="3">
        <f t="shared" si="61"/>
        <v>3.0156573980038487E-2</v>
      </c>
      <c r="S563">
        <v>1012</v>
      </c>
      <c r="T563" t="str">
        <f t="shared" si="62"/>
        <v>Long</v>
      </c>
    </row>
    <row r="564" spans="1:20" ht="18.75" customHeight="1" x14ac:dyDescent="0.35">
      <c r="A564" t="s">
        <v>2291</v>
      </c>
      <c r="B564" t="s">
        <v>2900</v>
      </c>
      <c r="C564" t="s">
        <v>3321</v>
      </c>
      <c r="D564" s="2" t="s">
        <v>2292</v>
      </c>
      <c r="E564" s="2">
        <f t="shared" si="57"/>
        <v>45814</v>
      </c>
      <c r="F564" s="4">
        <f t="shared" si="58"/>
        <v>2025</v>
      </c>
      <c r="G564" t="str">
        <f t="shared" si="59"/>
        <v>June</v>
      </c>
      <c r="H564" t="str">
        <f t="shared" si="60"/>
        <v>2025-06</v>
      </c>
      <c r="I564" s="4">
        <f t="shared" ca="1" si="56"/>
        <v>110</v>
      </c>
      <c r="J564" t="s">
        <v>2293</v>
      </c>
      <c r="K564" t="s">
        <v>2294</v>
      </c>
      <c r="L564" t="s">
        <v>29</v>
      </c>
      <c r="M564">
        <v>24</v>
      </c>
      <c r="N564" t="str">
        <f>VLOOKUP(M564, CategoryMap!$A$2:$B$100, 2, FALSE)</f>
        <v>Entertainment</v>
      </c>
      <c r="O564">
        <v>3891</v>
      </c>
      <c r="P564">
        <v>81</v>
      </c>
      <c r="Q564">
        <v>26</v>
      </c>
      <c r="R564" s="3">
        <f t="shared" si="61"/>
        <v>2.7499357491647392E-2</v>
      </c>
      <c r="S564">
        <v>161</v>
      </c>
      <c r="T564" t="str">
        <f t="shared" si="62"/>
        <v>Long</v>
      </c>
    </row>
    <row r="565" spans="1:20" ht="18.75" customHeight="1" x14ac:dyDescent="0.35">
      <c r="A565" t="s">
        <v>2295</v>
      </c>
      <c r="B565" t="s">
        <v>2296</v>
      </c>
      <c r="C565" t="s">
        <v>11</v>
      </c>
      <c r="D565" s="2" t="s">
        <v>2297</v>
      </c>
      <c r="E565" s="2">
        <f t="shared" si="57"/>
        <v>45818</v>
      </c>
      <c r="F565" s="4">
        <f t="shared" si="58"/>
        <v>2025</v>
      </c>
      <c r="G565" t="str">
        <f t="shared" si="59"/>
        <v>June</v>
      </c>
      <c r="H565" t="str">
        <f t="shared" si="60"/>
        <v>2025-06</v>
      </c>
      <c r="I565" s="4">
        <f t="shared" ca="1" si="56"/>
        <v>106</v>
      </c>
      <c r="J565" t="s">
        <v>2298</v>
      </c>
      <c r="K565" t="s">
        <v>2299</v>
      </c>
      <c r="L565" t="s">
        <v>29</v>
      </c>
      <c r="M565">
        <v>22</v>
      </c>
      <c r="N565" t="str">
        <f>VLOOKUP(M565, CategoryMap!$A$2:$B$100, 2, FALSE)</f>
        <v>People &amp; Blogs</v>
      </c>
      <c r="O565">
        <v>22585</v>
      </c>
      <c r="P565">
        <v>356</v>
      </c>
      <c r="Q565">
        <v>6</v>
      </c>
      <c r="R565" s="3">
        <f t="shared" si="61"/>
        <v>1.6028337392074387E-2</v>
      </c>
      <c r="S565">
        <v>64</v>
      </c>
      <c r="T565" t="str">
        <f t="shared" si="62"/>
        <v>Long</v>
      </c>
    </row>
    <row r="566" spans="1:20" ht="18.75" customHeight="1" x14ac:dyDescent="0.35">
      <c r="A566" t="s">
        <v>2300</v>
      </c>
      <c r="B566" t="s">
        <v>2901</v>
      </c>
      <c r="C566" t="s">
        <v>3322</v>
      </c>
      <c r="D566" s="2" t="s">
        <v>2301</v>
      </c>
      <c r="E566" s="2">
        <f t="shared" si="57"/>
        <v>45805</v>
      </c>
      <c r="F566" s="4">
        <f t="shared" si="58"/>
        <v>2025</v>
      </c>
      <c r="G566" t="str">
        <f t="shared" si="59"/>
        <v>May</v>
      </c>
      <c r="H566" t="str">
        <f t="shared" si="60"/>
        <v>2025-05</v>
      </c>
      <c r="I566" s="4">
        <f t="shared" ca="1" si="56"/>
        <v>119</v>
      </c>
      <c r="J566" t="s">
        <v>2302</v>
      </c>
      <c r="K566" t="s">
        <v>2303</v>
      </c>
      <c r="L566" t="s">
        <v>2304</v>
      </c>
      <c r="M566">
        <v>27</v>
      </c>
      <c r="N566" t="str">
        <f>VLOOKUP(M566, CategoryMap!$A$2:$B$100, 2, FALSE)</f>
        <v>Education</v>
      </c>
      <c r="O566">
        <v>2025</v>
      </c>
      <c r="P566">
        <v>30</v>
      </c>
      <c r="Q566">
        <v>21</v>
      </c>
      <c r="R566" s="3">
        <f t="shared" si="61"/>
        <v>2.5185185185185185E-2</v>
      </c>
      <c r="S566">
        <v>205</v>
      </c>
      <c r="T566" t="str">
        <f t="shared" si="62"/>
        <v>Long</v>
      </c>
    </row>
    <row r="567" spans="1:20" ht="18.75" customHeight="1" x14ac:dyDescent="0.35">
      <c r="A567" t="s">
        <v>2305</v>
      </c>
      <c r="B567" t="s">
        <v>2792</v>
      </c>
      <c r="C567" t="s">
        <v>3323</v>
      </c>
      <c r="D567" s="2" t="s">
        <v>2306</v>
      </c>
      <c r="E567" s="2">
        <f t="shared" si="57"/>
        <v>45773</v>
      </c>
      <c r="F567" s="4">
        <f t="shared" si="58"/>
        <v>2025</v>
      </c>
      <c r="G567" t="str">
        <f t="shared" si="59"/>
        <v>April</v>
      </c>
      <c r="H567" t="str">
        <f t="shared" si="60"/>
        <v>2025-04</v>
      </c>
      <c r="I567" s="4">
        <f t="shared" ca="1" si="56"/>
        <v>151</v>
      </c>
      <c r="J567" t="s">
        <v>2307</v>
      </c>
      <c r="K567" t="s">
        <v>2308</v>
      </c>
      <c r="L567" t="s">
        <v>2309</v>
      </c>
      <c r="M567">
        <v>26</v>
      </c>
      <c r="N567" t="str">
        <f>VLOOKUP(M567, CategoryMap!$A$2:$B$100, 2, FALSE)</f>
        <v>Howto &amp; Style</v>
      </c>
      <c r="O567">
        <v>1001</v>
      </c>
      <c r="P567">
        <v>20</v>
      </c>
      <c r="Q567">
        <v>1</v>
      </c>
      <c r="R567" s="3">
        <f t="shared" si="61"/>
        <v>2.097902097902098E-2</v>
      </c>
      <c r="S567">
        <v>1036</v>
      </c>
      <c r="T567" t="str">
        <f t="shared" si="62"/>
        <v>Long</v>
      </c>
    </row>
    <row r="568" spans="1:20" ht="18.75" customHeight="1" x14ac:dyDescent="0.35">
      <c r="A568" t="s">
        <v>2310</v>
      </c>
      <c r="B568" t="s">
        <v>2902</v>
      </c>
      <c r="C568" t="s">
        <v>3324</v>
      </c>
      <c r="D568" s="2" t="s">
        <v>2311</v>
      </c>
      <c r="E568" s="2">
        <f t="shared" si="57"/>
        <v>45802</v>
      </c>
      <c r="F568" s="4">
        <f t="shared" si="58"/>
        <v>2025</v>
      </c>
      <c r="G568" t="str">
        <f t="shared" si="59"/>
        <v>May</v>
      </c>
      <c r="H568" t="str">
        <f t="shared" si="60"/>
        <v>2025-05</v>
      </c>
      <c r="I568" s="4">
        <f t="shared" ca="1" si="56"/>
        <v>122</v>
      </c>
      <c r="J568" t="s">
        <v>2312</v>
      </c>
      <c r="K568" t="s">
        <v>2313</v>
      </c>
      <c r="L568" t="s">
        <v>2314</v>
      </c>
      <c r="M568">
        <v>27</v>
      </c>
      <c r="N568" t="str">
        <f>VLOOKUP(M568, CategoryMap!$A$2:$B$100, 2, FALSE)</f>
        <v>Education</v>
      </c>
      <c r="O568">
        <v>10361</v>
      </c>
      <c r="P568">
        <v>365</v>
      </c>
      <c r="Q568">
        <v>20</v>
      </c>
      <c r="R568" s="3">
        <f t="shared" si="61"/>
        <v>3.7158575427082327E-2</v>
      </c>
      <c r="S568">
        <v>1798</v>
      </c>
      <c r="T568" t="str">
        <f t="shared" si="62"/>
        <v>Long</v>
      </c>
    </row>
    <row r="569" spans="1:20" ht="18.75" customHeight="1" x14ac:dyDescent="0.35">
      <c r="A569" t="s">
        <v>2315</v>
      </c>
      <c r="B569" t="s">
        <v>2903</v>
      </c>
      <c r="C569" t="s">
        <v>3325</v>
      </c>
      <c r="D569" s="2" t="s">
        <v>2316</v>
      </c>
      <c r="E569" s="2">
        <f t="shared" si="57"/>
        <v>44592</v>
      </c>
      <c r="F569" s="4">
        <f t="shared" si="58"/>
        <v>2022</v>
      </c>
      <c r="G569" t="str">
        <f t="shared" si="59"/>
        <v>January</v>
      </c>
      <c r="H569" t="str">
        <f t="shared" si="60"/>
        <v>2022-01</v>
      </c>
      <c r="I569" s="4">
        <f t="shared" ca="1" si="56"/>
        <v>1332</v>
      </c>
      <c r="J569" t="s">
        <v>2317</v>
      </c>
      <c r="K569" t="s">
        <v>2318</v>
      </c>
      <c r="L569" t="s">
        <v>2319</v>
      </c>
      <c r="M569">
        <v>28</v>
      </c>
      <c r="N569" t="str">
        <f>VLOOKUP(M569, CategoryMap!$A$2:$B$100, 2, FALSE)</f>
        <v>Science &amp; Technology</v>
      </c>
      <c r="O569">
        <v>3152660</v>
      </c>
      <c r="P569">
        <v>210863</v>
      </c>
      <c r="Q569">
        <v>484</v>
      </c>
      <c r="R569" s="3">
        <f t="shared" si="61"/>
        <v>6.7037676121116774E-2</v>
      </c>
      <c r="S569">
        <v>60</v>
      </c>
      <c r="T569" t="str">
        <f t="shared" si="62"/>
        <v>Short</v>
      </c>
    </row>
    <row r="570" spans="1:20" ht="18.75" customHeight="1" x14ac:dyDescent="0.35">
      <c r="A570" t="s">
        <v>2320</v>
      </c>
      <c r="B570" t="s">
        <v>2904</v>
      </c>
      <c r="C570" t="s">
        <v>3326</v>
      </c>
      <c r="D570" s="2" t="s">
        <v>2321</v>
      </c>
      <c r="E570" s="2">
        <f t="shared" si="57"/>
        <v>44528</v>
      </c>
      <c r="F570" s="4">
        <f t="shared" si="58"/>
        <v>2021</v>
      </c>
      <c r="G570" t="str">
        <f t="shared" si="59"/>
        <v>November</v>
      </c>
      <c r="H570" t="str">
        <f t="shared" si="60"/>
        <v>2021-11</v>
      </c>
      <c r="I570" s="4">
        <f t="shared" ca="1" si="56"/>
        <v>1396</v>
      </c>
      <c r="J570" t="s">
        <v>2322</v>
      </c>
      <c r="K570" t="s">
        <v>2323</v>
      </c>
      <c r="L570" t="s">
        <v>2324</v>
      </c>
      <c r="M570">
        <v>27</v>
      </c>
      <c r="N570" t="str">
        <f>VLOOKUP(M570, CategoryMap!$A$2:$B$100, 2, FALSE)</f>
        <v>Education</v>
      </c>
      <c r="O570">
        <v>407126</v>
      </c>
      <c r="P570">
        <v>13506</v>
      </c>
      <c r="Q570">
        <v>53</v>
      </c>
      <c r="R570" s="3">
        <f t="shared" si="61"/>
        <v>3.3304185927698057E-2</v>
      </c>
      <c r="S570">
        <v>27</v>
      </c>
      <c r="T570" t="str">
        <f t="shared" si="62"/>
        <v>Short</v>
      </c>
    </row>
    <row r="571" spans="1:20" ht="18.75" customHeight="1" x14ac:dyDescent="0.35">
      <c r="A571" t="s">
        <v>2325</v>
      </c>
      <c r="B571" t="s">
        <v>2905</v>
      </c>
      <c r="C571" t="s">
        <v>3327</v>
      </c>
      <c r="D571" s="2" t="s">
        <v>2326</v>
      </c>
      <c r="E571" s="2">
        <f t="shared" si="57"/>
        <v>45607</v>
      </c>
      <c r="F571" s="4">
        <f t="shared" si="58"/>
        <v>2024</v>
      </c>
      <c r="G571" t="str">
        <f t="shared" si="59"/>
        <v>November</v>
      </c>
      <c r="H571" t="str">
        <f t="shared" si="60"/>
        <v>2024-11</v>
      </c>
      <c r="I571" s="4">
        <f t="shared" ca="1" si="56"/>
        <v>317</v>
      </c>
      <c r="J571" t="s">
        <v>2231</v>
      </c>
      <c r="K571" t="s">
        <v>2232</v>
      </c>
      <c r="L571" t="s">
        <v>29</v>
      </c>
      <c r="M571">
        <v>30</v>
      </c>
      <c r="N571" t="e">
        <f>VLOOKUP(M571, CategoryMap!$A$2:$B$100, 2, FALSE)</f>
        <v>#N/A</v>
      </c>
      <c r="O571">
        <v>8080299.3584589604</v>
      </c>
      <c r="P571">
        <v>10</v>
      </c>
      <c r="Q571">
        <v>1</v>
      </c>
      <c r="R571" s="3">
        <f t="shared" si="61"/>
        <v>1.3613357020596664E-6</v>
      </c>
      <c r="S571">
        <v>10</v>
      </c>
      <c r="T571" t="str">
        <f t="shared" si="62"/>
        <v>Short</v>
      </c>
    </row>
    <row r="572" spans="1:20" ht="18.75" customHeight="1" x14ac:dyDescent="0.35">
      <c r="A572" t="s">
        <v>2327</v>
      </c>
      <c r="B572" t="s">
        <v>2906</v>
      </c>
      <c r="C572" t="s">
        <v>3328</v>
      </c>
      <c r="D572" s="2" t="s">
        <v>2328</v>
      </c>
      <c r="E572" s="2">
        <f t="shared" si="57"/>
        <v>45741</v>
      </c>
      <c r="F572" s="4">
        <f t="shared" si="58"/>
        <v>2025</v>
      </c>
      <c r="G572" t="str">
        <f t="shared" si="59"/>
        <v>March</v>
      </c>
      <c r="H572" t="str">
        <f t="shared" si="60"/>
        <v>2025-03</v>
      </c>
      <c r="I572" s="4">
        <f t="shared" ca="1" si="56"/>
        <v>183</v>
      </c>
      <c r="J572" t="s">
        <v>1535</v>
      </c>
      <c r="K572" t="s">
        <v>1536</v>
      </c>
      <c r="L572" t="s">
        <v>2329</v>
      </c>
      <c r="M572">
        <v>28</v>
      </c>
      <c r="N572" t="str">
        <f>VLOOKUP(M572, CategoryMap!$A$2:$B$100, 2, FALSE)</f>
        <v>Science &amp; Technology</v>
      </c>
      <c r="O572">
        <v>1121422</v>
      </c>
      <c r="P572">
        <v>50297</v>
      </c>
      <c r="Q572">
        <v>3630</v>
      </c>
      <c r="R572" s="3">
        <f t="shared" si="61"/>
        <v>4.8088052490498669E-2</v>
      </c>
      <c r="S572">
        <v>591</v>
      </c>
      <c r="T572" t="str">
        <f t="shared" si="62"/>
        <v>Long</v>
      </c>
    </row>
    <row r="573" spans="1:20" ht="18.75" customHeight="1" x14ac:dyDescent="0.35">
      <c r="A573" t="s">
        <v>2330</v>
      </c>
      <c r="B573" t="s">
        <v>2907</v>
      </c>
      <c r="C573" t="s">
        <v>3329</v>
      </c>
      <c r="D573" s="2" t="s">
        <v>2331</v>
      </c>
      <c r="E573" s="2">
        <f t="shared" si="57"/>
        <v>45765</v>
      </c>
      <c r="F573" s="4">
        <f t="shared" si="58"/>
        <v>2025</v>
      </c>
      <c r="G573" t="str">
        <f t="shared" si="59"/>
        <v>April</v>
      </c>
      <c r="H573" t="str">
        <f t="shared" si="60"/>
        <v>2025-04</v>
      </c>
      <c r="I573" s="4">
        <f t="shared" ca="1" si="56"/>
        <v>159</v>
      </c>
      <c r="J573" t="s">
        <v>1560</v>
      </c>
      <c r="K573" t="s">
        <v>1561</v>
      </c>
      <c r="L573" t="s">
        <v>2332</v>
      </c>
      <c r="M573">
        <v>28</v>
      </c>
      <c r="N573" t="str">
        <f>VLOOKUP(M573, CategoryMap!$A$2:$B$100, 2, FALSE)</f>
        <v>Science &amp; Technology</v>
      </c>
      <c r="O573">
        <v>1035950</v>
      </c>
      <c r="P573">
        <v>30510</v>
      </c>
      <c r="Q573">
        <v>1719</v>
      </c>
      <c r="R573" s="3">
        <f t="shared" si="61"/>
        <v>3.1110574834692793E-2</v>
      </c>
      <c r="S573">
        <v>578</v>
      </c>
      <c r="T573" t="str">
        <f t="shared" si="62"/>
        <v>Long</v>
      </c>
    </row>
    <row r="574" spans="1:20" ht="18.75" customHeight="1" x14ac:dyDescent="0.35">
      <c r="A574" t="s">
        <v>2333</v>
      </c>
      <c r="B574" t="s">
        <v>2908</v>
      </c>
      <c r="C574" t="s">
        <v>11</v>
      </c>
      <c r="D574" s="2" t="s">
        <v>2334</v>
      </c>
      <c r="E574" s="2">
        <f t="shared" si="57"/>
        <v>45762</v>
      </c>
      <c r="F574" s="4">
        <f t="shared" si="58"/>
        <v>2025</v>
      </c>
      <c r="G574" t="str">
        <f t="shared" si="59"/>
        <v>April</v>
      </c>
      <c r="H574" t="str">
        <f t="shared" si="60"/>
        <v>2025-04</v>
      </c>
      <c r="I574" s="4">
        <f t="shared" ca="1" si="56"/>
        <v>162</v>
      </c>
      <c r="J574" t="s">
        <v>2335</v>
      </c>
      <c r="K574" t="s">
        <v>2336</v>
      </c>
      <c r="L574" t="s">
        <v>29</v>
      </c>
      <c r="M574">
        <v>28</v>
      </c>
      <c r="N574" t="str">
        <f>VLOOKUP(M574, CategoryMap!$A$2:$B$100, 2, FALSE)</f>
        <v>Science &amp; Technology</v>
      </c>
      <c r="O574">
        <v>960</v>
      </c>
      <c r="P574">
        <v>19</v>
      </c>
      <c r="Q574">
        <v>0</v>
      </c>
      <c r="R574" s="3">
        <f t="shared" si="61"/>
        <v>1.9791666666666666E-2</v>
      </c>
      <c r="S574">
        <v>116</v>
      </c>
      <c r="T574" t="str">
        <f t="shared" si="62"/>
        <v>Long</v>
      </c>
    </row>
    <row r="575" spans="1:20" ht="18.75" customHeight="1" x14ac:dyDescent="0.35">
      <c r="A575" t="s">
        <v>2337</v>
      </c>
      <c r="B575" t="s">
        <v>2909</v>
      </c>
      <c r="C575" t="s">
        <v>3330</v>
      </c>
      <c r="D575" s="2" t="s">
        <v>2338</v>
      </c>
      <c r="E575" s="2">
        <f t="shared" si="57"/>
        <v>45649</v>
      </c>
      <c r="F575" s="4">
        <f t="shared" si="58"/>
        <v>2024</v>
      </c>
      <c r="G575" t="str">
        <f t="shared" si="59"/>
        <v>December</v>
      </c>
      <c r="H575" t="str">
        <f t="shared" si="60"/>
        <v>2024-12</v>
      </c>
      <c r="I575" s="4">
        <f t="shared" ca="1" si="56"/>
        <v>275</v>
      </c>
      <c r="J575" t="s">
        <v>1560</v>
      </c>
      <c r="K575" t="s">
        <v>1561</v>
      </c>
      <c r="L575" t="s">
        <v>2339</v>
      </c>
      <c r="M575">
        <v>28</v>
      </c>
      <c r="N575" t="str">
        <f>VLOOKUP(M575, CategoryMap!$A$2:$B$100, 2, FALSE)</f>
        <v>Science &amp; Technology</v>
      </c>
      <c r="O575">
        <v>2767552</v>
      </c>
      <c r="P575">
        <v>100306</v>
      </c>
      <c r="Q575">
        <v>10287</v>
      </c>
      <c r="R575" s="3">
        <f t="shared" si="61"/>
        <v>3.996058610642185E-2</v>
      </c>
      <c r="S575">
        <v>5</v>
      </c>
      <c r="T575" t="str">
        <f t="shared" si="62"/>
        <v>Short</v>
      </c>
    </row>
    <row r="576" spans="1:20" ht="18.75" customHeight="1" x14ac:dyDescent="0.35">
      <c r="A576" t="s">
        <v>2340</v>
      </c>
      <c r="B576" t="s">
        <v>2910</v>
      </c>
      <c r="C576" t="s">
        <v>3331</v>
      </c>
      <c r="D576" s="2" t="s">
        <v>2341</v>
      </c>
      <c r="E576" s="2">
        <f t="shared" si="57"/>
        <v>45259</v>
      </c>
      <c r="F576" s="4">
        <f t="shared" si="58"/>
        <v>2023</v>
      </c>
      <c r="G576" t="str">
        <f t="shared" si="59"/>
        <v>November</v>
      </c>
      <c r="H576" t="str">
        <f t="shared" si="60"/>
        <v>2023-11</v>
      </c>
      <c r="I576" s="4">
        <f t="shared" ca="1" si="56"/>
        <v>665</v>
      </c>
      <c r="J576" t="s">
        <v>2342</v>
      </c>
      <c r="K576" t="s">
        <v>2232</v>
      </c>
      <c r="L576" t="s">
        <v>29</v>
      </c>
      <c r="M576">
        <v>30</v>
      </c>
      <c r="N576" t="e">
        <f>VLOOKUP(M576, CategoryMap!$A$2:$B$100, 2, FALSE)</f>
        <v>#N/A</v>
      </c>
      <c r="O576">
        <v>8080299.3584589604</v>
      </c>
      <c r="P576">
        <v>0</v>
      </c>
      <c r="Q576">
        <v>0</v>
      </c>
      <c r="R576" s="3">
        <f t="shared" si="61"/>
        <v>0</v>
      </c>
      <c r="S576">
        <v>3313</v>
      </c>
      <c r="T576" t="str">
        <f t="shared" si="62"/>
        <v>Long</v>
      </c>
    </row>
    <row r="577" spans="1:20" ht="18.75" customHeight="1" x14ac:dyDescent="0.35">
      <c r="A577" t="s">
        <v>2343</v>
      </c>
      <c r="B577" t="s">
        <v>2911</v>
      </c>
      <c r="C577" t="s">
        <v>3332</v>
      </c>
      <c r="D577" s="2" t="s">
        <v>2344</v>
      </c>
      <c r="E577" s="2">
        <f t="shared" si="57"/>
        <v>45805</v>
      </c>
      <c r="F577" s="4">
        <f t="shared" si="58"/>
        <v>2025</v>
      </c>
      <c r="G577" t="str">
        <f t="shared" si="59"/>
        <v>May</v>
      </c>
      <c r="H577" t="str">
        <f t="shared" si="60"/>
        <v>2025-05</v>
      </c>
      <c r="I577" s="4">
        <f t="shared" ca="1" si="56"/>
        <v>119</v>
      </c>
      <c r="J577" t="s">
        <v>2345</v>
      </c>
      <c r="K577" t="s">
        <v>2346</v>
      </c>
      <c r="L577" t="s">
        <v>2347</v>
      </c>
      <c r="M577">
        <v>27</v>
      </c>
      <c r="N577" t="str">
        <f>VLOOKUP(M577, CategoryMap!$A$2:$B$100, 2, FALSE)</f>
        <v>Education</v>
      </c>
      <c r="O577">
        <v>2612</v>
      </c>
      <c r="P577">
        <v>67</v>
      </c>
      <c r="Q577">
        <v>16</v>
      </c>
      <c r="R577" s="3">
        <f t="shared" si="61"/>
        <v>3.1776416539050535E-2</v>
      </c>
      <c r="S577">
        <v>1263</v>
      </c>
      <c r="T577" t="str">
        <f t="shared" si="62"/>
        <v>Long</v>
      </c>
    </row>
    <row r="578" spans="1:20" ht="18.75" customHeight="1" x14ac:dyDescent="0.35">
      <c r="A578" t="s">
        <v>2348</v>
      </c>
      <c r="B578" t="s">
        <v>2912</v>
      </c>
      <c r="C578" t="s">
        <v>3333</v>
      </c>
      <c r="D578" s="2" t="s">
        <v>2349</v>
      </c>
      <c r="E578" s="2">
        <f t="shared" si="57"/>
        <v>45766</v>
      </c>
      <c r="F578" s="4">
        <f t="shared" si="58"/>
        <v>2025</v>
      </c>
      <c r="G578" t="str">
        <f t="shared" si="59"/>
        <v>April</v>
      </c>
      <c r="H578" t="str">
        <f t="shared" si="60"/>
        <v>2025-04</v>
      </c>
      <c r="I578" s="4">
        <f t="shared" ref="I578:I585" ca="1" si="63">TODAY() - DATEVALUE(LEFT(D578,10))</f>
        <v>158</v>
      </c>
      <c r="J578" t="s">
        <v>2350</v>
      </c>
      <c r="K578" t="s">
        <v>2351</v>
      </c>
      <c r="L578" t="s">
        <v>29</v>
      </c>
      <c r="M578">
        <v>28</v>
      </c>
      <c r="N578" t="str">
        <f>VLOOKUP(M578, CategoryMap!$A$2:$B$100, 2, FALSE)</f>
        <v>Science &amp; Technology</v>
      </c>
      <c r="O578">
        <v>314814</v>
      </c>
      <c r="P578">
        <v>3030</v>
      </c>
      <c r="Q578">
        <v>91</v>
      </c>
      <c r="R578" s="3">
        <f t="shared" si="61"/>
        <v>9.9137903651044749E-3</v>
      </c>
      <c r="S578">
        <v>631</v>
      </c>
      <c r="T578" t="str">
        <f t="shared" si="62"/>
        <v>Long</v>
      </c>
    </row>
    <row r="579" spans="1:20" ht="18.75" customHeight="1" x14ac:dyDescent="0.35">
      <c r="A579" t="s">
        <v>2352</v>
      </c>
      <c r="B579" t="s">
        <v>2913</v>
      </c>
      <c r="C579" t="s">
        <v>3334</v>
      </c>
      <c r="D579" s="2" t="s">
        <v>2353</v>
      </c>
      <c r="E579" s="2">
        <f t="shared" ref="E579:E585" si="64">DATEVALUE(LEFT(D579,10))</f>
        <v>44381</v>
      </c>
      <c r="F579" s="4">
        <f t="shared" ref="F579:F585" si="65">YEAR(E579)</f>
        <v>2021</v>
      </c>
      <c r="G579" t="str">
        <f t="shared" ref="G579:G585" si="66">TEXT(E579,"MMMM")</f>
        <v>July</v>
      </c>
      <c r="H579" t="str">
        <f t="shared" ref="H579:H585" si="67">TEXT(E579,"YYYY-MM")</f>
        <v>2021-07</v>
      </c>
      <c r="I579" s="4">
        <f t="shared" ca="1" si="63"/>
        <v>1543</v>
      </c>
      <c r="J579" t="s">
        <v>2354</v>
      </c>
      <c r="K579" t="s">
        <v>2355</v>
      </c>
      <c r="L579" t="s">
        <v>2356</v>
      </c>
      <c r="M579">
        <v>28</v>
      </c>
      <c r="N579" t="str">
        <f>VLOOKUP(M579, CategoryMap!$A$2:$B$100, 2, FALSE)</f>
        <v>Science &amp; Technology</v>
      </c>
      <c r="O579">
        <v>8419378</v>
      </c>
      <c r="P579">
        <v>217464.60837887001</v>
      </c>
      <c r="Q579">
        <v>446</v>
      </c>
      <c r="R579" s="3">
        <f t="shared" ref="R579:R585" si="68">IF(O579=0, 0, (P579 + Q579) / O579)</f>
        <v>2.5882031710521846E-2</v>
      </c>
      <c r="S579">
        <v>58</v>
      </c>
      <c r="T579" t="str">
        <f t="shared" ref="T579:T585" si="69">IF(S579&lt;=60, "Short", "Long")</f>
        <v>Short</v>
      </c>
    </row>
    <row r="580" spans="1:20" ht="18.75" customHeight="1" x14ac:dyDescent="0.35">
      <c r="A580" t="s">
        <v>2357</v>
      </c>
      <c r="B580" t="s">
        <v>2914</v>
      </c>
      <c r="C580" t="s">
        <v>3335</v>
      </c>
      <c r="D580" s="2" t="s">
        <v>2358</v>
      </c>
      <c r="E580" s="2">
        <f t="shared" si="64"/>
        <v>45748</v>
      </c>
      <c r="F580" s="4">
        <f t="shared" si="65"/>
        <v>2025</v>
      </c>
      <c r="G580" t="str">
        <f t="shared" si="66"/>
        <v>April</v>
      </c>
      <c r="H580" t="str">
        <f t="shared" si="67"/>
        <v>2025-04</v>
      </c>
      <c r="I580" s="4">
        <f t="shared" ca="1" si="63"/>
        <v>176</v>
      </c>
      <c r="J580" t="s">
        <v>1993</v>
      </c>
      <c r="K580" t="s">
        <v>1994</v>
      </c>
      <c r="L580" t="s">
        <v>2359</v>
      </c>
      <c r="M580">
        <v>28</v>
      </c>
      <c r="N580" t="str">
        <f>VLOOKUP(M580, CategoryMap!$A$2:$B$100, 2, FALSE)</f>
        <v>Science &amp; Technology</v>
      </c>
      <c r="O580">
        <v>2602266</v>
      </c>
      <c r="P580">
        <v>105714</v>
      </c>
      <c r="Q580">
        <v>5071</v>
      </c>
      <c r="R580" s="3">
        <f t="shared" si="68"/>
        <v>4.2572511803174617E-2</v>
      </c>
      <c r="S580">
        <v>764</v>
      </c>
      <c r="T580" t="str">
        <f t="shared" si="69"/>
        <v>Long</v>
      </c>
    </row>
    <row r="581" spans="1:20" ht="18.75" customHeight="1" x14ac:dyDescent="0.35">
      <c r="A581" t="s">
        <v>2360</v>
      </c>
      <c r="B581" t="s">
        <v>2915</v>
      </c>
      <c r="C581" t="s">
        <v>3336</v>
      </c>
      <c r="D581" s="2" t="s">
        <v>2361</v>
      </c>
      <c r="E581" s="2">
        <f t="shared" si="64"/>
        <v>44684</v>
      </c>
      <c r="F581" s="4">
        <f t="shared" si="65"/>
        <v>2022</v>
      </c>
      <c r="G581" t="str">
        <f t="shared" si="66"/>
        <v>May</v>
      </c>
      <c r="H581" t="str">
        <f t="shared" si="67"/>
        <v>2022-05</v>
      </c>
      <c r="I581" s="4">
        <f t="shared" ca="1" si="63"/>
        <v>1240</v>
      </c>
      <c r="J581" t="s">
        <v>2362</v>
      </c>
      <c r="K581" t="s">
        <v>2363</v>
      </c>
      <c r="L581" t="s">
        <v>2364</v>
      </c>
      <c r="M581">
        <v>24</v>
      </c>
      <c r="N581" t="str">
        <f>VLOOKUP(M581, CategoryMap!$A$2:$B$100, 2, FALSE)</f>
        <v>Entertainment</v>
      </c>
      <c r="O581">
        <v>15631786</v>
      </c>
      <c r="P581">
        <v>1692338</v>
      </c>
      <c r="Q581">
        <v>4662</v>
      </c>
      <c r="R581" s="3">
        <f t="shared" si="68"/>
        <v>0.10856085158791197</v>
      </c>
      <c r="S581">
        <v>60</v>
      </c>
      <c r="T581" t="str">
        <f t="shared" si="69"/>
        <v>Short</v>
      </c>
    </row>
    <row r="582" spans="1:20" ht="18.75" customHeight="1" x14ac:dyDescent="0.35">
      <c r="A582" t="s">
        <v>2365</v>
      </c>
      <c r="B582" t="s">
        <v>2916</v>
      </c>
      <c r="C582" t="s">
        <v>3337</v>
      </c>
      <c r="D582" s="2" t="s">
        <v>2366</v>
      </c>
      <c r="E582" s="2">
        <f t="shared" si="64"/>
        <v>45828</v>
      </c>
      <c r="F582" s="4">
        <f t="shared" si="65"/>
        <v>2025</v>
      </c>
      <c r="G582" t="str">
        <f t="shared" si="66"/>
        <v>June</v>
      </c>
      <c r="H582" t="str">
        <f t="shared" si="67"/>
        <v>2025-06</v>
      </c>
      <c r="I582" s="4">
        <f t="shared" ca="1" si="63"/>
        <v>96</v>
      </c>
      <c r="J582" t="s">
        <v>2367</v>
      </c>
      <c r="K582" t="s">
        <v>2368</v>
      </c>
      <c r="L582" t="s">
        <v>29</v>
      </c>
      <c r="M582">
        <v>20</v>
      </c>
      <c r="N582" t="str">
        <f>VLOOKUP(M582, CategoryMap!$A$2:$B$100, 2, FALSE)</f>
        <v>Gaming</v>
      </c>
      <c r="O582">
        <v>616</v>
      </c>
      <c r="P582">
        <v>7</v>
      </c>
      <c r="Q582">
        <v>1</v>
      </c>
      <c r="R582" s="3">
        <f t="shared" si="68"/>
        <v>1.2987012987012988E-2</v>
      </c>
      <c r="S582">
        <v>48</v>
      </c>
      <c r="T582" t="str">
        <f t="shared" si="69"/>
        <v>Short</v>
      </c>
    </row>
    <row r="583" spans="1:20" ht="18.75" customHeight="1" x14ac:dyDescent="0.35">
      <c r="A583" t="s">
        <v>2369</v>
      </c>
      <c r="B583" t="s">
        <v>2917</v>
      </c>
      <c r="C583" t="s">
        <v>11</v>
      </c>
      <c r="D583" s="2" t="s">
        <v>2370</v>
      </c>
      <c r="E583" s="2">
        <f t="shared" si="64"/>
        <v>45827</v>
      </c>
      <c r="F583" s="4">
        <f t="shared" si="65"/>
        <v>2025</v>
      </c>
      <c r="G583" t="str">
        <f t="shared" si="66"/>
        <v>June</v>
      </c>
      <c r="H583" t="str">
        <f t="shared" si="67"/>
        <v>2025-06</v>
      </c>
      <c r="I583" s="4">
        <f t="shared" ca="1" si="63"/>
        <v>97</v>
      </c>
      <c r="J583" t="s">
        <v>2371</v>
      </c>
      <c r="K583" t="s">
        <v>2372</v>
      </c>
      <c r="L583" t="s">
        <v>29</v>
      </c>
      <c r="M583">
        <v>27</v>
      </c>
      <c r="N583" t="str">
        <f>VLOOKUP(M583, CategoryMap!$A$2:$B$100, 2, FALSE)</f>
        <v>Education</v>
      </c>
      <c r="O583">
        <v>15534</v>
      </c>
      <c r="P583">
        <v>70</v>
      </c>
      <c r="Q583">
        <v>12</v>
      </c>
      <c r="R583" s="3">
        <f t="shared" si="68"/>
        <v>5.2787434015707478E-3</v>
      </c>
      <c r="S583">
        <v>10</v>
      </c>
      <c r="T583" t="str">
        <f t="shared" si="69"/>
        <v>Short</v>
      </c>
    </row>
    <row r="584" spans="1:20" ht="18.75" customHeight="1" x14ac:dyDescent="0.35">
      <c r="A584" t="s">
        <v>2373</v>
      </c>
      <c r="B584" t="s">
        <v>2918</v>
      </c>
      <c r="C584" t="s">
        <v>11</v>
      </c>
      <c r="D584" s="2" t="s">
        <v>2374</v>
      </c>
      <c r="E584" s="2">
        <f t="shared" si="64"/>
        <v>45828</v>
      </c>
      <c r="F584" s="4">
        <f t="shared" si="65"/>
        <v>2025</v>
      </c>
      <c r="G584" t="str">
        <f t="shared" si="66"/>
        <v>June</v>
      </c>
      <c r="H584" t="str">
        <f t="shared" si="67"/>
        <v>2025-06</v>
      </c>
      <c r="I584" s="4">
        <f t="shared" ca="1" si="63"/>
        <v>96</v>
      </c>
      <c r="J584" t="s">
        <v>2375</v>
      </c>
      <c r="K584" t="s">
        <v>2376</v>
      </c>
      <c r="L584" t="s">
        <v>29</v>
      </c>
      <c r="M584">
        <v>22</v>
      </c>
      <c r="N584" t="str">
        <f>VLOOKUP(M584, CategoryMap!$A$2:$B$100, 2, FALSE)</f>
        <v>People &amp; Blogs</v>
      </c>
      <c r="O584">
        <v>4223</v>
      </c>
      <c r="P584">
        <v>182</v>
      </c>
      <c r="Q584">
        <v>5</v>
      </c>
      <c r="R584" s="3">
        <f t="shared" si="68"/>
        <v>4.428131659957376E-2</v>
      </c>
      <c r="S584">
        <v>6</v>
      </c>
      <c r="T584" t="str">
        <f t="shared" si="69"/>
        <v>Short</v>
      </c>
    </row>
    <row r="585" spans="1:20" ht="18.75" customHeight="1" x14ac:dyDescent="0.35">
      <c r="A585" t="s">
        <v>2377</v>
      </c>
      <c r="B585" t="s">
        <v>2661</v>
      </c>
      <c r="C585" t="s">
        <v>11</v>
      </c>
      <c r="D585" s="2" t="s">
        <v>2378</v>
      </c>
      <c r="E585" s="2">
        <f t="shared" si="64"/>
        <v>45827</v>
      </c>
      <c r="F585" s="4">
        <f t="shared" si="65"/>
        <v>2025</v>
      </c>
      <c r="G585" t="str">
        <f t="shared" si="66"/>
        <v>June</v>
      </c>
      <c r="H585" t="str">
        <f t="shared" si="67"/>
        <v>2025-06</v>
      </c>
      <c r="I585" s="4">
        <f t="shared" ca="1" si="63"/>
        <v>97</v>
      </c>
      <c r="J585" t="s">
        <v>2379</v>
      </c>
      <c r="K585" t="s">
        <v>2380</v>
      </c>
      <c r="L585" t="s">
        <v>29</v>
      </c>
      <c r="M585">
        <v>22</v>
      </c>
      <c r="N585" t="str">
        <f>VLOOKUP(M585, CategoryMap!$A$2:$B$100, 2, FALSE)</f>
        <v>People &amp; Blogs</v>
      </c>
      <c r="O585">
        <v>198486</v>
      </c>
      <c r="P585">
        <v>573</v>
      </c>
      <c r="Q585">
        <v>0</v>
      </c>
      <c r="R585" s="3">
        <f t="shared" si="68"/>
        <v>2.8868534808500347E-3</v>
      </c>
      <c r="S585">
        <v>6</v>
      </c>
      <c r="T585" t="str">
        <f t="shared" si="69"/>
        <v>Short</v>
      </c>
    </row>
    <row r="587" spans="1:20" ht="18.75" customHeight="1" x14ac:dyDescent="0.35">
      <c r="A587">
        <f>COUNTA(A2:A585)</f>
        <v>584</v>
      </c>
      <c r="K587">
        <f>SUM(--(FREQUENCY(MATCH(K2:K585,K2:K585,0),ROW(K2:K585)-MIN(ROW(K2:K585))+1)&gt;0))</f>
        <v>408</v>
      </c>
      <c r="O587" s="10">
        <f>SUM((O2:O585))</f>
        <v>4809082266.0753756</v>
      </c>
      <c r="P587" s="10">
        <f>SUM(P2:P585)</f>
        <v>128763034.593807</v>
      </c>
      <c r="Q587" s="10">
        <f>SUM(Q2:Q585)</f>
        <v>1148559.8686868688</v>
      </c>
      <c r="S587">
        <f>AVERAGE(S2:S585)/60</f>
        <v>5.5489155251141549</v>
      </c>
    </row>
    <row r="590" spans="1:20" ht="18.75" customHeight="1" x14ac:dyDescent="0.35">
      <c r="S590" t="str">
        <f>INT(S587) &amp; " min " &amp; ROUND((S587-INT(S587))*60,0) &amp; " sec"</f>
        <v>5 min 33 sec</v>
      </c>
    </row>
  </sheetData>
  <autoFilter ref="A1:T585"/>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70"/>
  <sheetViews>
    <sheetView zoomScale="40" zoomScaleNormal="40" workbookViewId="0">
      <selection activeCell="A86" sqref="A86"/>
    </sheetView>
  </sheetViews>
  <sheetFormatPr defaultRowHeight="14.5" x14ac:dyDescent="0.35"/>
  <cols>
    <col min="1" max="1" width="34.453125" customWidth="1"/>
    <col min="2" max="2" width="24.1796875" customWidth="1"/>
    <col min="3" max="3" width="30.36328125" customWidth="1"/>
    <col min="4" max="4" width="13.08984375" bestFit="1" customWidth="1"/>
    <col min="5" max="5" width="10.26953125" bestFit="1" customWidth="1"/>
    <col min="6" max="6" width="10.36328125" bestFit="1" customWidth="1"/>
    <col min="7" max="7" width="13.1796875" bestFit="1" customWidth="1"/>
    <col min="8" max="8" width="11.6328125" bestFit="1" customWidth="1"/>
    <col min="9" max="9" width="11.54296875" bestFit="1" customWidth="1"/>
    <col min="10" max="10" width="12.7265625" bestFit="1" customWidth="1"/>
    <col min="11" max="11" width="11.54296875" bestFit="1" customWidth="1"/>
    <col min="12" max="12" width="12.90625" bestFit="1" customWidth="1"/>
    <col min="13" max="13" width="12.1796875" bestFit="1" customWidth="1"/>
    <col min="14" max="14" width="12.90625" bestFit="1" customWidth="1"/>
    <col min="15" max="15" width="11.453125" bestFit="1" customWidth="1"/>
    <col min="16" max="16" width="10.1796875" bestFit="1" customWidth="1"/>
    <col min="17" max="17" width="11.90625" bestFit="1" customWidth="1"/>
    <col min="18" max="18" width="13.90625" bestFit="1" customWidth="1"/>
    <col min="19" max="19" width="12.36328125" bestFit="1" customWidth="1"/>
    <col min="20" max="20" width="10.7265625" bestFit="1" customWidth="1"/>
    <col min="21" max="21" width="12.54296875" bestFit="1" customWidth="1"/>
    <col min="22" max="22" width="12.453125" bestFit="1" customWidth="1"/>
    <col min="23" max="23" width="13.26953125" bestFit="1" customWidth="1"/>
    <col min="24" max="24" width="11.81640625" bestFit="1" customWidth="1"/>
    <col min="25" max="25" width="12.26953125" bestFit="1" customWidth="1"/>
    <col min="26" max="26" width="11.6328125" bestFit="1" customWidth="1"/>
    <col min="27" max="27" width="12.26953125" bestFit="1" customWidth="1"/>
    <col min="28" max="28" width="12.453125" bestFit="1" customWidth="1"/>
    <col min="29" max="29" width="12.54296875" bestFit="1" customWidth="1"/>
    <col min="30" max="30" width="11.26953125" bestFit="1" customWidth="1"/>
    <col min="31" max="31" width="13.1796875" bestFit="1" customWidth="1"/>
    <col min="32" max="32" width="10.1796875" bestFit="1" customWidth="1"/>
    <col min="33" max="33" width="11.90625" bestFit="1" customWidth="1"/>
    <col min="34" max="34" width="12.1796875" bestFit="1" customWidth="1"/>
    <col min="35" max="35" width="13.90625" bestFit="1" customWidth="1"/>
    <col min="36" max="36" width="12.6328125" bestFit="1" customWidth="1"/>
    <col min="37" max="37" width="12.1796875" bestFit="1" customWidth="1"/>
    <col min="38" max="38" width="12.7265625" bestFit="1" customWidth="1"/>
    <col min="39" max="39" width="11.08984375" bestFit="1" customWidth="1"/>
    <col min="40" max="40" width="13.1796875" bestFit="1" customWidth="1"/>
    <col min="41" max="41" width="11.453125" bestFit="1" customWidth="1"/>
    <col min="42" max="42" width="14.90625" bestFit="1" customWidth="1"/>
    <col min="43" max="43" width="12.26953125" bestFit="1" customWidth="1"/>
    <col min="44" max="44" width="8.6328125" customWidth="1"/>
    <col min="45" max="45" width="11.7265625" bestFit="1" customWidth="1"/>
    <col min="46" max="46" width="12.6328125" bestFit="1" customWidth="1"/>
    <col min="47" max="47" width="12.08984375" bestFit="1" customWidth="1"/>
    <col min="48" max="49" width="12" bestFit="1" customWidth="1"/>
    <col min="50" max="50" width="11.26953125" bestFit="1" customWidth="1"/>
    <col min="51" max="51" width="13.453125" bestFit="1" customWidth="1"/>
    <col min="52" max="52" width="12.54296875" bestFit="1" customWidth="1"/>
    <col min="53" max="53" width="12.90625" bestFit="1" customWidth="1"/>
    <col min="54" max="54" width="10.36328125" bestFit="1" customWidth="1"/>
    <col min="55" max="55" width="11.81640625" bestFit="1" customWidth="1"/>
    <col min="56" max="56" width="11.7265625" bestFit="1" customWidth="1"/>
    <col min="57" max="57" width="12.08984375" bestFit="1" customWidth="1"/>
    <col min="58" max="58" width="11.6328125" bestFit="1" customWidth="1"/>
    <col min="59" max="59" width="11.36328125" bestFit="1" customWidth="1"/>
    <col min="60" max="60" width="11.81640625" bestFit="1" customWidth="1"/>
    <col min="61" max="61" width="10.6328125" bestFit="1" customWidth="1"/>
    <col min="62" max="62" width="14.6328125" bestFit="1" customWidth="1"/>
    <col min="63" max="64" width="11.1796875" bestFit="1" customWidth="1"/>
    <col min="65" max="65" width="11.7265625" bestFit="1" customWidth="1"/>
    <col min="66" max="66" width="12" bestFit="1" customWidth="1"/>
    <col min="67" max="67" width="12.7265625" bestFit="1" customWidth="1"/>
    <col min="68" max="68" width="12.54296875" bestFit="1" customWidth="1"/>
    <col min="69" max="69" width="11.81640625" bestFit="1" customWidth="1"/>
    <col min="70" max="70" width="12.08984375" bestFit="1" customWidth="1"/>
    <col min="71" max="71" width="12.26953125" bestFit="1" customWidth="1"/>
    <col min="72" max="72" width="11" bestFit="1" customWidth="1"/>
    <col min="73" max="74" width="12.08984375" bestFit="1" customWidth="1"/>
    <col min="75" max="75" width="11.90625" bestFit="1" customWidth="1"/>
    <col min="76" max="76" width="11" bestFit="1" customWidth="1"/>
    <col min="77" max="77" width="12.1796875" bestFit="1" customWidth="1"/>
    <col min="78" max="78" width="12" bestFit="1" customWidth="1"/>
    <col min="79" max="79" width="10.81640625" bestFit="1" customWidth="1"/>
    <col min="80" max="80" width="13.08984375" bestFit="1" customWidth="1"/>
    <col min="81" max="81" width="11.6328125" bestFit="1" customWidth="1"/>
    <col min="82" max="82" width="12.6328125" bestFit="1" customWidth="1"/>
    <col min="83" max="83" width="12.36328125" bestFit="1" customWidth="1"/>
    <col min="84" max="84" width="13.08984375" bestFit="1" customWidth="1"/>
    <col min="85" max="85" width="12.6328125" bestFit="1" customWidth="1"/>
    <col min="86" max="86" width="12.26953125" bestFit="1" customWidth="1"/>
    <col min="87" max="87" width="12.7265625" bestFit="1" customWidth="1"/>
    <col min="88" max="88" width="10.90625" bestFit="1" customWidth="1"/>
    <col min="89" max="89" width="12.453125" bestFit="1" customWidth="1"/>
    <col min="90" max="90" width="11.26953125" bestFit="1" customWidth="1"/>
    <col min="91" max="91" width="12.08984375" bestFit="1" customWidth="1"/>
    <col min="92" max="92" width="13.26953125" bestFit="1" customWidth="1"/>
    <col min="93" max="93" width="12" bestFit="1" customWidth="1"/>
    <col min="94" max="94" width="14.26953125" bestFit="1" customWidth="1"/>
    <col min="95" max="95" width="11.6328125" bestFit="1" customWidth="1"/>
    <col min="96" max="96" width="12.453125" bestFit="1" customWidth="1"/>
    <col min="97" max="97" width="13.08984375" bestFit="1" customWidth="1"/>
    <col min="98" max="98" width="11.90625" bestFit="1" customWidth="1"/>
    <col min="99" max="99" width="12" bestFit="1" customWidth="1"/>
    <col min="100" max="100" width="12.08984375" bestFit="1" customWidth="1"/>
    <col min="101" max="101" width="10.7265625" bestFit="1" customWidth="1"/>
    <col min="102" max="102" width="11.90625" bestFit="1" customWidth="1"/>
    <col min="103" max="103" width="13" bestFit="1" customWidth="1"/>
    <col min="104" max="104" width="13.6328125" bestFit="1" customWidth="1"/>
    <col min="105" max="105" width="12.6328125" bestFit="1" customWidth="1"/>
    <col min="106" max="106" width="11.7265625" bestFit="1" customWidth="1"/>
    <col min="107" max="107" width="12.26953125" bestFit="1" customWidth="1"/>
    <col min="108" max="109" width="12.1796875" bestFit="1" customWidth="1"/>
    <col min="110" max="110" width="13.36328125" bestFit="1" customWidth="1"/>
    <col min="111" max="111" width="13.08984375" bestFit="1" customWidth="1"/>
    <col min="112" max="112" width="11.36328125" bestFit="1" customWidth="1"/>
    <col min="113" max="113" width="11.54296875" bestFit="1" customWidth="1"/>
    <col min="114" max="114" width="12.1796875" bestFit="1" customWidth="1"/>
    <col min="115" max="115" width="11.90625" bestFit="1" customWidth="1"/>
    <col min="116" max="116" width="12.26953125" bestFit="1" customWidth="1"/>
    <col min="117" max="117" width="12.6328125" bestFit="1" customWidth="1"/>
    <col min="118" max="118" width="13.1796875" bestFit="1" customWidth="1"/>
    <col min="119" max="119" width="12.26953125" bestFit="1" customWidth="1"/>
    <col min="120" max="120" width="12.453125" bestFit="1" customWidth="1"/>
    <col min="121" max="122" width="11.7265625" bestFit="1" customWidth="1"/>
    <col min="123" max="123" width="11.6328125" bestFit="1" customWidth="1"/>
    <col min="124" max="124" width="11.1796875" bestFit="1" customWidth="1"/>
    <col min="125" max="125" width="12" bestFit="1" customWidth="1"/>
    <col min="126" max="126" width="11.54296875" bestFit="1" customWidth="1"/>
    <col min="127" max="127" width="12.54296875" bestFit="1" customWidth="1"/>
    <col min="128" max="128" width="11.36328125" bestFit="1" customWidth="1"/>
    <col min="129" max="129" width="11.81640625" bestFit="1" customWidth="1"/>
    <col min="130" max="130" width="12.7265625" bestFit="1" customWidth="1"/>
    <col min="131" max="131" width="12.26953125" bestFit="1" customWidth="1"/>
    <col min="132" max="132" width="11.54296875" bestFit="1" customWidth="1"/>
    <col min="133" max="133" width="11.6328125" bestFit="1" customWidth="1"/>
    <col min="134" max="134" width="11.08984375" bestFit="1" customWidth="1"/>
    <col min="135" max="135" width="11.54296875" bestFit="1" customWidth="1"/>
    <col min="136" max="136" width="13.81640625" bestFit="1" customWidth="1"/>
    <col min="137" max="137" width="15.36328125" bestFit="1" customWidth="1"/>
    <col min="138" max="138" width="13.1796875" bestFit="1" customWidth="1"/>
    <col min="139" max="139" width="12" bestFit="1" customWidth="1"/>
    <col min="140" max="140" width="12.453125" bestFit="1" customWidth="1"/>
    <col min="141" max="141" width="13" bestFit="1" customWidth="1"/>
    <col min="142" max="142" width="11.6328125" bestFit="1" customWidth="1"/>
    <col min="143" max="143" width="12.90625" bestFit="1" customWidth="1"/>
    <col min="144" max="144" width="11.36328125" bestFit="1" customWidth="1"/>
    <col min="145" max="145" width="11.7265625" bestFit="1" customWidth="1"/>
    <col min="146" max="146" width="11.81640625" bestFit="1" customWidth="1"/>
    <col min="147" max="148" width="12.6328125" bestFit="1" customWidth="1"/>
    <col min="149" max="149" width="10.54296875" bestFit="1" customWidth="1"/>
    <col min="150" max="150" width="11.26953125" bestFit="1" customWidth="1"/>
    <col min="151" max="151" width="11" bestFit="1" customWidth="1"/>
    <col min="152" max="152" width="12.08984375" bestFit="1" customWidth="1"/>
    <col min="153" max="153" width="12.1796875" bestFit="1" customWidth="1"/>
    <col min="154" max="154" width="12" bestFit="1" customWidth="1"/>
    <col min="155" max="155" width="12.1796875" bestFit="1" customWidth="1"/>
    <col min="156" max="156" width="11.7265625" bestFit="1" customWidth="1"/>
    <col min="157" max="157" width="11.90625" bestFit="1" customWidth="1"/>
    <col min="158" max="158" width="11.7265625" bestFit="1" customWidth="1"/>
    <col min="159" max="159" width="11.81640625" bestFit="1" customWidth="1"/>
    <col min="160" max="160" width="12.08984375" bestFit="1" customWidth="1"/>
    <col min="161" max="161" width="10.6328125" bestFit="1" customWidth="1"/>
    <col min="162" max="162" width="13.1796875" bestFit="1" customWidth="1"/>
    <col min="163" max="163" width="11.54296875" bestFit="1" customWidth="1"/>
    <col min="164" max="164" width="12" bestFit="1" customWidth="1"/>
    <col min="165" max="165" width="11.81640625" bestFit="1" customWidth="1"/>
    <col min="166" max="166" width="12.453125" bestFit="1" customWidth="1"/>
    <col min="167" max="167" width="13.36328125" bestFit="1" customWidth="1"/>
    <col min="168" max="168" width="11.81640625" bestFit="1" customWidth="1"/>
    <col min="169" max="170" width="12.54296875" bestFit="1" customWidth="1"/>
    <col min="171" max="171" width="11.453125" bestFit="1" customWidth="1"/>
    <col min="172" max="172" width="12.08984375" bestFit="1" customWidth="1"/>
    <col min="173" max="173" width="12.36328125" bestFit="1" customWidth="1"/>
    <col min="174" max="174" width="12.08984375" bestFit="1" customWidth="1"/>
    <col min="175" max="175" width="12" bestFit="1" customWidth="1"/>
    <col min="176" max="176" width="13.36328125" bestFit="1" customWidth="1"/>
    <col min="177" max="177" width="13" bestFit="1" customWidth="1"/>
    <col min="178" max="178" width="13.7265625" bestFit="1" customWidth="1"/>
    <col min="179" max="180" width="11.7265625" bestFit="1" customWidth="1"/>
    <col min="181" max="181" width="10.90625" bestFit="1" customWidth="1"/>
    <col min="182" max="182" width="11.54296875" bestFit="1" customWidth="1"/>
    <col min="183" max="183" width="12.36328125" bestFit="1" customWidth="1"/>
    <col min="184" max="184" width="13.1796875" bestFit="1" customWidth="1"/>
    <col min="185" max="185" width="12.54296875" bestFit="1" customWidth="1"/>
    <col min="186" max="186" width="13.08984375" bestFit="1" customWidth="1"/>
    <col min="187" max="187" width="13.1796875" bestFit="1" customWidth="1"/>
    <col min="188" max="188" width="13" bestFit="1" customWidth="1"/>
    <col min="189" max="189" width="12.7265625" bestFit="1" customWidth="1"/>
    <col min="190" max="190" width="12.90625" bestFit="1" customWidth="1"/>
    <col min="191" max="191" width="12.08984375" bestFit="1" customWidth="1"/>
    <col min="192" max="192" width="11.90625" bestFit="1" customWidth="1"/>
    <col min="193" max="193" width="13.36328125" bestFit="1" customWidth="1"/>
    <col min="194" max="194" width="12.26953125" bestFit="1" customWidth="1"/>
    <col min="195" max="195" width="12.08984375" bestFit="1" customWidth="1"/>
    <col min="196" max="196" width="13.453125" bestFit="1" customWidth="1"/>
    <col min="197" max="197" width="11.7265625" bestFit="1" customWidth="1"/>
    <col min="198" max="198" width="12" bestFit="1" customWidth="1"/>
    <col min="199" max="199" width="12.26953125" bestFit="1" customWidth="1"/>
    <col min="200" max="200" width="11.08984375" bestFit="1" customWidth="1"/>
    <col min="201" max="201" width="13.08984375" bestFit="1" customWidth="1"/>
    <col min="202" max="203" width="12.36328125" bestFit="1" customWidth="1"/>
    <col min="204" max="204" width="12.90625" bestFit="1" customWidth="1"/>
    <col min="205" max="205" width="12.08984375" bestFit="1" customWidth="1"/>
    <col min="206" max="206" width="11.26953125" bestFit="1" customWidth="1"/>
    <col min="207" max="207" width="12.26953125" bestFit="1" customWidth="1"/>
    <col min="208" max="208" width="12.1796875" bestFit="1" customWidth="1"/>
    <col min="209" max="209" width="10.26953125" bestFit="1" customWidth="1"/>
    <col min="210" max="210" width="12" bestFit="1" customWidth="1"/>
    <col min="211" max="211" width="12.26953125" bestFit="1" customWidth="1"/>
    <col min="212" max="212" width="12" bestFit="1" customWidth="1"/>
    <col min="213" max="213" width="11.453125" bestFit="1" customWidth="1"/>
    <col min="214" max="214" width="13.453125" bestFit="1" customWidth="1"/>
    <col min="215" max="215" width="14.81640625" bestFit="1" customWidth="1"/>
    <col min="216" max="216" width="12.26953125" bestFit="1" customWidth="1"/>
    <col min="217" max="217" width="12.54296875" bestFit="1" customWidth="1"/>
    <col min="218" max="218" width="11.26953125" bestFit="1" customWidth="1"/>
    <col min="219" max="219" width="12.36328125" bestFit="1" customWidth="1"/>
    <col min="220" max="220" width="11.453125" bestFit="1" customWidth="1"/>
    <col min="221" max="221" width="11.1796875" bestFit="1" customWidth="1"/>
    <col min="222" max="222" width="11.54296875" bestFit="1" customWidth="1"/>
    <col min="223" max="223" width="11.36328125" bestFit="1" customWidth="1"/>
    <col min="224" max="224" width="10.26953125" bestFit="1" customWidth="1"/>
    <col min="225" max="225" width="12.08984375" bestFit="1" customWidth="1"/>
    <col min="226" max="227" width="11.7265625" bestFit="1" customWidth="1"/>
    <col min="228" max="228" width="11.81640625" bestFit="1" customWidth="1"/>
    <col min="229" max="229" width="11.453125" bestFit="1" customWidth="1"/>
    <col min="230" max="230" width="11.7265625" bestFit="1" customWidth="1"/>
    <col min="231" max="231" width="13.36328125" bestFit="1" customWidth="1"/>
    <col min="232" max="232" width="14.08984375" bestFit="1" customWidth="1"/>
    <col min="233" max="233" width="12.453125" bestFit="1" customWidth="1"/>
    <col min="234" max="234" width="10.90625" bestFit="1" customWidth="1"/>
    <col min="235" max="235" width="12.08984375" bestFit="1" customWidth="1"/>
    <col min="236" max="236" width="12.1796875" bestFit="1" customWidth="1"/>
    <col min="237" max="237" width="12.90625" bestFit="1" customWidth="1"/>
    <col min="238" max="238" width="12.7265625" bestFit="1" customWidth="1"/>
    <col min="239" max="239" width="11.453125" bestFit="1" customWidth="1"/>
    <col min="240" max="240" width="13.6328125" bestFit="1" customWidth="1"/>
    <col min="241" max="241" width="12.90625" bestFit="1" customWidth="1"/>
    <col min="242" max="242" width="11.54296875" bestFit="1" customWidth="1"/>
    <col min="243" max="243" width="11.7265625" bestFit="1" customWidth="1"/>
    <col min="244" max="244" width="14" bestFit="1" customWidth="1"/>
    <col min="245" max="245" width="11.90625" bestFit="1" customWidth="1"/>
    <col min="246" max="246" width="11.81640625" bestFit="1" customWidth="1"/>
    <col min="247" max="247" width="12.90625" bestFit="1" customWidth="1"/>
    <col min="248" max="248" width="13.26953125" bestFit="1" customWidth="1"/>
    <col min="249" max="249" width="12.26953125" bestFit="1" customWidth="1"/>
    <col min="250" max="250" width="12.6328125" bestFit="1" customWidth="1"/>
    <col min="251" max="251" width="12.26953125" bestFit="1" customWidth="1"/>
    <col min="252" max="253" width="13" bestFit="1" customWidth="1"/>
    <col min="254" max="254" width="12.1796875" bestFit="1" customWidth="1"/>
    <col min="255" max="255" width="11.6328125" bestFit="1" customWidth="1"/>
    <col min="256" max="256" width="11.08984375" bestFit="1" customWidth="1"/>
    <col min="257" max="257" width="11.26953125" bestFit="1" customWidth="1"/>
    <col min="258" max="258" width="12.08984375" bestFit="1" customWidth="1"/>
    <col min="259" max="259" width="11.81640625" bestFit="1" customWidth="1"/>
    <col min="260" max="260" width="11" bestFit="1" customWidth="1"/>
    <col min="261" max="261" width="11.36328125" bestFit="1" customWidth="1"/>
    <col min="262" max="262" width="11.1796875" bestFit="1" customWidth="1"/>
    <col min="263" max="263" width="12" bestFit="1" customWidth="1"/>
    <col min="264" max="264" width="11.54296875" bestFit="1" customWidth="1"/>
    <col min="265" max="266" width="12" bestFit="1" customWidth="1"/>
    <col min="267" max="267" width="11.7265625" bestFit="1" customWidth="1"/>
    <col min="268" max="268" width="12.54296875" bestFit="1" customWidth="1"/>
    <col min="269" max="269" width="11.6328125" bestFit="1" customWidth="1"/>
    <col min="270" max="270" width="12.36328125" bestFit="1" customWidth="1"/>
    <col min="271" max="271" width="10.6328125" bestFit="1" customWidth="1"/>
    <col min="272" max="272" width="11.90625" bestFit="1" customWidth="1"/>
    <col min="273" max="273" width="12.36328125" bestFit="1" customWidth="1"/>
    <col min="274" max="275" width="11" bestFit="1" customWidth="1"/>
    <col min="276" max="276" width="11.54296875" bestFit="1" customWidth="1"/>
    <col min="277" max="277" width="11.26953125" bestFit="1" customWidth="1"/>
    <col min="278" max="278" width="12.36328125" bestFit="1" customWidth="1"/>
    <col min="279" max="279" width="11.90625" bestFit="1" customWidth="1"/>
    <col min="280" max="280" width="10.7265625" bestFit="1" customWidth="1"/>
    <col min="281" max="281" width="11.6328125" bestFit="1" customWidth="1"/>
    <col min="282" max="282" width="13.36328125" bestFit="1" customWidth="1"/>
    <col min="283" max="283" width="12.6328125" bestFit="1" customWidth="1"/>
    <col min="284" max="284" width="11" bestFit="1" customWidth="1"/>
    <col min="285" max="285" width="12.36328125" bestFit="1" customWidth="1"/>
    <col min="286" max="286" width="10.7265625" bestFit="1" customWidth="1"/>
    <col min="287" max="287" width="10.90625" bestFit="1" customWidth="1"/>
    <col min="288" max="288" width="11.7265625" bestFit="1" customWidth="1"/>
    <col min="289" max="289" width="11.90625" bestFit="1" customWidth="1"/>
    <col min="290" max="290" width="10.26953125" bestFit="1" customWidth="1"/>
    <col min="291" max="291" width="10.6328125" bestFit="1" customWidth="1"/>
    <col min="292" max="292" width="10.26953125" bestFit="1" customWidth="1"/>
    <col min="293" max="293" width="11" bestFit="1" customWidth="1"/>
    <col min="294" max="294" width="11.81640625" bestFit="1" customWidth="1"/>
    <col min="295" max="295" width="12.1796875" bestFit="1" customWidth="1"/>
    <col min="296" max="296" width="12.26953125" bestFit="1" customWidth="1"/>
    <col min="297" max="297" width="11" bestFit="1" customWidth="1"/>
    <col min="298" max="298" width="11.81640625" bestFit="1" customWidth="1"/>
    <col min="299" max="299" width="9.453125" bestFit="1" customWidth="1"/>
    <col min="300" max="300" width="12.08984375" bestFit="1" customWidth="1"/>
    <col min="301" max="301" width="13.26953125" bestFit="1" customWidth="1"/>
    <col min="302" max="302" width="12" bestFit="1" customWidth="1"/>
    <col min="303" max="303" width="11.26953125" bestFit="1" customWidth="1"/>
    <col min="304" max="304" width="12.26953125" bestFit="1" customWidth="1"/>
    <col min="305" max="305" width="10.54296875" bestFit="1" customWidth="1"/>
    <col min="306" max="306" width="12.6328125" bestFit="1" customWidth="1"/>
    <col min="307" max="307" width="11" bestFit="1" customWidth="1"/>
    <col min="308" max="308" width="10.81640625" bestFit="1" customWidth="1"/>
    <col min="309" max="309" width="12.90625" bestFit="1" customWidth="1"/>
    <col min="310" max="310" width="13.1796875" bestFit="1" customWidth="1"/>
    <col min="311" max="311" width="10.81640625" bestFit="1" customWidth="1"/>
    <col min="312" max="312" width="13.81640625" bestFit="1" customWidth="1"/>
    <col min="313" max="313" width="13.1796875" bestFit="1" customWidth="1"/>
    <col min="314" max="314" width="11.7265625" bestFit="1" customWidth="1"/>
    <col min="315" max="315" width="12.08984375" bestFit="1" customWidth="1"/>
    <col min="316" max="316" width="13.81640625" bestFit="1" customWidth="1"/>
    <col min="317" max="317" width="11.6328125" bestFit="1" customWidth="1"/>
    <col min="318" max="318" width="11.81640625" bestFit="1" customWidth="1"/>
    <col min="319" max="319" width="12.26953125" bestFit="1" customWidth="1"/>
    <col min="320" max="320" width="9.81640625" bestFit="1" customWidth="1"/>
    <col min="321" max="321" width="11.36328125" bestFit="1" customWidth="1"/>
    <col min="322" max="322" width="12" bestFit="1" customWidth="1"/>
    <col min="323" max="323" width="12.7265625" bestFit="1" customWidth="1"/>
    <col min="324" max="324" width="13.08984375" bestFit="1" customWidth="1"/>
    <col min="325" max="325" width="10.6328125" bestFit="1" customWidth="1"/>
    <col min="326" max="326" width="12.1796875" bestFit="1" customWidth="1"/>
    <col min="327" max="327" width="10.90625" bestFit="1" customWidth="1"/>
    <col min="328" max="328" width="11.6328125" bestFit="1" customWidth="1"/>
    <col min="329" max="329" width="11" bestFit="1" customWidth="1"/>
    <col min="330" max="330" width="10.453125" bestFit="1" customWidth="1"/>
    <col min="331" max="331" width="12.1796875" bestFit="1" customWidth="1"/>
    <col min="332" max="332" width="12.54296875" bestFit="1" customWidth="1"/>
    <col min="333" max="333" width="10.90625" bestFit="1" customWidth="1"/>
    <col min="334" max="334" width="12.90625" bestFit="1" customWidth="1"/>
    <col min="335" max="335" width="12.36328125" bestFit="1" customWidth="1"/>
    <col min="336" max="336" width="14.08984375" bestFit="1" customWidth="1"/>
    <col min="337" max="337" width="11.7265625" bestFit="1" customWidth="1"/>
    <col min="338" max="338" width="13.26953125" bestFit="1" customWidth="1"/>
    <col min="339" max="339" width="12.453125" bestFit="1" customWidth="1"/>
    <col min="340" max="340" width="11.90625" bestFit="1" customWidth="1"/>
    <col min="341" max="341" width="13.36328125" bestFit="1" customWidth="1"/>
    <col min="342" max="342" width="14.453125" bestFit="1" customWidth="1"/>
    <col min="343" max="343" width="12.54296875" bestFit="1" customWidth="1"/>
    <col min="344" max="344" width="12.26953125" bestFit="1" customWidth="1"/>
    <col min="345" max="345" width="12.453125" bestFit="1" customWidth="1"/>
    <col min="346" max="346" width="11.81640625" bestFit="1" customWidth="1"/>
    <col min="347" max="347" width="13.7265625" bestFit="1" customWidth="1"/>
    <col min="348" max="348" width="13.08984375" bestFit="1" customWidth="1"/>
    <col min="349" max="349" width="11.54296875" bestFit="1" customWidth="1"/>
    <col min="350" max="350" width="13.36328125" bestFit="1" customWidth="1"/>
    <col min="351" max="351" width="13.08984375" bestFit="1" customWidth="1"/>
    <col min="352" max="352" width="12.36328125" bestFit="1" customWidth="1"/>
    <col min="353" max="353" width="11.81640625" bestFit="1" customWidth="1"/>
    <col min="354" max="354" width="13" bestFit="1" customWidth="1"/>
    <col min="355" max="355" width="11.453125" bestFit="1" customWidth="1"/>
    <col min="356" max="356" width="11.90625" bestFit="1" customWidth="1"/>
    <col min="357" max="357" width="13.6328125" bestFit="1" customWidth="1"/>
    <col min="358" max="358" width="12" bestFit="1" customWidth="1"/>
    <col min="359" max="359" width="13.7265625" bestFit="1" customWidth="1"/>
    <col min="360" max="360" width="11.90625" bestFit="1" customWidth="1"/>
    <col min="361" max="361" width="12.1796875" bestFit="1" customWidth="1"/>
    <col min="362" max="362" width="11.1796875" bestFit="1" customWidth="1"/>
    <col min="363" max="363" width="12.54296875" bestFit="1" customWidth="1"/>
    <col min="364" max="364" width="13.7265625" bestFit="1" customWidth="1"/>
    <col min="365" max="365" width="13.36328125" bestFit="1" customWidth="1"/>
    <col min="366" max="366" width="13.7265625" bestFit="1" customWidth="1"/>
    <col min="367" max="367" width="13.08984375" bestFit="1" customWidth="1"/>
    <col min="368" max="368" width="13" bestFit="1" customWidth="1"/>
    <col min="369" max="369" width="11.90625" bestFit="1" customWidth="1"/>
    <col min="370" max="370" width="10.81640625" bestFit="1" customWidth="1"/>
    <col min="371" max="371" width="13.54296875" bestFit="1" customWidth="1"/>
    <col min="372" max="372" width="14.26953125" bestFit="1" customWidth="1"/>
    <col min="373" max="373" width="12.6328125" bestFit="1" customWidth="1"/>
    <col min="374" max="374" width="13.36328125" bestFit="1" customWidth="1"/>
    <col min="375" max="375" width="13.54296875" bestFit="1" customWidth="1"/>
    <col min="376" max="376" width="12.26953125" bestFit="1" customWidth="1"/>
    <col min="377" max="377" width="11.36328125" bestFit="1" customWidth="1"/>
    <col min="378" max="378" width="11.81640625" bestFit="1" customWidth="1"/>
    <col min="379" max="379" width="11.1796875" bestFit="1" customWidth="1"/>
    <col min="380" max="380" width="11.26953125" bestFit="1" customWidth="1"/>
    <col min="381" max="381" width="12.6328125" bestFit="1" customWidth="1"/>
    <col min="382" max="382" width="12.453125" bestFit="1" customWidth="1"/>
    <col min="383" max="383" width="12.1796875" bestFit="1" customWidth="1"/>
    <col min="384" max="384" width="13.36328125" bestFit="1" customWidth="1"/>
    <col min="385" max="385" width="11.54296875" bestFit="1" customWidth="1"/>
    <col min="386" max="386" width="12.6328125" bestFit="1" customWidth="1"/>
    <col min="387" max="387" width="12.08984375" bestFit="1" customWidth="1"/>
    <col min="388" max="388" width="11.36328125" bestFit="1" customWidth="1"/>
    <col min="389" max="389" width="13.08984375" bestFit="1" customWidth="1"/>
    <col min="390" max="390" width="12.6328125" bestFit="1" customWidth="1"/>
    <col min="391" max="391" width="12.08984375" bestFit="1" customWidth="1"/>
    <col min="392" max="392" width="12.6328125" bestFit="1" customWidth="1"/>
    <col min="393" max="393" width="11.90625" bestFit="1" customWidth="1"/>
    <col min="394" max="394" width="11" bestFit="1" customWidth="1"/>
    <col min="395" max="395" width="12.08984375" bestFit="1" customWidth="1"/>
    <col min="396" max="396" width="13.6328125" bestFit="1" customWidth="1"/>
    <col min="397" max="397" width="12.36328125" bestFit="1" customWidth="1"/>
    <col min="398" max="398" width="12.6328125" bestFit="1" customWidth="1"/>
    <col min="399" max="399" width="11.90625" bestFit="1" customWidth="1"/>
    <col min="400" max="400" width="11.453125" bestFit="1" customWidth="1"/>
    <col min="401" max="401" width="10.26953125" bestFit="1" customWidth="1"/>
    <col min="402" max="402" width="12.08984375" bestFit="1" customWidth="1"/>
    <col min="403" max="403" width="12.54296875" bestFit="1" customWidth="1"/>
    <col min="404" max="404" width="11.453125" bestFit="1" customWidth="1"/>
    <col min="405" max="405" width="12.08984375" bestFit="1" customWidth="1"/>
    <col min="406" max="406" width="14.81640625" bestFit="1" customWidth="1"/>
    <col min="407" max="407" width="13.7265625" bestFit="1" customWidth="1"/>
    <col min="408" max="408" width="12.6328125" bestFit="1" customWidth="1"/>
    <col min="409" max="409" width="13.36328125" bestFit="1" customWidth="1"/>
    <col min="410" max="410" width="11.81640625" bestFit="1" customWidth="1"/>
    <col min="411" max="411" width="12.453125" bestFit="1" customWidth="1"/>
    <col min="412" max="412" width="12.08984375" bestFit="1" customWidth="1"/>
    <col min="413" max="413" width="12.90625" bestFit="1" customWidth="1"/>
    <col min="414" max="414" width="12.54296875" bestFit="1" customWidth="1"/>
    <col min="415" max="415" width="13.08984375" bestFit="1" customWidth="1"/>
    <col min="416" max="416" width="11.81640625" bestFit="1" customWidth="1"/>
    <col min="417" max="417" width="12.6328125" bestFit="1" customWidth="1"/>
    <col min="418" max="418" width="11.90625" bestFit="1" customWidth="1"/>
    <col min="419" max="419" width="11.08984375" bestFit="1" customWidth="1"/>
    <col min="420" max="420" width="11.90625" bestFit="1" customWidth="1"/>
    <col min="421" max="421" width="11.7265625" bestFit="1" customWidth="1"/>
    <col min="422" max="422" width="11.90625" bestFit="1" customWidth="1"/>
    <col min="423" max="423" width="13.08984375" bestFit="1" customWidth="1"/>
    <col min="424" max="424" width="13.36328125" bestFit="1" customWidth="1"/>
    <col min="425" max="425" width="11.26953125" bestFit="1" customWidth="1"/>
    <col min="426" max="426" width="10.81640625" bestFit="1" customWidth="1"/>
    <col min="427" max="427" width="12.453125" bestFit="1" customWidth="1"/>
    <col min="428" max="428" width="11" bestFit="1" customWidth="1"/>
    <col min="429" max="429" width="11.7265625" bestFit="1" customWidth="1"/>
    <col min="430" max="430" width="13.7265625" bestFit="1" customWidth="1"/>
    <col min="431" max="431" width="13" bestFit="1" customWidth="1"/>
    <col min="432" max="432" width="12.1796875" bestFit="1" customWidth="1"/>
    <col min="433" max="433" width="9.90625" bestFit="1" customWidth="1"/>
    <col min="434" max="434" width="12.26953125" bestFit="1" customWidth="1"/>
    <col min="435" max="435" width="10" bestFit="1" customWidth="1"/>
    <col min="436" max="436" width="11.81640625" bestFit="1" customWidth="1"/>
    <col min="437" max="437" width="11.36328125" bestFit="1" customWidth="1"/>
    <col min="438" max="438" width="12" bestFit="1" customWidth="1"/>
    <col min="439" max="439" width="12.36328125" bestFit="1" customWidth="1"/>
    <col min="440" max="440" width="11" bestFit="1" customWidth="1"/>
    <col min="441" max="441" width="11.1796875" bestFit="1" customWidth="1"/>
    <col min="442" max="442" width="11.54296875" bestFit="1" customWidth="1"/>
    <col min="443" max="443" width="11.6328125" bestFit="1" customWidth="1"/>
    <col min="444" max="444" width="12.90625" bestFit="1" customWidth="1"/>
    <col min="445" max="445" width="13.26953125" bestFit="1" customWidth="1"/>
    <col min="446" max="446" width="12.36328125" bestFit="1" customWidth="1"/>
    <col min="447" max="447" width="11.54296875" bestFit="1" customWidth="1"/>
    <col min="448" max="448" width="11.26953125" bestFit="1" customWidth="1"/>
    <col min="449" max="449" width="12.08984375" bestFit="1" customWidth="1"/>
    <col min="450" max="450" width="10.453125" bestFit="1" customWidth="1"/>
    <col min="451" max="451" width="11.6328125" bestFit="1" customWidth="1"/>
    <col min="452" max="452" width="11.08984375" bestFit="1" customWidth="1"/>
    <col min="453" max="453" width="12.26953125" bestFit="1" customWidth="1"/>
    <col min="454" max="454" width="12.1796875" bestFit="1" customWidth="1"/>
    <col min="455" max="455" width="11.36328125" bestFit="1" customWidth="1"/>
    <col min="456" max="456" width="9.90625" bestFit="1" customWidth="1"/>
    <col min="457" max="457" width="11.90625" bestFit="1" customWidth="1"/>
    <col min="458" max="458" width="13" bestFit="1" customWidth="1"/>
    <col min="459" max="459" width="13.6328125" bestFit="1" customWidth="1"/>
    <col min="460" max="460" width="13" bestFit="1" customWidth="1"/>
    <col min="461" max="461" width="12.453125" bestFit="1" customWidth="1"/>
    <col min="462" max="462" width="10.26953125" bestFit="1" customWidth="1"/>
    <col min="463" max="463" width="11.08984375" bestFit="1" customWidth="1"/>
    <col min="464" max="464" width="11.453125" bestFit="1" customWidth="1"/>
    <col min="465" max="465" width="11.7265625" bestFit="1" customWidth="1"/>
    <col min="466" max="466" width="13.08984375" bestFit="1" customWidth="1"/>
    <col min="467" max="467" width="10.90625" bestFit="1" customWidth="1"/>
    <col min="468" max="468" width="11.7265625" bestFit="1" customWidth="1"/>
    <col min="469" max="469" width="13.6328125" bestFit="1" customWidth="1"/>
    <col min="470" max="470" width="13.90625" bestFit="1" customWidth="1"/>
    <col min="471" max="471" width="10.90625" bestFit="1" customWidth="1"/>
    <col min="472" max="472" width="12.26953125" bestFit="1" customWidth="1"/>
    <col min="473" max="473" width="12" bestFit="1" customWidth="1"/>
    <col min="474" max="474" width="10.81640625" bestFit="1" customWidth="1"/>
    <col min="475" max="475" width="13.90625" bestFit="1" customWidth="1"/>
    <col min="476" max="476" width="13.6328125" bestFit="1" customWidth="1"/>
    <col min="477" max="477" width="12.7265625" bestFit="1" customWidth="1"/>
    <col min="478" max="478" width="10.90625" bestFit="1" customWidth="1"/>
    <col min="479" max="479" width="12.453125" bestFit="1" customWidth="1"/>
    <col min="480" max="480" width="11.81640625" bestFit="1" customWidth="1"/>
    <col min="481" max="481" width="11.7265625" bestFit="1" customWidth="1"/>
    <col min="482" max="482" width="11.26953125" bestFit="1" customWidth="1"/>
    <col min="483" max="483" width="13" bestFit="1" customWidth="1"/>
    <col min="484" max="484" width="12.26953125" bestFit="1" customWidth="1"/>
    <col min="485" max="485" width="12.7265625" bestFit="1" customWidth="1"/>
    <col min="486" max="486" width="11.36328125" bestFit="1" customWidth="1"/>
    <col min="487" max="487" width="12.36328125" bestFit="1" customWidth="1"/>
    <col min="488" max="488" width="12.6328125" bestFit="1" customWidth="1"/>
    <col min="489" max="489" width="12" bestFit="1" customWidth="1"/>
    <col min="490" max="490" width="13.1796875" bestFit="1" customWidth="1"/>
    <col min="491" max="491" width="12.1796875" bestFit="1" customWidth="1"/>
    <col min="492" max="492" width="12.54296875" bestFit="1" customWidth="1"/>
    <col min="493" max="493" width="12" bestFit="1" customWidth="1"/>
    <col min="494" max="495" width="11.54296875" bestFit="1" customWidth="1"/>
    <col min="496" max="496" width="11.7265625" bestFit="1" customWidth="1"/>
    <col min="497" max="497" width="12.6328125" bestFit="1" customWidth="1"/>
    <col min="498" max="498" width="11.36328125" bestFit="1" customWidth="1"/>
    <col min="499" max="499" width="12.36328125" bestFit="1" customWidth="1"/>
    <col min="500" max="500" width="12.453125" bestFit="1" customWidth="1"/>
    <col min="501" max="501" width="11.90625" bestFit="1" customWidth="1"/>
    <col min="502" max="502" width="11.7265625" bestFit="1" customWidth="1"/>
    <col min="503" max="503" width="13.453125" bestFit="1" customWidth="1"/>
    <col min="504" max="504" width="11.90625" bestFit="1" customWidth="1"/>
    <col min="505" max="505" width="12.7265625" bestFit="1" customWidth="1"/>
    <col min="506" max="508" width="12.54296875" bestFit="1" customWidth="1"/>
    <col min="509" max="509" width="13.1796875" bestFit="1" customWidth="1"/>
    <col min="510" max="510" width="11.7265625" bestFit="1" customWidth="1"/>
    <col min="511" max="511" width="14.81640625" bestFit="1" customWidth="1"/>
    <col min="512" max="512" width="12.90625" bestFit="1" customWidth="1"/>
    <col min="513" max="513" width="11.08984375" bestFit="1" customWidth="1"/>
    <col min="514" max="514" width="12.453125" bestFit="1" customWidth="1"/>
    <col min="515" max="515" width="12.6328125" bestFit="1" customWidth="1"/>
    <col min="516" max="516" width="12.90625" bestFit="1" customWidth="1"/>
    <col min="517" max="517" width="13.36328125" bestFit="1" customWidth="1"/>
    <col min="518" max="518" width="12.90625" bestFit="1" customWidth="1"/>
    <col min="519" max="519" width="12.453125" bestFit="1" customWidth="1"/>
    <col min="520" max="520" width="12.26953125" bestFit="1" customWidth="1"/>
    <col min="521" max="521" width="13.54296875" bestFit="1" customWidth="1"/>
    <col min="522" max="522" width="13.1796875" bestFit="1" customWidth="1"/>
    <col min="523" max="523" width="12.7265625" bestFit="1" customWidth="1"/>
    <col min="524" max="524" width="12.54296875" bestFit="1" customWidth="1"/>
    <col min="525" max="525" width="12.08984375" bestFit="1" customWidth="1"/>
    <col min="526" max="526" width="11.6328125" bestFit="1" customWidth="1"/>
    <col min="527" max="527" width="12.7265625" bestFit="1" customWidth="1"/>
    <col min="528" max="528" width="12.6328125" bestFit="1" customWidth="1"/>
    <col min="529" max="529" width="14.1796875" bestFit="1" customWidth="1"/>
    <col min="530" max="530" width="12.08984375" bestFit="1" customWidth="1"/>
    <col min="531" max="531" width="11.6328125" bestFit="1" customWidth="1"/>
    <col min="532" max="532" width="11.1796875" bestFit="1" customWidth="1"/>
    <col min="533" max="533" width="12.6328125" bestFit="1" customWidth="1"/>
    <col min="534" max="534" width="11.90625" bestFit="1" customWidth="1"/>
    <col min="535" max="535" width="12.90625" bestFit="1" customWidth="1"/>
    <col min="536" max="536" width="11.36328125" bestFit="1" customWidth="1"/>
    <col min="537" max="537" width="10.54296875" bestFit="1" customWidth="1"/>
    <col min="538" max="538" width="12.26953125" bestFit="1" customWidth="1"/>
    <col min="539" max="539" width="12.1796875" bestFit="1" customWidth="1"/>
    <col min="540" max="540" width="13.26953125" bestFit="1" customWidth="1"/>
    <col min="541" max="541" width="13.36328125" bestFit="1" customWidth="1"/>
    <col min="542" max="542" width="11.6328125" bestFit="1" customWidth="1"/>
    <col min="543" max="543" width="11.36328125" bestFit="1" customWidth="1"/>
    <col min="544" max="544" width="11.6328125" bestFit="1" customWidth="1"/>
    <col min="545" max="545" width="11.453125" bestFit="1" customWidth="1"/>
    <col min="546" max="546" width="12" bestFit="1" customWidth="1"/>
    <col min="547" max="547" width="10.08984375" bestFit="1" customWidth="1"/>
    <col min="548" max="548" width="12.26953125" bestFit="1" customWidth="1"/>
    <col min="549" max="549" width="13.26953125" bestFit="1" customWidth="1"/>
    <col min="550" max="550" width="11.453125" bestFit="1" customWidth="1"/>
    <col min="551" max="551" width="11.54296875" bestFit="1" customWidth="1"/>
    <col min="552" max="552" width="11" bestFit="1" customWidth="1"/>
    <col min="553" max="553" width="12.1796875" bestFit="1" customWidth="1"/>
    <col min="554" max="554" width="13.81640625" bestFit="1" customWidth="1"/>
    <col min="555" max="555" width="10.81640625" bestFit="1" customWidth="1"/>
    <col min="556" max="556" width="10.26953125" bestFit="1" customWidth="1"/>
    <col min="557" max="557" width="12.7265625" bestFit="1" customWidth="1"/>
    <col min="558" max="558" width="11.1796875" bestFit="1" customWidth="1"/>
    <col min="559" max="559" width="13" bestFit="1" customWidth="1"/>
    <col min="560" max="560" width="10.453125" bestFit="1" customWidth="1"/>
    <col min="561" max="561" width="13.1796875" bestFit="1" customWidth="1"/>
    <col min="562" max="562" width="11" bestFit="1" customWidth="1"/>
    <col min="563" max="563" width="10.81640625" bestFit="1" customWidth="1"/>
    <col min="564" max="564" width="12" bestFit="1" customWidth="1"/>
    <col min="565" max="565" width="10.453125" bestFit="1" customWidth="1"/>
    <col min="566" max="566" width="12.26953125" bestFit="1" customWidth="1"/>
    <col min="567" max="567" width="11.08984375" bestFit="1" customWidth="1"/>
    <col min="568" max="568" width="13.36328125" bestFit="1" customWidth="1"/>
    <col min="569" max="569" width="11.81640625" bestFit="1" customWidth="1"/>
    <col min="570" max="570" width="11.90625" bestFit="1" customWidth="1"/>
    <col min="571" max="571" width="11.81640625" bestFit="1" customWidth="1"/>
    <col min="572" max="572" width="11.54296875" bestFit="1" customWidth="1"/>
    <col min="573" max="573" width="11.90625" bestFit="1" customWidth="1"/>
    <col min="574" max="574" width="9.90625" bestFit="1" customWidth="1"/>
    <col min="575" max="575" width="13.453125" bestFit="1" customWidth="1"/>
    <col min="576" max="576" width="12.08984375" bestFit="1" customWidth="1"/>
    <col min="577" max="577" width="10.6328125" bestFit="1" customWidth="1"/>
    <col min="578" max="578" width="11.36328125" bestFit="1" customWidth="1"/>
    <col min="579" max="579" width="12.453125" bestFit="1" customWidth="1"/>
    <col min="580" max="580" width="11.453125" bestFit="1" customWidth="1"/>
    <col min="581" max="581" width="14" bestFit="1" customWidth="1"/>
    <col min="582" max="582" width="7.90625" customWidth="1"/>
    <col min="583" max="583" width="10.7265625" bestFit="1" customWidth="1"/>
  </cols>
  <sheetData>
    <row r="3" spans="1:3" x14ac:dyDescent="0.35">
      <c r="A3" s="7" t="s">
        <v>2401</v>
      </c>
      <c r="B3" t="s">
        <v>2405</v>
      </c>
    </row>
    <row r="4" spans="1:3" x14ac:dyDescent="0.35">
      <c r="A4" s="8" t="s">
        <v>2402</v>
      </c>
      <c r="B4" s="9">
        <v>975151610.71691799</v>
      </c>
    </row>
    <row r="5" spans="1:3" x14ac:dyDescent="0.35">
      <c r="A5" s="8" t="s">
        <v>2403</v>
      </c>
      <c r="B5" s="9">
        <v>3833930655.358459</v>
      </c>
    </row>
    <row r="6" spans="1:3" x14ac:dyDescent="0.35">
      <c r="A6" s="8" t="s">
        <v>2404</v>
      </c>
      <c r="B6" s="9">
        <v>4809082266.0753765</v>
      </c>
    </row>
    <row r="13" spans="1:3" x14ac:dyDescent="0.35">
      <c r="A13" s="7" t="s">
        <v>2401</v>
      </c>
      <c r="B13" t="s">
        <v>2406</v>
      </c>
      <c r="C13" t="s">
        <v>2407</v>
      </c>
    </row>
    <row r="14" spans="1:3" x14ac:dyDescent="0.35">
      <c r="A14" s="8" t="s">
        <v>1333</v>
      </c>
      <c r="B14" s="4">
        <v>3061219</v>
      </c>
      <c r="C14" s="4">
        <v>11926</v>
      </c>
    </row>
    <row r="15" spans="1:3" x14ac:dyDescent="0.35">
      <c r="A15" s="8" t="s">
        <v>1032</v>
      </c>
      <c r="B15" s="4">
        <v>2964109</v>
      </c>
      <c r="C15" s="4">
        <v>14876</v>
      </c>
    </row>
    <row r="16" spans="1:3" x14ac:dyDescent="0.35">
      <c r="A16" s="8" t="s">
        <v>339</v>
      </c>
      <c r="B16" s="4">
        <v>4421091</v>
      </c>
      <c r="C16" s="4">
        <v>8794</v>
      </c>
    </row>
    <row r="17" spans="1:3" x14ac:dyDescent="0.35">
      <c r="A17" s="8" t="s">
        <v>21</v>
      </c>
      <c r="B17" s="4">
        <v>4178447</v>
      </c>
      <c r="C17" s="4">
        <v>6378</v>
      </c>
    </row>
    <row r="18" spans="1:3" x14ac:dyDescent="0.35">
      <c r="A18" s="8" t="s">
        <v>255</v>
      </c>
      <c r="B18" s="4">
        <v>4130446</v>
      </c>
      <c r="C18" s="4">
        <v>7065</v>
      </c>
    </row>
    <row r="19" spans="1:3" x14ac:dyDescent="0.35">
      <c r="A19" s="8" t="s">
        <v>2404</v>
      </c>
      <c r="B19" s="4">
        <v>18755312</v>
      </c>
      <c r="C19" s="4">
        <v>49039</v>
      </c>
    </row>
    <row r="25" spans="1:3" x14ac:dyDescent="0.35">
      <c r="A25" s="7" t="s">
        <v>2401</v>
      </c>
      <c r="B25" t="s">
        <v>2405</v>
      </c>
    </row>
    <row r="26" spans="1:3" x14ac:dyDescent="0.35">
      <c r="A26" s="8" t="s">
        <v>2415</v>
      </c>
      <c r="B26" s="4">
        <v>259311517</v>
      </c>
    </row>
    <row r="27" spans="1:3" x14ac:dyDescent="0.35">
      <c r="A27" s="8" t="s">
        <v>2539</v>
      </c>
      <c r="B27" s="4">
        <v>246090760</v>
      </c>
    </row>
    <row r="28" spans="1:3" x14ac:dyDescent="0.35">
      <c r="A28" s="8" t="s">
        <v>2473</v>
      </c>
      <c r="B28" s="4">
        <v>179327926</v>
      </c>
    </row>
    <row r="29" spans="1:3" x14ac:dyDescent="0.35">
      <c r="A29" s="8" t="s">
        <v>2557</v>
      </c>
      <c r="B29" s="4">
        <v>139303650</v>
      </c>
    </row>
    <row r="30" spans="1:3" x14ac:dyDescent="0.35">
      <c r="A30" s="8" t="s">
        <v>2775</v>
      </c>
      <c r="B30" s="4">
        <v>343758991</v>
      </c>
    </row>
    <row r="31" spans="1:3" x14ac:dyDescent="0.35">
      <c r="A31" s="8" t="s">
        <v>2404</v>
      </c>
      <c r="B31" s="4">
        <v>1167792844</v>
      </c>
    </row>
    <row r="40" spans="1:2" x14ac:dyDescent="0.35">
      <c r="A40" s="7" t="s">
        <v>2401</v>
      </c>
      <c r="B40" t="s">
        <v>3339</v>
      </c>
    </row>
    <row r="41" spans="1:2" x14ac:dyDescent="0.35">
      <c r="A41" s="8" t="s">
        <v>2402</v>
      </c>
      <c r="B41" s="4">
        <v>987.15675675675675</v>
      </c>
    </row>
    <row r="42" spans="1:2" x14ac:dyDescent="0.35">
      <c r="A42" s="8" t="s">
        <v>2403</v>
      </c>
      <c r="B42" s="4">
        <v>29.598997493734334</v>
      </c>
    </row>
    <row r="43" spans="1:2" x14ac:dyDescent="0.35">
      <c r="A43" s="8" t="s">
        <v>2404</v>
      </c>
      <c r="B43" s="4">
        <v>332.9349315068493</v>
      </c>
    </row>
    <row r="49" spans="1:3" x14ac:dyDescent="0.35">
      <c r="A49" s="7" t="s">
        <v>2401</v>
      </c>
      <c r="B49" t="s">
        <v>3340</v>
      </c>
      <c r="C49" t="s">
        <v>2405</v>
      </c>
    </row>
    <row r="50" spans="1:3" x14ac:dyDescent="0.35">
      <c r="A50" s="8" t="s">
        <v>2217</v>
      </c>
      <c r="B50" s="4">
        <v>697.00194993227569</v>
      </c>
      <c r="C50" s="4">
        <v>312</v>
      </c>
    </row>
    <row r="51" spans="1:3" x14ac:dyDescent="0.35">
      <c r="A51" s="8" t="s">
        <v>1090</v>
      </c>
      <c r="B51" s="4">
        <v>54.762853296734406</v>
      </c>
      <c r="C51" s="4">
        <v>4007</v>
      </c>
    </row>
    <row r="52" spans="1:3" x14ac:dyDescent="0.35">
      <c r="A52" s="8" t="s">
        <v>1970</v>
      </c>
      <c r="B52" s="4">
        <v>182.74420872173951</v>
      </c>
      <c r="C52" s="4">
        <v>1190</v>
      </c>
    </row>
    <row r="53" spans="1:3" x14ac:dyDescent="0.35">
      <c r="A53" s="8" t="s">
        <v>2404</v>
      </c>
      <c r="B53" s="4">
        <v>311.5030039835832</v>
      </c>
      <c r="C53" s="4">
        <v>5509</v>
      </c>
    </row>
    <row r="61" spans="1:3" x14ac:dyDescent="0.35">
      <c r="A61" s="7" t="s">
        <v>2401</v>
      </c>
      <c r="B61" t="s">
        <v>2408</v>
      </c>
    </row>
    <row r="62" spans="1:3" x14ac:dyDescent="0.35">
      <c r="A62" s="8" t="s">
        <v>2387</v>
      </c>
      <c r="B62" s="4">
        <v>6</v>
      </c>
    </row>
    <row r="63" spans="1:3" x14ac:dyDescent="0.35">
      <c r="A63" s="8" t="s">
        <v>2394</v>
      </c>
      <c r="B63" s="4">
        <v>20</v>
      </c>
    </row>
    <row r="64" spans="1:3" x14ac:dyDescent="0.35">
      <c r="A64" s="8" t="s">
        <v>2398</v>
      </c>
      <c r="B64" s="4">
        <v>53</v>
      </c>
    </row>
    <row r="65" spans="1:2" x14ac:dyDescent="0.35">
      <c r="A65" s="8" t="s">
        <v>2395</v>
      </c>
      <c r="B65" s="4">
        <v>50</v>
      </c>
    </row>
    <row r="66" spans="1:2" x14ac:dyDescent="0.35">
      <c r="A66" s="8" t="s">
        <v>2386</v>
      </c>
      <c r="B66" s="4">
        <v>4</v>
      </c>
    </row>
    <row r="67" spans="1:2" x14ac:dyDescent="0.35">
      <c r="A67" s="8" t="s">
        <v>2392</v>
      </c>
      <c r="B67" s="4">
        <v>19</v>
      </c>
    </row>
    <row r="68" spans="1:2" x14ac:dyDescent="0.35">
      <c r="A68" s="8" t="s">
        <v>2397</v>
      </c>
      <c r="B68" s="4">
        <v>10</v>
      </c>
    </row>
    <row r="69" spans="1:2" x14ac:dyDescent="0.35">
      <c r="A69" s="8" t="s">
        <v>2388</v>
      </c>
      <c r="B69" s="4">
        <v>13</v>
      </c>
    </row>
    <row r="70" spans="1:2" x14ac:dyDescent="0.35">
      <c r="A70" s="8" t="s">
        <v>2396</v>
      </c>
      <c r="B70" s="4">
        <v>16</v>
      </c>
    </row>
    <row r="71" spans="1:2" x14ac:dyDescent="0.35">
      <c r="A71" s="8" t="s">
        <v>2400</v>
      </c>
      <c r="B71" s="4">
        <v>2</v>
      </c>
    </row>
    <row r="72" spans="1:2" x14ac:dyDescent="0.35">
      <c r="A72" s="8" t="s">
        <v>2393</v>
      </c>
      <c r="B72" s="4">
        <v>93</v>
      </c>
    </row>
    <row r="73" spans="1:2" x14ac:dyDescent="0.35">
      <c r="A73" s="8" t="s">
        <v>2389</v>
      </c>
      <c r="B73" s="4">
        <v>7</v>
      </c>
    </row>
    <row r="74" spans="1:2" x14ac:dyDescent="0.35">
      <c r="A74" s="8" t="s">
        <v>2399</v>
      </c>
      <c r="B74" s="4">
        <v>279</v>
      </c>
    </row>
    <row r="75" spans="1:2" x14ac:dyDescent="0.35">
      <c r="A75" s="8" t="s">
        <v>2390</v>
      </c>
      <c r="B75" s="4">
        <v>4</v>
      </c>
    </row>
    <row r="76" spans="1:2" x14ac:dyDescent="0.35">
      <c r="A76" s="8" t="s">
        <v>2391</v>
      </c>
      <c r="B76" s="4">
        <v>5</v>
      </c>
    </row>
    <row r="77" spans="1:2" x14ac:dyDescent="0.35">
      <c r="A77" s="8" t="s">
        <v>3341</v>
      </c>
      <c r="B77" s="4">
        <v>3</v>
      </c>
    </row>
    <row r="78" spans="1:2" x14ac:dyDescent="0.35">
      <c r="A78" s="8" t="s">
        <v>3342</v>
      </c>
      <c r="B78" s="4"/>
    </row>
    <row r="79" spans="1:2" x14ac:dyDescent="0.35">
      <c r="A79" s="8" t="s">
        <v>2404</v>
      </c>
      <c r="B79" s="4">
        <v>584</v>
      </c>
    </row>
    <row r="85" spans="1:2" x14ac:dyDescent="0.35">
      <c r="A85" s="7" t="s">
        <v>2401</v>
      </c>
      <c r="B85" t="s">
        <v>2405</v>
      </c>
    </row>
    <row r="86" spans="1:2" x14ac:dyDescent="0.35">
      <c r="A86" s="8" t="s">
        <v>3391</v>
      </c>
      <c r="B86" s="4">
        <v>20393151</v>
      </c>
    </row>
    <row r="87" spans="1:2" x14ac:dyDescent="0.35">
      <c r="A87" s="8" t="s">
        <v>3392</v>
      </c>
      <c r="B87" s="4">
        <v>78152857</v>
      </c>
    </row>
    <row r="88" spans="1:2" x14ac:dyDescent="0.35">
      <c r="A88" s="8" t="s">
        <v>3393</v>
      </c>
      <c r="B88" s="4">
        <v>343758991</v>
      </c>
    </row>
    <row r="89" spans="1:2" x14ac:dyDescent="0.35">
      <c r="A89" s="8" t="s">
        <v>3394</v>
      </c>
      <c r="B89" s="4">
        <v>2149006</v>
      </c>
    </row>
    <row r="90" spans="1:2" x14ac:dyDescent="0.35">
      <c r="A90" s="8" t="s">
        <v>3395</v>
      </c>
      <c r="B90" s="4">
        <v>1494602</v>
      </c>
    </row>
    <row r="91" spans="1:2" x14ac:dyDescent="0.35">
      <c r="A91" s="8" t="s">
        <v>3396</v>
      </c>
      <c r="B91" s="4">
        <v>700546</v>
      </c>
    </row>
    <row r="92" spans="1:2" x14ac:dyDescent="0.35">
      <c r="A92" s="8" t="s">
        <v>3352</v>
      </c>
      <c r="B92" s="4">
        <v>6936331</v>
      </c>
    </row>
    <row r="93" spans="1:2" x14ac:dyDescent="0.35">
      <c r="A93" s="8" t="s">
        <v>3397</v>
      </c>
      <c r="B93" s="4">
        <v>5083502</v>
      </c>
    </row>
    <row r="94" spans="1:2" x14ac:dyDescent="0.35">
      <c r="A94" s="8" t="s">
        <v>3398</v>
      </c>
      <c r="B94" s="4">
        <v>13476785</v>
      </c>
    </row>
    <row r="95" spans="1:2" x14ac:dyDescent="0.35">
      <c r="A95" s="8" t="s">
        <v>3353</v>
      </c>
      <c r="B95" s="4">
        <v>506114</v>
      </c>
    </row>
    <row r="96" spans="1:2" x14ac:dyDescent="0.35">
      <c r="A96" s="8" t="s">
        <v>3354</v>
      </c>
      <c r="B96" s="4">
        <v>44799858</v>
      </c>
    </row>
    <row r="97" spans="1:2" x14ac:dyDescent="0.35">
      <c r="A97" s="8" t="s">
        <v>3355</v>
      </c>
      <c r="B97" s="4">
        <v>90818714</v>
      </c>
    </row>
    <row r="98" spans="1:2" x14ac:dyDescent="0.35">
      <c r="A98" s="8" t="s">
        <v>3356</v>
      </c>
      <c r="B98" s="4">
        <v>607010</v>
      </c>
    </row>
    <row r="99" spans="1:2" x14ac:dyDescent="0.35">
      <c r="A99" s="8" t="s">
        <v>3357</v>
      </c>
      <c r="B99" s="4">
        <v>20441570</v>
      </c>
    </row>
    <row r="100" spans="1:2" x14ac:dyDescent="0.35">
      <c r="A100" s="8" t="s">
        <v>3399</v>
      </c>
      <c r="B100" s="4">
        <v>19951447</v>
      </c>
    </row>
    <row r="101" spans="1:2" x14ac:dyDescent="0.35">
      <c r="A101" s="8" t="s">
        <v>3358</v>
      </c>
      <c r="B101" s="4">
        <v>3152660</v>
      </c>
    </row>
    <row r="102" spans="1:2" x14ac:dyDescent="0.35">
      <c r="A102" s="8" t="s">
        <v>3359</v>
      </c>
      <c r="B102" s="4">
        <v>16984043</v>
      </c>
    </row>
    <row r="103" spans="1:2" x14ac:dyDescent="0.35">
      <c r="A103" s="8" t="s">
        <v>3400</v>
      </c>
      <c r="B103" s="4">
        <v>344551</v>
      </c>
    </row>
    <row r="104" spans="1:2" x14ac:dyDescent="0.35">
      <c r="A104" s="8" t="s">
        <v>3347</v>
      </c>
      <c r="B104" s="4">
        <v>271308768</v>
      </c>
    </row>
    <row r="105" spans="1:2" x14ac:dyDescent="0.35">
      <c r="A105" s="8" t="s">
        <v>3360</v>
      </c>
      <c r="B105" s="4">
        <v>9149981</v>
      </c>
    </row>
    <row r="106" spans="1:2" x14ac:dyDescent="0.35">
      <c r="A106" s="8" t="s">
        <v>3348</v>
      </c>
      <c r="B106" s="4">
        <v>70668361</v>
      </c>
    </row>
    <row r="107" spans="1:2" x14ac:dyDescent="0.35">
      <c r="A107" s="8" t="s">
        <v>3361</v>
      </c>
      <c r="B107" s="4">
        <v>37502912</v>
      </c>
    </row>
    <row r="108" spans="1:2" x14ac:dyDescent="0.35">
      <c r="A108" s="8" t="s">
        <v>3362</v>
      </c>
      <c r="B108" s="4">
        <v>114826214</v>
      </c>
    </row>
    <row r="109" spans="1:2" x14ac:dyDescent="0.35">
      <c r="A109" s="8" t="s">
        <v>3363</v>
      </c>
      <c r="B109" s="4">
        <v>81856295</v>
      </c>
    </row>
    <row r="110" spans="1:2" x14ac:dyDescent="0.35">
      <c r="A110" s="8" t="s">
        <v>3349</v>
      </c>
      <c r="B110" s="4">
        <v>34327556</v>
      </c>
    </row>
    <row r="111" spans="1:2" x14ac:dyDescent="0.35">
      <c r="A111" s="8" t="s">
        <v>3364</v>
      </c>
      <c r="B111" s="4">
        <v>20397088</v>
      </c>
    </row>
    <row r="112" spans="1:2" x14ac:dyDescent="0.35">
      <c r="A112" s="8" t="s">
        <v>3365</v>
      </c>
      <c r="B112" s="4">
        <v>53853274</v>
      </c>
    </row>
    <row r="113" spans="1:2" x14ac:dyDescent="0.35">
      <c r="A113" s="8" t="s">
        <v>3366</v>
      </c>
      <c r="B113" s="4">
        <v>40368148</v>
      </c>
    </row>
    <row r="114" spans="1:2" x14ac:dyDescent="0.35">
      <c r="A114" s="8" t="s">
        <v>3367</v>
      </c>
      <c r="B114" s="4">
        <v>246955426</v>
      </c>
    </row>
    <row r="115" spans="1:2" x14ac:dyDescent="0.35">
      <c r="A115" s="8" t="s">
        <v>3368</v>
      </c>
      <c r="B115" s="4">
        <v>92769589</v>
      </c>
    </row>
    <row r="116" spans="1:2" x14ac:dyDescent="0.35">
      <c r="A116" s="8" t="s">
        <v>3369</v>
      </c>
      <c r="B116" s="4">
        <v>3202543</v>
      </c>
    </row>
    <row r="117" spans="1:2" x14ac:dyDescent="0.35">
      <c r="A117" s="8" t="s">
        <v>3370</v>
      </c>
      <c r="B117" s="4">
        <v>55839934</v>
      </c>
    </row>
    <row r="118" spans="1:2" x14ac:dyDescent="0.35">
      <c r="A118" s="8" t="s">
        <v>3371</v>
      </c>
      <c r="B118" s="4">
        <v>43055508</v>
      </c>
    </row>
    <row r="119" spans="1:2" x14ac:dyDescent="0.35">
      <c r="A119" s="8" t="s">
        <v>3372</v>
      </c>
      <c r="B119" s="4">
        <v>95380180</v>
      </c>
    </row>
    <row r="120" spans="1:2" x14ac:dyDescent="0.35">
      <c r="A120" s="8" t="s">
        <v>3373</v>
      </c>
      <c r="B120" s="4">
        <v>324714</v>
      </c>
    </row>
    <row r="121" spans="1:2" x14ac:dyDescent="0.35">
      <c r="A121" s="8" t="s">
        <v>3374</v>
      </c>
      <c r="B121" s="4">
        <v>88359562.358458966</v>
      </c>
    </row>
    <row r="122" spans="1:2" x14ac:dyDescent="0.35">
      <c r="A122" s="8" t="s">
        <v>3350</v>
      </c>
      <c r="B122" s="4">
        <v>35624672</v>
      </c>
    </row>
    <row r="123" spans="1:2" x14ac:dyDescent="0.35">
      <c r="A123" s="8" t="s">
        <v>3375</v>
      </c>
      <c r="B123" s="4">
        <v>283122147</v>
      </c>
    </row>
    <row r="124" spans="1:2" x14ac:dyDescent="0.35">
      <c r="A124" s="8" t="s">
        <v>3376</v>
      </c>
      <c r="B124" s="4">
        <v>213607398</v>
      </c>
    </row>
    <row r="125" spans="1:2" x14ac:dyDescent="0.35">
      <c r="A125" s="8" t="s">
        <v>3377</v>
      </c>
      <c r="B125" s="4">
        <v>96218825</v>
      </c>
    </row>
    <row r="126" spans="1:2" x14ac:dyDescent="0.35">
      <c r="A126" s="8" t="s">
        <v>3378</v>
      </c>
      <c r="B126" s="4">
        <v>246324887</v>
      </c>
    </row>
    <row r="127" spans="1:2" x14ac:dyDescent="0.35">
      <c r="A127" s="8" t="s">
        <v>3379</v>
      </c>
      <c r="B127" s="4">
        <v>116522607</v>
      </c>
    </row>
    <row r="128" spans="1:2" x14ac:dyDescent="0.35">
      <c r="A128" s="8" t="s">
        <v>3380</v>
      </c>
      <c r="B128" s="4">
        <v>240680750</v>
      </c>
    </row>
    <row r="129" spans="1:2" x14ac:dyDescent="0.35">
      <c r="A129" s="8" t="s">
        <v>3381</v>
      </c>
      <c r="B129" s="4">
        <v>155431740</v>
      </c>
    </row>
    <row r="130" spans="1:2" x14ac:dyDescent="0.35">
      <c r="A130" s="8" t="s">
        <v>3382</v>
      </c>
      <c r="B130" s="4">
        <v>122495580</v>
      </c>
    </row>
    <row r="131" spans="1:2" x14ac:dyDescent="0.35">
      <c r="A131" s="8" t="s">
        <v>3383</v>
      </c>
      <c r="B131" s="4">
        <v>118419513</v>
      </c>
    </row>
    <row r="132" spans="1:2" x14ac:dyDescent="0.35">
      <c r="A132" s="8" t="s">
        <v>3384</v>
      </c>
      <c r="B132" s="4">
        <v>146973558</v>
      </c>
    </row>
    <row r="133" spans="1:2" x14ac:dyDescent="0.35">
      <c r="A133" s="8" t="s">
        <v>3385</v>
      </c>
      <c r="B133" s="4">
        <v>159498528.71691793</v>
      </c>
    </row>
    <row r="134" spans="1:2" x14ac:dyDescent="0.35">
      <c r="A134" s="8" t="s">
        <v>3386</v>
      </c>
      <c r="B134" s="4">
        <v>143529383</v>
      </c>
    </row>
    <row r="135" spans="1:2" x14ac:dyDescent="0.35">
      <c r="A135" s="8" t="s">
        <v>3387</v>
      </c>
      <c r="B135" s="4">
        <v>120642109</v>
      </c>
    </row>
    <row r="136" spans="1:2" x14ac:dyDescent="0.35">
      <c r="A136" s="8" t="s">
        <v>3388</v>
      </c>
      <c r="B136" s="4">
        <v>33559077</v>
      </c>
    </row>
    <row r="137" spans="1:2" x14ac:dyDescent="0.35">
      <c r="A137" s="8" t="s">
        <v>3346</v>
      </c>
      <c r="B137" s="4">
        <v>119144228</v>
      </c>
    </row>
    <row r="138" spans="1:2" x14ac:dyDescent="0.35">
      <c r="A138" s="8" t="s">
        <v>3389</v>
      </c>
      <c r="B138" s="4">
        <v>214213947</v>
      </c>
    </row>
    <row r="139" spans="1:2" x14ac:dyDescent="0.35">
      <c r="A139" s="8" t="s">
        <v>3351</v>
      </c>
      <c r="B139" s="4">
        <v>145195081</v>
      </c>
    </row>
    <row r="140" spans="1:2" x14ac:dyDescent="0.35">
      <c r="A140" s="8" t="s">
        <v>3390</v>
      </c>
      <c r="B140" s="4">
        <v>67980444</v>
      </c>
    </row>
    <row r="141" spans="1:2" x14ac:dyDescent="0.35">
      <c r="A141" s="8" t="s">
        <v>2404</v>
      </c>
      <c r="B141" s="4">
        <v>4809082266.0753765</v>
      </c>
    </row>
    <row r="143" spans="1:2" x14ac:dyDescent="0.35">
      <c r="B143" s="4"/>
    </row>
    <row r="144" spans="1:2" x14ac:dyDescent="0.35">
      <c r="B144" s="4"/>
    </row>
    <row r="145" spans="2:2" x14ac:dyDescent="0.35">
      <c r="B145" s="4"/>
    </row>
    <row r="146" spans="2:2" x14ac:dyDescent="0.35">
      <c r="B146" s="4"/>
    </row>
    <row r="147" spans="2:2" x14ac:dyDescent="0.35">
      <c r="B147" s="4"/>
    </row>
    <row r="148" spans="2:2" x14ac:dyDescent="0.35">
      <c r="B148" s="4"/>
    </row>
    <row r="149" spans="2:2" x14ac:dyDescent="0.35">
      <c r="B149" s="4"/>
    </row>
    <row r="150" spans="2:2" x14ac:dyDescent="0.35">
      <c r="B150" s="4"/>
    </row>
    <row r="151" spans="2:2" x14ac:dyDescent="0.35">
      <c r="B151" s="4"/>
    </row>
    <row r="152" spans="2:2" x14ac:dyDescent="0.35">
      <c r="B152" s="4"/>
    </row>
    <row r="153" spans="2:2" x14ac:dyDescent="0.35">
      <c r="B153" s="4"/>
    </row>
    <row r="154" spans="2:2" x14ac:dyDescent="0.35">
      <c r="B154" s="4"/>
    </row>
    <row r="155" spans="2:2" x14ac:dyDescent="0.35">
      <c r="B155" s="4"/>
    </row>
    <row r="156" spans="2:2" x14ac:dyDescent="0.35">
      <c r="B156" s="4"/>
    </row>
    <row r="157" spans="2:2" x14ac:dyDescent="0.35">
      <c r="B157" s="4"/>
    </row>
    <row r="158" spans="2:2" x14ac:dyDescent="0.35">
      <c r="B158" s="4"/>
    </row>
    <row r="159" spans="2:2" x14ac:dyDescent="0.35">
      <c r="B159" s="4"/>
    </row>
    <row r="160" spans="2:2" x14ac:dyDescent="0.35">
      <c r="B160" s="4"/>
    </row>
    <row r="161" spans="2:2" x14ac:dyDescent="0.35">
      <c r="B161" s="4"/>
    </row>
    <row r="162" spans="2:2" x14ac:dyDescent="0.35">
      <c r="B162" s="4"/>
    </row>
    <row r="163" spans="2:2" x14ac:dyDescent="0.35">
      <c r="B163" s="4"/>
    </row>
    <row r="164" spans="2:2" x14ac:dyDescent="0.35">
      <c r="B164" s="4"/>
    </row>
    <row r="165" spans="2:2" x14ac:dyDescent="0.35">
      <c r="B165" s="4"/>
    </row>
    <row r="166" spans="2:2" x14ac:dyDescent="0.35">
      <c r="B166" s="4"/>
    </row>
    <row r="167" spans="2:2" x14ac:dyDescent="0.35">
      <c r="B167" s="4"/>
    </row>
    <row r="168" spans="2:2" x14ac:dyDescent="0.35">
      <c r="B168" s="4"/>
    </row>
    <row r="169" spans="2:2" x14ac:dyDescent="0.35">
      <c r="B169" s="4"/>
    </row>
    <row r="170" spans="2:2" x14ac:dyDescent="0.35">
      <c r="B170" s="4"/>
    </row>
    <row r="171" spans="2:2" x14ac:dyDescent="0.35">
      <c r="B171" s="4"/>
    </row>
    <row r="172" spans="2:2" x14ac:dyDescent="0.35">
      <c r="B172" s="4"/>
    </row>
    <row r="173" spans="2:2" x14ac:dyDescent="0.35">
      <c r="B173" s="4"/>
    </row>
    <row r="174" spans="2:2" x14ac:dyDescent="0.35">
      <c r="B174" s="4"/>
    </row>
    <row r="175" spans="2:2" x14ac:dyDescent="0.35">
      <c r="B175" s="4"/>
    </row>
    <row r="176" spans="2:2" x14ac:dyDescent="0.35">
      <c r="B176" s="4"/>
    </row>
    <row r="177" spans="2:2" x14ac:dyDescent="0.35">
      <c r="B177" s="4"/>
    </row>
    <row r="178" spans="2:2" x14ac:dyDescent="0.35">
      <c r="B178" s="4"/>
    </row>
    <row r="179" spans="2:2" x14ac:dyDescent="0.35">
      <c r="B179" s="4"/>
    </row>
    <row r="180" spans="2:2" x14ac:dyDescent="0.35">
      <c r="B180" s="4"/>
    </row>
    <row r="181" spans="2:2" x14ac:dyDescent="0.35">
      <c r="B181" s="4"/>
    </row>
    <row r="182" spans="2:2" x14ac:dyDescent="0.35">
      <c r="B182" s="4"/>
    </row>
    <row r="183" spans="2:2" x14ac:dyDescent="0.35">
      <c r="B183" s="4"/>
    </row>
    <row r="184" spans="2:2" x14ac:dyDescent="0.35">
      <c r="B184" s="4"/>
    </row>
    <row r="185" spans="2:2" x14ac:dyDescent="0.35">
      <c r="B185" s="4"/>
    </row>
    <row r="186" spans="2:2" x14ac:dyDescent="0.35">
      <c r="B186" s="4"/>
    </row>
    <row r="187" spans="2:2" x14ac:dyDescent="0.35">
      <c r="B187" s="4"/>
    </row>
    <row r="188" spans="2:2" x14ac:dyDescent="0.35">
      <c r="B188" s="4"/>
    </row>
    <row r="189" spans="2:2" x14ac:dyDescent="0.35">
      <c r="B189" s="4"/>
    </row>
    <row r="190" spans="2:2" x14ac:dyDescent="0.35">
      <c r="B190" s="4"/>
    </row>
    <row r="191" spans="2:2" x14ac:dyDescent="0.35">
      <c r="B191" s="4"/>
    </row>
    <row r="192" spans="2:2" x14ac:dyDescent="0.35">
      <c r="B192" s="4"/>
    </row>
    <row r="193" spans="2:2" x14ac:dyDescent="0.35">
      <c r="B193" s="4"/>
    </row>
    <row r="194" spans="2:2" x14ac:dyDescent="0.35">
      <c r="B194" s="4"/>
    </row>
    <row r="195" spans="2:2" x14ac:dyDescent="0.35">
      <c r="B195" s="4"/>
    </row>
    <row r="196" spans="2:2" x14ac:dyDescent="0.35">
      <c r="B196" s="4"/>
    </row>
    <row r="197" spans="2:2" x14ac:dyDescent="0.35">
      <c r="B197" s="4"/>
    </row>
    <row r="198" spans="2:2" x14ac:dyDescent="0.35">
      <c r="B198" s="4"/>
    </row>
    <row r="199" spans="2:2" x14ac:dyDescent="0.35">
      <c r="B199" s="4"/>
    </row>
    <row r="200" spans="2:2" x14ac:dyDescent="0.35">
      <c r="B200" s="4"/>
    </row>
    <row r="201" spans="2:2" x14ac:dyDescent="0.35">
      <c r="B201" s="4"/>
    </row>
    <row r="202" spans="2:2" x14ac:dyDescent="0.35">
      <c r="B202" s="4"/>
    </row>
    <row r="203" spans="2:2" x14ac:dyDescent="0.35">
      <c r="B203" s="4"/>
    </row>
    <row r="204" spans="2:2" x14ac:dyDescent="0.35">
      <c r="B204" s="4"/>
    </row>
    <row r="205" spans="2:2" x14ac:dyDescent="0.35">
      <c r="B205" s="4"/>
    </row>
    <row r="206" spans="2:2" x14ac:dyDescent="0.35">
      <c r="B206" s="4"/>
    </row>
    <row r="207" spans="2:2" x14ac:dyDescent="0.35">
      <c r="B207" s="4"/>
    </row>
    <row r="208" spans="2:2" x14ac:dyDescent="0.35">
      <c r="B208" s="4"/>
    </row>
    <row r="209" spans="2:2" x14ac:dyDescent="0.35">
      <c r="B209" s="4"/>
    </row>
    <row r="210" spans="2:2" x14ac:dyDescent="0.35">
      <c r="B210" s="4"/>
    </row>
    <row r="211" spans="2:2" x14ac:dyDescent="0.35">
      <c r="B211" s="4"/>
    </row>
    <row r="212" spans="2:2" x14ac:dyDescent="0.35">
      <c r="B212" s="4"/>
    </row>
    <row r="213" spans="2:2" x14ac:dyDescent="0.35">
      <c r="B213" s="4"/>
    </row>
    <row r="214" spans="2:2" x14ac:dyDescent="0.35">
      <c r="B214" s="4"/>
    </row>
    <row r="215" spans="2:2" x14ac:dyDescent="0.35">
      <c r="B215" s="4"/>
    </row>
    <row r="216" spans="2:2" x14ac:dyDescent="0.35">
      <c r="B216" s="4"/>
    </row>
    <row r="217" spans="2:2" x14ac:dyDescent="0.35">
      <c r="B217" s="4"/>
    </row>
    <row r="218" spans="2:2" x14ac:dyDescent="0.35">
      <c r="B218" s="4"/>
    </row>
    <row r="219" spans="2:2" x14ac:dyDescent="0.35">
      <c r="B219" s="4"/>
    </row>
    <row r="220" spans="2:2" x14ac:dyDescent="0.35">
      <c r="B220" s="4"/>
    </row>
    <row r="221" spans="2:2" x14ac:dyDescent="0.35">
      <c r="B221" s="4"/>
    </row>
    <row r="222" spans="2:2" x14ac:dyDescent="0.35">
      <c r="B222" s="4"/>
    </row>
    <row r="223" spans="2:2" x14ac:dyDescent="0.35">
      <c r="B223" s="4"/>
    </row>
    <row r="224" spans="2:2" x14ac:dyDescent="0.35">
      <c r="B224" s="4"/>
    </row>
    <row r="225" spans="2:2" x14ac:dyDescent="0.35">
      <c r="B225" s="4"/>
    </row>
    <row r="226" spans="2:2" x14ac:dyDescent="0.35">
      <c r="B226" s="4"/>
    </row>
    <row r="227" spans="2:2" x14ac:dyDescent="0.35">
      <c r="B227" s="4"/>
    </row>
    <row r="228" spans="2:2" x14ac:dyDescent="0.35">
      <c r="B228" s="4"/>
    </row>
    <row r="229" spans="2:2" x14ac:dyDescent="0.35">
      <c r="B229" s="4"/>
    </row>
    <row r="230" spans="2:2" x14ac:dyDescent="0.35">
      <c r="B230" s="4"/>
    </row>
    <row r="231" spans="2:2" x14ac:dyDescent="0.35">
      <c r="B231" s="4"/>
    </row>
    <row r="232" spans="2:2" x14ac:dyDescent="0.35">
      <c r="B232" s="4"/>
    </row>
    <row r="233" spans="2:2" x14ac:dyDescent="0.35">
      <c r="B233" s="4"/>
    </row>
    <row r="234" spans="2:2" x14ac:dyDescent="0.35">
      <c r="B234" s="4"/>
    </row>
    <row r="235" spans="2:2" x14ac:dyDescent="0.35">
      <c r="B235" s="4"/>
    </row>
    <row r="236" spans="2:2" x14ac:dyDescent="0.35">
      <c r="B236" s="4"/>
    </row>
    <row r="237" spans="2:2" x14ac:dyDescent="0.35">
      <c r="B237" s="4"/>
    </row>
    <row r="238" spans="2:2" x14ac:dyDescent="0.35">
      <c r="B238" s="4"/>
    </row>
    <row r="239" spans="2:2" x14ac:dyDescent="0.35">
      <c r="B239" s="4"/>
    </row>
    <row r="240" spans="2:2" x14ac:dyDescent="0.35">
      <c r="B240" s="4"/>
    </row>
    <row r="241" spans="2:2" x14ac:dyDescent="0.35">
      <c r="B241" s="4"/>
    </row>
    <row r="242" spans="2:2" x14ac:dyDescent="0.35">
      <c r="B242" s="4"/>
    </row>
    <row r="243" spans="2:2" x14ac:dyDescent="0.35">
      <c r="B243" s="4"/>
    </row>
    <row r="244" spans="2:2" x14ac:dyDescent="0.35">
      <c r="B244" s="4"/>
    </row>
    <row r="245" spans="2:2" x14ac:dyDescent="0.35">
      <c r="B245" s="4"/>
    </row>
    <row r="246" spans="2:2" x14ac:dyDescent="0.35">
      <c r="B246" s="4"/>
    </row>
    <row r="247" spans="2:2" x14ac:dyDescent="0.35">
      <c r="B247" s="4"/>
    </row>
    <row r="248" spans="2:2" x14ac:dyDescent="0.35">
      <c r="B248" s="4"/>
    </row>
    <row r="249" spans="2:2" x14ac:dyDescent="0.35">
      <c r="B249" s="4"/>
    </row>
    <row r="250" spans="2:2" x14ac:dyDescent="0.35">
      <c r="B250" s="4"/>
    </row>
    <row r="251" spans="2:2" x14ac:dyDescent="0.35">
      <c r="B251" s="4"/>
    </row>
    <row r="252" spans="2:2" x14ac:dyDescent="0.35">
      <c r="B252" s="4"/>
    </row>
    <row r="253" spans="2:2" x14ac:dyDescent="0.35">
      <c r="B253" s="4"/>
    </row>
    <row r="254" spans="2:2" x14ac:dyDescent="0.35">
      <c r="B254" s="4"/>
    </row>
    <row r="255" spans="2:2" x14ac:dyDescent="0.35">
      <c r="B255" s="4"/>
    </row>
    <row r="256" spans="2:2" x14ac:dyDescent="0.35">
      <c r="B256" s="4"/>
    </row>
    <row r="257" spans="2:2" x14ac:dyDescent="0.35">
      <c r="B257" s="4"/>
    </row>
    <row r="258" spans="2:2" x14ac:dyDescent="0.35">
      <c r="B258" s="4"/>
    </row>
    <row r="259" spans="2:2" x14ac:dyDescent="0.35">
      <c r="B259" s="4"/>
    </row>
    <row r="260" spans="2:2" x14ac:dyDescent="0.35">
      <c r="B260" s="4"/>
    </row>
    <row r="261" spans="2:2" x14ac:dyDescent="0.35">
      <c r="B261" s="4"/>
    </row>
    <row r="262" spans="2:2" x14ac:dyDescent="0.35">
      <c r="B262" s="4"/>
    </row>
    <row r="263" spans="2:2" x14ac:dyDescent="0.35">
      <c r="B263" s="4"/>
    </row>
    <row r="264" spans="2:2" x14ac:dyDescent="0.35">
      <c r="B264" s="4"/>
    </row>
    <row r="265" spans="2:2" x14ac:dyDescent="0.35">
      <c r="B265" s="4"/>
    </row>
    <row r="266" spans="2:2" x14ac:dyDescent="0.35">
      <c r="B266" s="4"/>
    </row>
    <row r="267" spans="2:2" x14ac:dyDescent="0.35">
      <c r="B267" s="4"/>
    </row>
    <row r="268" spans="2:2" x14ac:dyDescent="0.35">
      <c r="B268" s="4"/>
    </row>
    <row r="269" spans="2:2" x14ac:dyDescent="0.35">
      <c r="B269" s="4"/>
    </row>
    <row r="270" spans="2:2" x14ac:dyDescent="0.35">
      <c r="B270" s="4"/>
    </row>
    <row r="271" spans="2:2" x14ac:dyDescent="0.35">
      <c r="B271" s="4"/>
    </row>
    <row r="272" spans="2:2" x14ac:dyDescent="0.35">
      <c r="B272" s="4"/>
    </row>
    <row r="273" spans="2:2" x14ac:dyDescent="0.35">
      <c r="B273" s="4"/>
    </row>
    <row r="274" spans="2:2" x14ac:dyDescent="0.35">
      <c r="B274" s="4"/>
    </row>
    <row r="275" spans="2:2" x14ac:dyDescent="0.35">
      <c r="B275" s="4"/>
    </row>
    <row r="276" spans="2:2" x14ac:dyDescent="0.35">
      <c r="B276" s="4"/>
    </row>
    <row r="277" spans="2:2" x14ac:dyDescent="0.35">
      <c r="B277" s="4"/>
    </row>
    <row r="278" spans="2:2" x14ac:dyDescent="0.35">
      <c r="B278" s="4"/>
    </row>
    <row r="279" spans="2:2" x14ac:dyDescent="0.35">
      <c r="B279" s="4"/>
    </row>
    <row r="280" spans="2:2" x14ac:dyDescent="0.35">
      <c r="B280" s="4"/>
    </row>
    <row r="281" spans="2:2" x14ac:dyDescent="0.35">
      <c r="B281" s="4"/>
    </row>
    <row r="282" spans="2:2" x14ac:dyDescent="0.35">
      <c r="B282" s="4"/>
    </row>
    <row r="283" spans="2:2" x14ac:dyDescent="0.35">
      <c r="B283" s="4"/>
    </row>
    <row r="284" spans="2:2" x14ac:dyDescent="0.35">
      <c r="B284" s="4"/>
    </row>
    <row r="285" spans="2:2" x14ac:dyDescent="0.35">
      <c r="B285" s="4"/>
    </row>
    <row r="286" spans="2:2" x14ac:dyDescent="0.35">
      <c r="B286" s="4"/>
    </row>
    <row r="287" spans="2:2" x14ac:dyDescent="0.35">
      <c r="B287" s="4"/>
    </row>
    <row r="288" spans="2:2" x14ac:dyDescent="0.35">
      <c r="B288" s="4"/>
    </row>
    <row r="289" spans="2:2" x14ac:dyDescent="0.35">
      <c r="B289" s="4"/>
    </row>
    <row r="290" spans="2:2" x14ac:dyDescent="0.35">
      <c r="B290" s="4"/>
    </row>
    <row r="291" spans="2:2" x14ac:dyDescent="0.35">
      <c r="B291" s="4"/>
    </row>
    <row r="292" spans="2:2" x14ac:dyDescent="0.35">
      <c r="B292" s="4"/>
    </row>
    <row r="293" spans="2:2" x14ac:dyDescent="0.35">
      <c r="B293" s="4"/>
    </row>
    <row r="294" spans="2:2" x14ac:dyDescent="0.35">
      <c r="B294" s="4"/>
    </row>
    <row r="295" spans="2:2" x14ac:dyDescent="0.35">
      <c r="B295" s="4"/>
    </row>
    <row r="296" spans="2:2" x14ac:dyDescent="0.35">
      <c r="B296" s="4"/>
    </row>
    <row r="297" spans="2:2" x14ac:dyDescent="0.35">
      <c r="B297" s="4"/>
    </row>
    <row r="298" spans="2:2" x14ac:dyDescent="0.35">
      <c r="B298" s="4"/>
    </row>
    <row r="299" spans="2:2" x14ac:dyDescent="0.35">
      <c r="B299" s="4"/>
    </row>
    <row r="300" spans="2:2" x14ac:dyDescent="0.35">
      <c r="B300" s="4"/>
    </row>
    <row r="301" spans="2:2" x14ac:dyDescent="0.35">
      <c r="B301" s="4"/>
    </row>
    <row r="302" spans="2:2" x14ac:dyDescent="0.35">
      <c r="B302" s="4"/>
    </row>
    <row r="303" spans="2:2" x14ac:dyDescent="0.35">
      <c r="B303" s="4"/>
    </row>
    <row r="304" spans="2:2" x14ac:dyDescent="0.35">
      <c r="B304" s="4"/>
    </row>
    <row r="305" spans="2:2" x14ac:dyDescent="0.35">
      <c r="B305" s="4"/>
    </row>
    <row r="306" spans="2:2" x14ac:dyDescent="0.35">
      <c r="B306" s="4"/>
    </row>
    <row r="307" spans="2:2" x14ac:dyDescent="0.35">
      <c r="B307" s="4"/>
    </row>
    <row r="308" spans="2:2" x14ac:dyDescent="0.35">
      <c r="B308" s="4"/>
    </row>
    <row r="309" spans="2:2" x14ac:dyDescent="0.35">
      <c r="B309" s="4"/>
    </row>
    <row r="310" spans="2:2" x14ac:dyDescent="0.35">
      <c r="B310" s="4"/>
    </row>
    <row r="311" spans="2:2" x14ac:dyDescent="0.35">
      <c r="B311" s="4"/>
    </row>
    <row r="312" spans="2:2" x14ac:dyDescent="0.35">
      <c r="B312" s="4"/>
    </row>
    <row r="313" spans="2:2" x14ac:dyDescent="0.35">
      <c r="B313" s="4"/>
    </row>
    <row r="314" spans="2:2" x14ac:dyDescent="0.35">
      <c r="B314" s="4"/>
    </row>
    <row r="315" spans="2:2" x14ac:dyDescent="0.35">
      <c r="B315" s="4"/>
    </row>
    <row r="316" spans="2:2" x14ac:dyDescent="0.35">
      <c r="B316" s="4"/>
    </row>
    <row r="317" spans="2:2" x14ac:dyDescent="0.35">
      <c r="B317" s="4"/>
    </row>
    <row r="318" spans="2:2" x14ac:dyDescent="0.35">
      <c r="B318" s="4"/>
    </row>
    <row r="319" spans="2:2" x14ac:dyDescent="0.35">
      <c r="B319" s="4"/>
    </row>
    <row r="320" spans="2:2" x14ac:dyDescent="0.35">
      <c r="B320" s="4"/>
    </row>
    <row r="321" spans="2:2" x14ac:dyDescent="0.35">
      <c r="B321" s="4"/>
    </row>
    <row r="322" spans="2:2" x14ac:dyDescent="0.35">
      <c r="B322" s="4"/>
    </row>
    <row r="323" spans="2:2" x14ac:dyDescent="0.35">
      <c r="B323" s="4"/>
    </row>
    <row r="324" spans="2:2" x14ac:dyDescent="0.35">
      <c r="B324" s="4"/>
    </row>
    <row r="325" spans="2:2" x14ac:dyDescent="0.35">
      <c r="B325" s="4"/>
    </row>
    <row r="326" spans="2:2" x14ac:dyDescent="0.35">
      <c r="B326" s="4"/>
    </row>
    <row r="327" spans="2:2" x14ac:dyDescent="0.35">
      <c r="B327" s="4"/>
    </row>
    <row r="328" spans="2:2" x14ac:dyDescent="0.35">
      <c r="B328" s="4"/>
    </row>
    <row r="329" spans="2:2" x14ac:dyDescent="0.35">
      <c r="B329" s="4"/>
    </row>
    <row r="330" spans="2:2" x14ac:dyDescent="0.35">
      <c r="B330" s="4"/>
    </row>
    <row r="331" spans="2:2" x14ac:dyDescent="0.35">
      <c r="B331" s="4"/>
    </row>
    <row r="332" spans="2:2" x14ac:dyDescent="0.35">
      <c r="B332" s="4"/>
    </row>
    <row r="333" spans="2:2" x14ac:dyDescent="0.35">
      <c r="B333" s="4"/>
    </row>
    <row r="334" spans="2:2" x14ac:dyDescent="0.35">
      <c r="B334" s="4"/>
    </row>
    <row r="335" spans="2:2" x14ac:dyDescent="0.35">
      <c r="B335" s="4"/>
    </row>
    <row r="336" spans="2:2" x14ac:dyDescent="0.35">
      <c r="B336" s="4"/>
    </row>
    <row r="337" spans="2:2" x14ac:dyDescent="0.35">
      <c r="B337" s="4"/>
    </row>
    <row r="338" spans="2:2" x14ac:dyDescent="0.35">
      <c r="B338" s="4"/>
    </row>
    <row r="339" spans="2:2" x14ac:dyDescent="0.35">
      <c r="B339" s="4"/>
    </row>
    <row r="340" spans="2:2" x14ac:dyDescent="0.35">
      <c r="B340" s="4"/>
    </row>
    <row r="341" spans="2:2" x14ac:dyDescent="0.35">
      <c r="B341" s="4"/>
    </row>
    <row r="342" spans="2:2" x14ac:dyDescent="0.35">
      <c r="B342" s="4"/>
    </row>
    <row r="343" spans="2:2" x14ac:dyDescent="0.35">
      <c r="B343" s="4"/>
    </row>
    <row r="344" spans="2:2" x14ac:dyDescent="0.35">
      <c r="B344" s="4"/>
    </row>
    <row r="345" spans="2:2" x14ac:dyDescent="0.35">
      <c r="B345" s="4"/>
    </row>
    <row r="346" spans="2:2" x14ac:dyDescent="0.35">
      <c r="B346" s="4"/>
    </row>
    <row r="347" spans="2:2" x14ac:dyDescent="0.35">
      <c r="B347" s="4"/>
    </row>
    <row r="348" spans="2:2" x14ac:dyDescent="0.35">
      <c r="B348" s="4"/>
    </row>
    <row r="349" spans="2:2" x14ac:dyDescent="0.35">
      <c r="B349" s="4"/>
    </row>
    <row r="350" spans="2:2" x14ac:dyDescent="0.35">
      <c r="B350" s="4"/>
    </row>
    <row r="351" spans="2:2" x14ac:dyDescent="0.35">
      <c r="B351" s="4"/>
    </row>
    <row r="352" spans="2:2" x14ac:dyDescent="0.35">
      <c r="B352" s="4"/>
    </row>
    <row r="353" spans="2:2" x14ac:dyDescent="0.35">
      <c r="B353" s="4"/>
    </row>
    <row r="354" spans="2:2" x14ac:dyDescent="0.35">
      <c r="B354" s="4"/>
    </row>
    <row r="355" spans="2:2" x14ac:dyDescent="0.35">
      <c r="B355" s="4"/>
    </row>
    <row r="356" spans="2:2" x14ac:dyDescent="0.35">
      <c r="B356" s="4"/>
    </row>
    <row r="357" spans="2:2" x14ac:dyDescent="0.35">
      <c r="B357" s="4"/>
    </row>
    <row r="358" spans="2:2" x14ac:dyDescent="0.35">
      <c r="B358" s="4"/>
    </row>
    <row r="359" spans="2:2" x14ac:dyDescent="0.35">
      <c r="B359" s="4"/>
    </row>
    <row r="360" spans="2:2" x14ac:dyDescent="0.35">
      <c r="B360" s="4"/>
    </row>
    <row r="361" spans="2:2" x14ac:dyDescent="0.35">
      <c r="B361" s="4"/>
    </row>
    <row r="362" spans="2:2" x14ac:dyDescent="0.35">
      <c r="B362" s="4"/>
    </row>
    <row r="363" spans="2:2" x14ac:dyDescent="0.35">
      <c r="B363" s="4"/>
    </row>
    <row r="364" spans="2:2" x14ac:dyDescent="0.35">
      <c r="B364" s="4"/>
    </row>
    <row r="365" spans="2:2" x14ac:dyDescent="0.35">
      <c r="B365" s="4"/>
    </row>
    <row r="366" spans="2:2" x14ac:dyDescent="0.35">
      <c r="B366" s="4"/>
    </row>
    <row r="367" spans="2:2" x14ac:dyDescent="0.35">
      <c r="B367" s="4"/>
    </row>
    <row r="368" spans="2:2" x14ac:dyDescent="0.35">
      <c r="B368" s="4"/>
    </row>
    <row r="369" spans="2:2" x14ac:dyDescent="0.35">
      <c r="B369" s="4"/>
    </row>
    <row r="370" spans="2:2" x14ac:dyDescent="0.35">
      <c r="B370" s="4"/>
    </row>
    <row r="371" spans="2:2" x14ac:dyDescent="0.35">
      <c r="B371" s="4"/>
    </row>
    <row r="372" spans="2:2" x14ac:dyDescent="0.35">
      <c r="B372" s="4"/>
    </row>
    <row r="373" spans="2:2" x14ac:dyDescent="0.35">
      <c r="B373" s="4"/>
    </row>
    <row r="374" spans="2:2" x14ac:dyDescent="0.35">
      <c r="B374" s="4"/>
    </row>
    <row r="375" spans="2:2" x14ac:dyDescent="0.35">
      <c r="B375" s="4"/>
    </row>
    <row r="376" spans="2:2" x14ac:dyDescent="0.35">
      <c r="B376" s="4"/>
    </row>
    <row r="377" spans="2:2" x14ac:dyDescent="0.35">
      <c r="B377" s="4"/>
    </row>
    <row r="378" spans="2:2" x14ac:dyDescent="0.35">
      <c r="B378" s="4"/>
    </row>
    <row r="379" spans="2:2" x14ac:dyDescent="0.35">
      <c r="B379" s="4"/>
    </row>
    <row r="380" spans="2:2" x14ac:dyDescent="0.35">
      <c r="B380" s="4"/>
    </row>
    <row r="381" spans="2:2" x14ac:dyDescent="0.35">
      <c r="B381" s="4"/>
    </row>
    <row r="382" spans="2:2" x14ac:dyDescent="0.35">
      <c r="B382" s="4"/>
    </row>
    <row r="383" spans="2:2" x14ac:dyDescent="0.35">
      <c r="B383" s="4"/>
    </row>
    <row r="384" spans="2:2" x14ac:dyDescent="0.35">
      <c r="B384" s="4"/>
    </row>
    <row r="385" spans="2:2" x14ac:dyDescent="0.35">
      <c r="B385" s="4"/>
    </row>
    <row r="386" spans="2:2" x14ac:dyDescent="0.35">
      <c r="B386" s="4"/>
    </row>
    <row r="387" spans="2:2" x14ac:dyDescent="0.35">
      <c r="B387" s="4"/>
    </row>
    <row r="388" spans="2:2" x14ac:dyDescent="0.35">
      <c r="B388" s="4"/>
    </row>
    <row r="389" spans="2:2" x14ac:dyDescent="0.35">
      <c r="B389" s="4"/>
    </row>
    <row r="390" spans="2:2" x14ac:dyDescent="0.35">
      <c r="B390" s="4"/>
    </row>
    <row r="391" spans="2:2" x14ac:dyDescent="0.35">
      <c r="B391" s="4"/>
    </row>
    <row r="392" spans="2:2" x14ac:dyDescent="0.35">
      <c r="B392" s="4"/>
    </row>
    <row r="393" spans="2:2" x14ac:dyDescent="0.35">
      <c r="B393" s="4"/>
    </row>
    <row r="394" spans="2:2" x14ac:dyDescent="0.35">
      <c r="B394" s="4"/>
    </row>
    <row r="395" spans="2:2" x14ac:dyDescent="0.35">
      <c r="B395" s="4"/>
    </row>
    <row r="396" spans="2:2" x14ac:dyDescent="0.35">
      <c r="B396" s="4"/>
    </row>
    <row r="397" spans="2:2" x14ac:dyDescent="0.35">
      <c r="B397" s="4"/>
    </row>
    <row r="398" spans="2:2" x14ac:dyDescent="0.35">
      <c r="B398" s="4"/>
    </row>
    <row r="399" spans="2:2" x14ac:dyDescent="0.35">
      <c r="B399" s="4"/>
    </row>
    <row r="400" spans="2:2" x14ac:dyDescent="0.35">
      <c r="B400" s="4"/>
    </row>
    <row r="401" spans="1:2" x14ac:dyDescent="0.35">
      <c r="B401" s="4"/>
    </row>
    <row r="402" spans="1:2" x14ac:dyDescent="0.35">
      <c r="B402" s="4"/>
    </row>
    <row r="403" spans="1:2" x14ac:dyDescent="0.35">
      <c r="B403" s="4"/>
    </row>
    <row r="404" spans="1:2" x14ac:dyDescent="0.35">
      <c r="B404" s="4"/>
    </row>
    <row r="405" spans="1:2" x14ac:dyDescent="0.35">
      <c r="B405" s="4"/>
    </row>
    <row r="406" spans="1:2" x14ac:dyDescent="0.35">
      <c r="B406" s="4"/>
    </row>
    <row r="407" spans="1:2" x14ac:dyDescent="0.35">
      <c r="B407" s="4"/>
    </row>
    <row r="408" spans="1:2" x14ac:dyDescent="0.35">
      <c r="B408" s="4"/>
    </row>
    <row r="409" spans="1:2" x14ac:dyDescent="0.35">
      <c r="A409" s="8"/>
      <c r="B409" s="4"/>
    </row>
    <row r="410" spans="1:2" x14ac:dyDescent="0.35">
      <c r="A410" s="8"/>
      <c r="B410" s="4"/>
    </row>
    <row r="411" spans="1:2" x14ac:dyDescent="0.35">
      <c r="A411" s="8"/>
      <c r="B411" s="4"/>
    </row>
    <row r="412" spans="1:2" x14ac:dyDescent="0.35">
      <c r="A412" s="8"/>
      <c r="B412" s="4"/>
    </row>
    <row r="413" spans="1:2" x14ac:dyDescent="0.35">
      <c r="A413" s="8"/>
      <c r="B413" s="4"/>
    </row>
    <row r="414" spans="1:2" x14ac:dyDescent="0.35">
      <c r="A414" s="8"/>
      <c r="B414" s="4"/>
    </row>
    <row r="415" spans="1:2" x14ac:dyDescent="0.35">
      <c r="A415" s="8"/>
      <c r="B415" s="4"/>
    </row>
    <row r="416" spans="1:2" x14ac:dyDescent="0.35">
      <c r="A416" s="8"/>
      <c r="B416" s="4"/>
    </row>
    <row r="417" spans="1:2" x14ac:dyDescent="0.35">
      <c r="A417" s="8"/>
      <c r="B417" s="4"/>
    </row>
    <row r="418" spans="1:2" x14ac:dyDescent="0.35">
      <c r="A418" s="8"/>
      <c r="B418" s="4"/>
    </row>
    <row r="419" spans="1:2" x14ac:dyDescent="0.35">
      <c r="A419" s="8"/>
      <c r="B419" s="4"/>
    </row>
    <row r="420" spans="1:2" x14ac:dyDescent="0.35">
      <c r="A420" s="8"/>
      <c r="B420" s="4"/>
    </row>
    <row r="421" spans="1:2" x14ac:dyDescent="0.35">
      <c r="A421" s="8"/>
      <c r="B421" s="4"/>
    </row>
    <row r="422" spans="1:2" x14ac:dyDescent="0.35">
      <c r="A422" s="8"/>
      <c r="B422" s="4"/>
    </row>
    <row r="423" spans="1:2" x14ac:dyDescent="0.35">
      <c r="A423" s="8"/>
      <c r="B423" s="4"/>
    </row>
    <row r="424" spans="1:2" x14ac:dyDescent="0.35">
      <c r="A424" s="8"/>
      <c r="B424" s="4"/>
    </row>
    <row r="425" spans="1:2" x14ac:dyDescent="0.35">
      <c r="A425" s="8"/>
      <c r="B425" s="4"/>
    </row>
    <row r="426" spans="1:2" x14ac:dyDescent="0.35">
      <c r="A426" s="8"/>
      <c r="B426" s="4"/>
    </row>
    <row r="427" spans="1:2" x14ac:dyDescent="0.35">
      <c r="A427" s="8"/>
      <c r="B427" s="4"/>
    </row>
    <row r="428" spans="1:2" x14ac:dyDescent="0.35">
      <c r="A428" s="8"/>
      <c r="B428" s="4"/>
    </row>
    <row r="429" spans="1:2" x14ac:dyDescent="0.35">
      <c r="A429" s="8"/>
      <c r="B429" s="4"/>
    </row>
    <row r="430" spans="1:2" x14ac:dyDescent="0.35">
      <c r="A430" s="8"/>
      <c r="B430" s="4"/>
    </row>
    <row r="431" spans="1:2" x14ac:dyDescent="0.35">
      <c r="A431" s="8"/>
      <c r="B431" s="4"/>
    </row>
    <row r="432" spans="1:2" x14ac:dyDescent="0.35">
      <c r="A432" s="8"/>
      <c r="B432" s="4"/>
    </row>
    <row r="433" spans="1:2" x14ac:dyDescent="0.35">
      <c r="A433" s="8"/>
      <c r="B433" s="4"/>
    </row>
    <row r="434" spans="1:2" x14ac:dyDescent="0.35">
      <c r="A434" s="8"/>
      <c r="B434" s="4"/>
    </row>
    <row r="435" spans="1:2" x14ac:dyDescent="0.35">
      <c r="A435" s="8"/>
      <c r="B435" s="4"/>
    </row>
    <row r="436" spans="1:2" x14ac:dyDescent="0.35">
      <c r="A436" s="8"/>
      <c r="B436" s="4"/>
    </row>
    <row r="437" spans="1:2" x14ac:dyDescent="0.35">
      <c r="A437" s="8"/>
      <c r="B437" s="4"/>
    </row>
    <row r="438" spans="1:2" x14ac:dyDescent="0.35">
      <c r="A438" s="8"/>
      <c r="B438" s="4"/>
    </row>
    <row r="439" spans="1:2" x14ac:dyDescent="0.35">
      <c r="A439" s="8"/>
      <c r="B439" s="4"/>
    </row>
    <row r="440" spans="1:2" x14ac:dyDescent="0.35">
      <c r="A440" s="8"/>
      <c r="B440" s="4"/>
    </row>
    <row r="441" spans="1:2" x14ac:dyDescent="0.35">
      <c r="A441" s="8"/>
      <c r="B441" s="4"/>
    </row>
    <row r="442" spans="1:2" x14ac:dyDescent="0.35">
      <c r="A442" s="8"/>
      <c r="B442" s="4"/>
    </row>
    <row r="443" spans="1:2" x14ac:dyDescent="0.35">
      <c r="A443" s="8"/>
      <c r="B443" s="4"/>
    </row>
    <row r="444" spans="1:2" x14ac:dyDescent="0.35">
      <c r="A444" s="8"/>
      <c r="B444" s="4"/>
    </row>
    <row r="445" spans="1:2" x14ac:dyDescent="0.35">
      <c r="A445" s="8"/>
      <c r="B445" s="4"/>
    </row>
    <row r="446" spans="1:2" x14ac:dyDescent="0.35">
      <c r="A446" s="8"/>
      <c r="B446" s="4"/>
    </row>
    <row r="447" spans="1:2" x14ac:dyDescent="0.35">
      <c r="A447" s="8"/>
      <c r="B447" s="4"/>
    </row>
    <row r="448" spans="1:2" x14ac:dyDescent="0.35">
      <c r="A448" s="8"/>
      <c r="B448" s="4"/>
    </row>
    <row r="449" spans="1:2" x14ac:dyDescent="0.35">
      <c r="A449" s="8"/>
      <c r="B449" s="4"/>
    </row>
    <row r="450" spans="1:2" x14ac:dyDescent="0.35">
      <c r="A450" s="8"/>
      <c r="B450" s="4"/>
    </row>
    <row r="451" spans="1:2" x14ac:dyDescent="0.35">
      <c r="A451" s="8"/>
      <c r="B451" s="4"/>
    </row>
    <row r="452" spans="1:2" x14ac:dyDescent="0.35">
      <c r="A452" s="8"/>
      <c r="B452" s="4"/>
    </row>
    <row r="453" spans="1:2" x14ac:dyDescent="0.35">
      <c r="A453" s="8"/>
      <c r="B453" s="4"/>
    </row>
    <row r="454" spans="1:2" x14ac:dyDescent="0.35">
      <c r="A454" s="8"/>
      <c r="B454" s="4"/>
    </row>
    <row r="455" spans="1:2" x14ac:dyDescent="0.35">
      <c r="A455" s="8"/>
      <c r="B455" s="4"/>
    </row>
    <row r="456" spans="1:2" x14ac:dyDescent="0.35">
      <c r="A456" s="8"/>
      <c r="B456" s="4"/>
    </row>
    <row r="457" spans="1:2" x14ac:dyDescent="0.35">
      <c r="A457" s="8"/>
      <c r="B457" s="4"/>
    </row>
    <row r="458" spans="1:2" x14ac:dyDescent="0.35">
      <c r="A458" s="8"/>
      <c r="B458" s="4"/>
    </row>
    <row r="459" spans="1:2" x14ac:dyDescent="0.35">
      <c r="A459" s="8"/>
      <c r="B459" s="4"/>
    </row>
    <row r="460" spans="1:2" x14ac:dyDescent="0.35">
      <c r="A460" s="8"/>
      <c r="B460" s="4"/>
    </row>
    <row r="461" spans="1:2" x14ac:dyDescent="0.35">
      <c r="A461" s="8"/>
      <c r="B461" s="4"/>
    </row>
    <row r="462" spans="1:2" x14ac:dyDescent="0.35">
      <c r="A462" s="8"/>
      <c r="B462" s="4"/>
    </row>
    <row r="463" spans="1:2" x14ac:dyDescent="0.35">
      <c r="A463" s="8"/>
      <c r="B463" s="4"/>
    </row>
    <row r="464" spans="1:2" x14ac:dyDescent="0.35">
      <c r="A464" s="8"/>
      <c r="B464" s="4"/>
    </row>
    <row r="465" spans="1:2" x14ac:dyDescent="0.35">
      <c r="A465" s="8"/>
      <c r="B465" s="4"/>
    </row>
    <row r="466" spans="1:2" x14ac:dyDescent="0.35">
      <c r="A466" s="8"/>
      <c r="B466" s="4"/>
    </row>
    <row r="467" spans="1:2" x14ac:dyDescent="0.35">
      <c r="A467" s="8"/>
      <c r="B467" s="4"/>
    </row>
    <row r="468" spans="1:2" x14ac:dyDescent="0.35">
      <c r="A468" s="8"/>
      <c r="B468" s="4"/>
    </row>
    <row r="469" spans="1:2" x14ac:dyDescent="0.35">
      <c r="A469" s="8"/>
      <c r="B469" s="4"/>
    </row>
    <row r="470" spans="1:2" x14ac:dyDescent="0.35">
      <c r="A470" s="8"/>
      <c r="B470" s="4"/>
    </row>
    <row r="471" spans="1:2" x14ac:dyDescent="0.35">
      <c r="A471" s="8"/>
      <c r="B471" s="4"/>
    </row>
    <row r="472" spans="1:2" x14ac:dyDescent="0.35">
      <c r="A472" s="8"/>
      <c r="B472" s="4"/>
    </row>
    <row r="473" spans="1:2" x14ac:dyDescent="0.35">
      <c r="A473" s="8"/>
      <c r="B473" s="4"/>
    </row>
    <row r="474" spans="1:2" x14ac:dyDescent="0.35">
      <c r="A474" s="8"/>
      <c r="B474" s="4"/>
    </row>
    <row r="475" spans="1:2" x14ac:dyDescent="0.35">
      <c r="A475" s="8"/>
      <c r="B475" s="4"/>
    </row>
    <row r="476" spans="1:2" x14ac:dyDescent="0.35">
      <c r="A476" s="8"/>
      <c r="B476" s="4"/>
    </row>
    <row r="477" spans="1:2" x14ac:dyDescent="0.35">
      <c r="A477" s="8"/>
      <c r="B477" s="4"/>
    </row>
    <row r="478" spans="1:2" x14ac:dyDescent="0.35">
      <c r="A478" s="8"/>
      <c r="B478" s="4"/>
    </row>
    <row r="479" spans="1:2" x14ac:dyDescent="0.35">
      <c r="A479" s="8"/>
      <c r="B479" s="4"/>
    </row>
    <row r="480" spans="1:2" x14ac:dyDescent="0.35">
      <c r="A480" s="8"/>
      <c r="B480" s="4"/>
    </row>
    <row r="481" spans="1:2" x14ac:dyDescent="0.35">
      <c r="A481" s="8"/>
      <c r="B481" s="4"/>
    </row>
    <row r="482" spans="1:2" x14ac:dyDescent="0.35">
      <c r="A482" s="8"/>
      <c r="B482" s="4"/>
    </row>
    <row r="483" spans="1:2" x14ac:dyDescent="0.35">
      <c r="A483" s="8"/>
      <c r="B483" s="4"/>
    </row>
    <row r="484" spans="1:2" x14ac:dyDescent="0.35">
      <c r="A484" s="8"/>
      <c r="B484" s="4"/>
    </row>
    <row r="485" spans="1:2" x14ac:dyDescent="0.35">
      <c r="A485" s="8"/>
      <c r="B485" s="4"/>
    </row>
    <row r="486" spans="1:2" x14ac:dyDescent="0.35">
      <c r="A486" s="8"/>
      <c r="B486" s="4"/>
    </row>
    <row r="487" spans="1:2" x14ac:dyDescent="0.35">
      <c r="A487" s="8"/>
      <c r="B487" s="4"/>
    </row>
    <row r="488" spans="1:2" x14ac:dyDescent="0.35">
      <c r="A488" s="8"/>
      <c r="B488" s="4"/>
    </row>
    <row r="489" spans="1:2" x14ac:dyDescent="0.35">
      <c r="A489" s="8"/>
      <c r="B489" s="4"/>
    </row>
    <row r="490" spans="1:2" x14ac:dyDescent="0.35">
      <c r="A490" s="8"/>
      <c r="B490" s="4"/>
    </row>
    <row r="491" spans="1:2" x14ac:dyDescent="0.35">
      <c r="A491" s="8"/>
      <c r="B491" s="4"/>
    </row>
    <row r="492" spans="1:2" x14ac:dyDescent="0.35">
      <c r="A492" s="8"/>
      <c r="B492" s="4"/>
    </row>
    <row r="493" spans="1:2" x14ac:dyDescent="0.35">
      <c r="A493" s="8"/>
      <c r="B493" s="4"/>
    </row>
    <row r="494" spans="1:2" x14ac:dyDescent="0.35">
      <c r="A494" s="8"/>
      <c r="B494" s="4"/>
    </row>
    <row r="495" spans="1:2" x14ac:dyDescent="0.35">
      <c r="A495" s="8"/>
      <c r="B495" s="4"/>
    </row>
    <row r="496" spans="1:2" x14ac:dyDescent="0.35">
      <c r="A496" s="8"/>
      <c r="B496" s="4"/>
    </row>
    <row r="497" spans="1:2" x14ac:dyDescent="0.35">
      <c r="A497" s="8"/>
      <c r="B497" s="4"/>
    </row>
    <row r="498" spans="1:2" x14ac:dyDescent="0.35">
      <c r="A498" s="8"/>
      <c r="B498" s="4"/>
    </row>
    <row r="499" spans="1:2" x14ac:dyDescent="0.35">
      <c r="A499" s="8"/>
      <c r="B499" s="4"/>
    </row>
    <row r="500" spans="1:2" x14ac:dyDescent="0.35">
      <c r="A500" s="8"/>
      <c r="B500" s="4"/>
    </row>
    <row r="501" spans="1:2" x14ac:dyDescent="0.35">
      <c r="A501" s="8"/>
      <c r="B501" s="4"/>
    </row>
    <row r="502" spans="1:2" x14ac:dyDescent="0.35">
      <c r="A502" s="8"/>
      <c r="B502" s="4"/>
    </row>
    <row r="503" spans="1:2" x14ac:dyDescent="0.35">
      <c r="A503" s="8"/>
      <c r="B503" s="4"/>
    </row>
    <row r="504" spans="1:2" x14ac:dyDescent="0.35">
      <c r="A504" s="8"/>
      <c r="B504" s="4"/>
    </row>
    <row r="505" spans="1:2" x14ac:dyDescent="0.35">
      <c r="A505" s="8"/>
      <c r="B505" s="4"/>
    </row>
    <row r="506" spans="1:2" x14ac:dyDescent="0.35">
      <c r="A506" s="8"/>
      <c r="B506" s="4"/>
    </row>
    <row r="507" spans="1:2" x14ac:dyDescent="0.35">
      <c r="A507" s="8"/>
      <c r="B507" s="4"/>
    </row>
    <row r="508" spans="1:2" x14ac:dyDescent="0.35">
      <c r="A508" s="8"/>
      <c r="B508" s="4"/>
    </row>
    <row r="509" spans="1:2" x14ac:dyDescent="0.35">
      <c r="A509" s="8"/>
      <c r="B509" s="4"/>
    </row>
    <row r="510" spans="1:2" x14ac:dyDescent="0.35">
      <c r="A510" s="8"/>
      <c r="B510" s="4"/>
    </row>
    <row r="511" spans="1:2" x14ac:dyDescent="0.35">
      <c r="A511" s="8"/>
      <c r="B511" s="4"/>
    </row>
    <row r="512" spans="1:2" x14ac:dyDescent="0.35">
      <c r="A512" s="8"/>
      <c r="B512" s="4"/>
    </row>
    <row r="513" spans="1:2" x14ac:dyDescent="0.35">
      <c r="A513" s="8"/>
      <c r="B513" s="4"/>
    </row>
    <row r="514" spans="1:2" x14ac:dyDescent="0.35">
      <c r="A514" s="8"/>
      <c r="B514" s="4"/>
    </row>
    <row r="515" spans="1:2" x14ac:dyDescent="0.35">
      <c r="A515" s="8"/>
      <c r="B515" s="4"/>
    </row>
    <row r="516" spans="1:2" x14ac:dyDescent="0.35">
      <c r="A516" s="8"/>
      <c r="B516" s="4"/>
    </row>
    <row r="517" spans="1:2" x14ac:dyDescent="0.35">
      <c r="A517" s="8"/>
      <c r="B517" s="4"/>
    </row>
    <row r="518" spans="1:2" x14ac:dyDescent="0.35">
      <c r="A518" s="8"/>
      <c r="B518" s="4"/>
    </row>
    <row r="519" spans="1:2" x14ac:dyDescent="0.35">
      <c r="A519" s="8"/>
      <c r="B519" s="4"/>
    </row>
    <row r="520" spans="1:2" x14ac:dyDescent="0.35">
      <c r="A520" s="8"/>
      <c r="B520" s="4"/>
    </row>
    <row r="521" spans="1:2" x14ac:dyDescent="0.35">
      <c r="A521" s="8"/>
      <c r="B521" s="4"/>
    </row>
    <row r="522" spans="1:2" x14ac:dyDescent="0.35">
      <c r="A522" s="8"/>
      <c r="B522" s="4"/>
    </row>
    <row r="523" spans="1:2" x14ac:dyDescent="0.35">
      <c r="A523" s="8"/>
      <c r="B523" s="4"/>
    </row>
    <row r="524" spans="1:2" x14ac:dyDescent="0.35">
      <c r="A524" s="8"/>
      <c r="B524" s="4"/>
    </row>
    <row r="525" spans="1:2" x14ac:dyDescent="0.35">
      <c r="A525" s="8"/>
      <c r="B525" s="4"/>
    </row>
    <row r="526" spans="1:2" x14ac:dyDescent="0.35">
      <c r="A526" s="8"/>
      <c r="B526" s="4"/>
    </row>
    <row r="527" spans="1:2" x14ac:dyDescent="0.35">
      <c r="A527" s="8"/>
      <c r="B527" s="4"/>
    </row>
    <row r="528" spans="1:2" x14ac:dyDescent="0.35">
      <c r="A528" s="8"/>
      <c r="B528" s="4"/>
    </row>
    <row r="529" spans="1:2" x14ac:dyDescent="0.35">
      <c r="A529" s="8"/>
      <c r="B529" s="4"/>
    </row>
    <row r="530" spans="1:2" x14ac:dyDescent="0.35">
      <c r="A530" s="8"/>
      <c r="B530" s="4"/>
    </row>
    <row r="531" spans="1:2" x14ac:dyDescent="0.35">
      <c r="A531" s="8"/>
      <c r="B531" s="4"/>
    </row>
    <row r="532" spans="1:2" x14ac:dyDescent="0.35">
      <c r="A532" s="8"/>
      <c r="B532" s="4"/>
    </row>
    <row r="533" spans="1:2" x14ac:dyDescent="0.35">
      <c r="A533" s="8"/>
      <c r="B533" s="4"/>
    </row>
    <row r="534" spans="1:2" x14ac:dyDescent="0.35">
      <c r="A534" s="8"/>
      <c r="B534" s="4"/>
    </row>
    <row r="535" spans="1:2" x14ac:dyDescent="0.35">
      <c r="A535" s="8"/>
      <c r="B535" s="4"/>
    </row>
    <row r="536" spans="1:2" x14ac:dyDescent="0.35">
      <c r="A536" s="8"/>
      <c r="B536" s="4"/>
    </row>
    <row r="537" spans="1:2" x14ac:dyDescent="0.35">
      <c r="A537" s="8"/>
      <c r="B537" s="4"/>
    </row>
    <row r="538" spans="1:2" x14ac:dyDescent="0.35">
      <c r="A538" s="8"/>
      <c r="B538" s="4"/>
    </row>
    <row r="539" spans="1:2" x14ac:dyDescent="0.35">
      <c r="A539" s="8"/>
      <c r="B539" s="4"/>
    </row>
    <row r="540" spans="1:2" x14ac:dyDescent="0.35">
      <c r="A540" s="8"/>
      <c r="B540" s="4"/>
    </row>
    <row r="541" spans="1:2" x14ac:dyDescent="0.35">
      <c r="A541" s="8"/>
      <c r="B541" s="4"/>
    </row>
    <row r="542" spans="1:2" x14ac:dyDescent="0.35">
      <c r="A542" s="8"/>
      <c r="B542" s="4"/>
    </row>
    <row r="543" spans="1:2" x14ac:dyDescent="0.35">
      <c r="A543" s="8"/>
      <c r="B543" s="4"/>
    </row>
    <row r="544" spans="1:2" x14ac:dyDescent="0.35">
      <c r="A544" s="8"/>
      <c r="B544" s="4"/>
    </row>
    <row r="545" spans="1:2" x14ac:dyDescent="0.35">
      <c r="A545" s="8"/>
      <c r="B545" s="4"/>
    </row>
    <row r="546" spans="1:2" x14ac:dyDescent="0.35">
      <c r="A546" s="8"/>
      <c r="B546" s="4"/>
    </row>
    <row r="547" spans="1:2" x14ac:dyDescent="0.35">
      <c r="A547" s="8"/>
      <c r="B547" s="4"/>
    </row>
    <row r="548" spans="1:2" x14ac:dyDescent="0.35">
      <c r="A548" s="8"/>
      <c r="B548" s="4"/>
    </row>
    <row r="549" spans="1:2" x14ac:dyDescent="0.35">
      <c r="A549" s="8"/>
      <c r="B549" s="4"/>
    </row>
    <row r="550" spans="1:2" x14ac:dyDescent="0.35">
      <c r="A550" s="8"/>
      <c r="B550" s="4"/>
    </row>
    <row r="551" spans="1:2" x14ac:dyDescent="0.35">
      <c r="A551" s="8"/>
      <c r="B551" s="4"/>
    </row>
    <row r="552" spans="1:2" x14ac:dyDescent="0.35">
      <c r="A552" s="8"/>
      <c r="B552" s="4"/>
    </row>
    <row r="553" spans="1:2" x14ac:dyDescent="0.35">
      <c r="A553" s="8"/>
      <c r="B553" s="4"/>
    </row>
    <row r="554" spans="1:2" x14ac:dyDescent="0.35">
      <c r="A554" s="8"/>
      <c r="B554" s="4"/>
    </row>
    <row r="555" spans="1:2" x14ac:dyDescent="0.35">
      <c r="A555" s="8"/>
      <c r="B555" s="4"/>
    </row>
    <row r="556" spans="1:2" x14ac:dyDescent="0.35">
      <c r="A556" s="8"/>
      <c r="B556" s="4"/>
    </row>
    <row r="557" spans="1:2" x14ac:dyDescent="0.35">
      <c r="A557" s="8"/>
      <c r="B557" s="4"/>
    </row>
    <row r="558" spans="1:2" x14ac:dyDescent="0.35">
      <c r="A558" s="8"/>
      <c r="B558" s="4"/>
    </row>
    <row r="559" spans="1:2" x14ac:dyDescent="0.35">
      <c r="A559" s="8"/>
      <c r="B559" s="4"/>
    </row>
    <row r="560" spans="1:2" x14ac:dyDescent="0.35">
      <c r="A560" s="8"/>
      <c r="B560" s="4"/>
    </row>
    <row r="561" spans="1:2" x14ac:dyDescent="0.35">
      <c r="A561" s="8"/>
      <c r="B561" s="4"/>
    </row>
    <row r="562" spans="1:2" x14ac:dyDescent="0.35">
      <c r="A562" s="8"/>
      <c r="B562" s="4"/>
    </row>
    <row r="563" spans="1:2" x14ac:dyDescent="0.35">
      <c r="A563" s="8"/>
      <c r="B563" s="4"/>
    </row>
    <row r="564" spans="1:2" x14ac:dyDescent="0.35">
      <c r="A564" s="8"/>
      <c r="B564" s="4"/>
    </row>
    <row r="565" spans="1:2" x14ac:dyDescent="0.35">
      <c r="A565" s="8"/>
      <c r="B565" s="4"/>
    </row>
    <row r="566" spans="1:2" x14ac:dyDescent="0.35">
      <c r="A566" s="8"/>
      <c r="B566" s="4"/>
    </row>
    <row r="567" spans="1:2" x14ac:dyDescent="0.35">
      <c r="A567" s="8"/>
      <c r="B567" s="4"/>
    </row>
    <row r="568" spans="1:2" x14ac:dyDescent="0.35">
      <c r="A568" s="8"/>
      <c r="B568" s="4"/>
    </row>
    <row r="569" spans="1:2" x14ac:dyDescent="0.35">
      <c r="A569" s="8"/>
      <c r="B569" s="4"/>
    </row>
    <row r="570" spans="1:2" x14ac:dyDescent="0.35">
      <c r="A570" s="8"/>
      <c r="B570" s="4"/>
    </row>
    <row r="571" spans="1:2" x14ac:dyDescent="0.35">
      <c r="A571" s="8"/>
      <c r="B571" s="4"/>
    </row>
    <row r="572" spans="1:2" x14ac:dyDescent="0.35">
      <c r="A572" s="8"/>
      <c r="B572" s="4"/>
    </row>
    <row r="573" spans="1:2" x14ac:dyDescent="0.35">
      <c r="A573" s="8"/>
      <c r="B573" s="4"/>
    </row>
    <row r="574" spans="1:2" x14ac:dyDescent="0.35">
      <c r="A574" s="8"/>
      <c r="B574" s="4"/>
    </row>
    <row r="575" spans="1:2" x14ac:dyDescent="0.35">
      <c r="A575" s="8"/>
      <c r="B575" s="4"/>
    </row>
    <row r="576" spans="1:2" x14ac:dyDescent="0.35">
      <c r="A576" s="8"/>
      <c r="B576" s="4"/>
    </row>
    <row r="577" spans="1:2" x14ac:dyDescent="0.35">
      <c r="A577" s="8"/>
      <c r="B577" s="4"/>
    </row>
    <row r="578" spans="1:2" x14ac:dyDescent="0.35">
      <c r="A578" s="8"/>
      <c r="B578" s="4"/>
    </row>
    <row r="579" spans="1:2" x14ac:dyDescent="0.35">
      <c r="A579" s="8"/>
      <c r="B579" s="4"/>
    </row>
    <row r="580" spans="1:2" x14ac:dyDescent="0.35">
      <c r="A580" s="8"/>
      <c r="B580" s="4"/>
    </row>
    <row r="581" spans="1:2" x14ac:dyDescent="0.35">
      <c r="A581" s="8"/>
      <c r="B581" s="4"/>
    </row>
    <row r="582" spans="1:2" x14ac:dyDescent="0.35">
      <c r="A582" s="8"/>
      <c r="B582" s="4"/>
    </row>
    <row r="583" spans="1:2" x14ac:dyDescent="0.35">
      <c r="A583" s="8"/>
      <c r="B583" s="4"/>
    </row>
    <row r="584" spans="1:2" x14ac:dyDescent="0.35">
      <c r="A584" s="8"/>
      <c r="B584" s="4"/>
    </row>
    <row r="585" spans="1:2" x14ac:dyDescent="0.35">
      <c r="A585" s="8"/>
      <c r="B585" s="4"/>
    </row>
    <row r="586" spans="1:2" x14ac:dyDescent="0.35">
      <c r="A586" s="8"/>
      <c r="B586" s="4"/>
    </row>
    <row r="587" spans="1:2" x14ac:dyDescent="0.35">
      <c r="A587" s="8"/>
      <c r="B587" s="4"/>
    </row>
    <row r="588" spans="1:2" x14ac:dyDescent="0.35">
      <c r="A588" s="8"/>
      <c r="B588" s="4"/>
    </row>
    <row r="589" spans="1:2" x14ac:dyDescent="0.35">
      <c r="A589" s="8"/>
      <c r="B589" s="4"/>
    </row>
    <row r="590" spans="1:2" x14ac:dyDescent="0.35">
      <c r="A590" s="8"/>
      <c r="B590" s="4"/>
    </row>
    <row r="591" spans="1:2" x14ac:dyDescent="0.35">
      <c r="A591" s="8"/>
      <c r="B591" s="4"/>
    </row>
    <row r="592" spans="1:2" x14ac:dyDescent="0.35">
      <c r="A592" s="8"/>
      <c r="B592" s="4"/>
    </row>
    <row r="593" spans="1:2" x14ac:dyDescent="0.35">
      <c r="A593" s="8"/>
      <c r="B593" s="4"/>
    </row>
    <row r="594" spans="1:2" x14ac:dyDescent="0.35">
      <c r="A594" s="8"/>
      <c r="B594" s="4"/>
    </row>
    <row r="595" spans="1:2" x14ac:dyDescent="0.35">
      <c r="A595" s="8"/>
      <c r="B595" s="4"/>
    </row>
    <row r="596" spans="1:2" x14ac:dyDescent="0.35">
      <c r="A596" s="8"/>
      <c r="B596" s="4"/>
    </row>
    <row r="597" spans="1:2" x14ac:dyDescent="0.35">
      <c r="A597" s="8"/>
      <c r="B597" s="4"/>
    </row>
    <row r="598" spans="1:2" x14ac:dyDescent="0.35">
      <c r="A598" s="8"/>
      <c r="B598" s="4"/>
    </row>
    <row r="599" spans="1:2" x14ac:dyDescent="0.35">
      <c r="A599" s="8"/>
      <c r="B599" s="4"/>
    </row>
    <row r="600" spans="1:2" x14ac:dyDescent="0.35">
      <c r="A600" s="8"/>
      <c r="B600" s="4"/>
    </row>
    <row r="601" spans="1:2" x14ac:dyDescent="0.35">
      <c r="A601" s="8"/>
      <c r="B601" s="4"/>
    </row>
    <row r="602" spans="1:2" x14ac:dyDescent="0.35">
      <c r="A602" s="8"/>
      <c r="B602" s="4"/>
    </row>
    <row r="603" spans="1:2" x14ac:dyDescent="0.35">
      <c r="A603" s="8"/>
      <c r="B603" s="4"/>
    </row>
    <row r="604" spans="1:2" x14ac:dyDescent="0.35">
      <c r="A604" s="8"/>
      <c r="B604" s="4"/>
    </row>
    <row r="605" spans="1:2" x14ac:dyDescent="0.35">
      <c r="A605" s="8"/>
      <c r="B605" s="4"/>
    </row>
    <row r="606" spans="1:2" x14ac:dyDescent="0.35">
      <c r="A606" s="8"/>
      <c r="B606" s="4"/>
    </row>
    <row r="607" spans="1:2" x14ac:dyDescent="0.35">
      <c r="A607" s="8"/>
      <c r="B607" s="4"/>
    </row>
    <row r="608" spans="1:2" x14ac:dyDescent="0.35">
      <c r="A608" s="8"/>
      <c r="B608" s="4"/>
    </row>
    <row r="609" spans="1:2" x14ac:dyDescent="0.35">
      <c r="A609" s="8"/>
      <c r="B609" s="4"/>
    </row>
    <row r="610" spans="1:2" x14ac:dyDescent="0.35">
      <c r="A610" s="8"/>
      <c r="B610" s="4"/>
    </row>
    <row r="611" spans="1:2" x14ac:dyDescent="0.35">
      <c r="A611" s="8"/>
      <c r="B611" s="4"/>
    </row>
    <row r="612" spans="1:2" x14ac:dyDescent="0.35">
      <c r="A612" s="8"/>
      <c r="B612" s="4"/>
    </row>
    <row r="613" spans="1:2" x14ac:dyDescent="0.35">
      <c r="A613" s="8"/>
      <c r="B613" s="4"/>
    </row>
    <row r="614" spans="1:2" x14ac:dyDescent="0.35">
      <c r="A614" s="8"/>
      <c r="B614" s="4"/>
    </row>
    <row r="615" spans="1:2" x14ac:dyDescent="0.35">
      <c r="A615" s="8"/>
      <c r="B615" s="4"/>
    </row>
    <row r="616" spans="1:2" x14ac:dyDescent="0.35">
      <c r="A616" s="8"/>
      <c r="B616" s="4"/>
    </row>
    <row r="617" spans="1:2" x14ac:dyDescent="0.35">
      <c r="A617" s="8"/>
      <c r="B617" s="4"/>
    </row>
    <row r="618" spans="1:2" x14ac:dyDescent="0.35">
      <c r="A618" s="8"/>
      <c r="B618" s="4"/>
    </row>
    <row r="619" spans="1:2" x14ac:dyDescent="0.35">
      <c r="A619" s="8"/>
      <c r="B619" s="4"/>
    </row>
    <row r="620" spans="1:2" x14ac:dyDescent="0.35">
      <c r="A620" s="8"/>
      <c r="B620" s="4"/>
    </row>
    <row r="621" spans="1:2" x14ac:dyDescent="0.35">
      <c r="A621" s="8"/>
      <c r="B621" s="4"/>
    </row>
    <row r="622" spans="1:2" x14ac:dyDescent="0.35">
      <c r="A622" s="8"/>
      <c r="B622" s="4"/>
    </row>
    <row r="623" spans="1:2" x14ac:dyDescent="0.35">
      <c r="A623" s="8"/>
      <c r="B623" s="4"/>
    </row>
    <row r="624" spans="1:2" x14ac:dyDescent="0.35">
      <c r="A624" s="8"/>
      <c r="B624" s="4"/>
    </row>
    <row r="625" spans="1:2" x14ac:dyDescent="0.35">
      <c r="A625" s="8"/>
      <c r="B625" s="4"/>
    </row>
    <row r="626" spans="1:2" x14ac:dyDescent="0.35">
      <c r="A626" s="8"/>
      <c r="B626" s="4"/>
    </row>
    <row r="627" spans="1:2" x14ac:dyDescent="0.35">
      <c r="A627" s="8"/>
      <c r="B627" s="4"/>
    </row>
    <row r="628" spans="1:2" x14ac:dyDescent="0.35">
      <c r="A628" s="8"/>
      <c r="B628" s="4"/>
    </row>
    <row r="629" spans="1:2" x14ac:dyDescent="0.35">
      <c r="A629" s="8"/>
      <c r="B629" s="4"/>
    </row>
    <row r="630" spans="1:2" x14ac:dyDescent="0.35">
      <c r="A630" s="8"/>
      <c r="B630" s="4"/>
    </row>
    <row r="631" spans="1:2" x14ac:dyDescent="0.35">
      <c r="A631" s="8"/>
      <c r="B631" s="4"/>
    </row>
    <row r="632" spans="1:2" x14ac:dyDescent="0.35">
      <c r="A632" s="8"/>
      <c r="B632" s="4"/>
    </row>
    <row r="633" spans="1:2" x14ac:dyDescent="0.35">
      <c r="A633" s="8"/>
      <c r="B633" s="4"/>
    </row>
    <row r="634" spans="1:2" x14ac:dyDescent="0.35">
      <c r="A634" s="8"/>
      <c r="B634" s="4"/>
    </row>
    <row r="635" spans="1:2" x14ac:dyDescent="0.35">
      <c r="A635" s="8"/>
      <c r="B635" s="4"/>
    </row>
    <row r="636" spans="1:2" x14ac:dyDescent="0.35">
      <c r="A636" s="8"/>
      <c r="B636" s="4"/>
    </row>
    <row r="637" spans="1:2" x14ac:dyDescent="0.35">
      <c r="A637" s="8"/>
      <c r="B637" s="4"/>
    </row>
    <row r="638" spans="1:2" x14ac:dyDescent="0.35">
      <c r="A638" s="8"/>
      <c r="B638" s="4"/>
    </row>
    <row r="639" spans="1:2" x14ac:dyDescent="0.35">
      <c r="A639" s="8"/>
      <c r="B639" s="4"/>
    </row>
    <row r="640" spans="1:2" x14ac:dyDescent="0.35">
      <c r="A640" s="8"/>
      <c r="B640" s="4"/>
    </row>
    <row r="641" spans="1:2" x14ac:dyDescent="0.35">
      <c r="A641" s="8"/>
      <c r="B641" s="4"/>
    </row>
    <row r="642" spans="1:2" x14ac:dyDescent="0.35">
      <c r="A642" s="8"/>
      <c r="B642" s="4"/>
    </row>
    <row r="643" spans="1:2" x14ac:dyDescent="0.35">
      <c r="A643" s="8"/>
      <c r="B643" s="4"/>
    </row>
    <row r="644" spans="1:2" x14ac:dyDescent="0.35">
      <c r="A644" s="8"/>
      <c r="B644" s="4"/>
    </row>
    <row r="645" spans="1:2" x14ac:dyDescent="0.35">
      <c r="A645" s="8"/>
      <c r="B645" s="4"/>
    </row>
    <row r="646" spans="1:2" x14ac:dyDescent="0.35">
      <c r="A646" s="8"/>
      <c r="B646" s="4"/>
    </row>
    <row r="647" spans="1:2" x14ac:dyDescent="0.35">
      <c r="A647" s="8"/>
      <c r="B647" s="4"/>
    </row>
    <row r="648" spans="1:2" x14ac:dyDescent="0.35">
      <c r="A648" s="8"/>
      <c r="B648" s="4"/>
    </row>
    <row r="649" spans="1:2" x14ac:dyDescent="0.35">
      <c r="A649" s="8"/>
      <c r="B649" s="4"/>
    </row>
    <row r="650" spans="1:2" x14ac:dyDescent="0.35">
      <c r="A650" s="8"/>
      <c r="B650" s="4"/>
    </row>
    <row r="651" spans="1:2" x14ac:dyDescent="0.35">
      <c r="A651" s="8"/>
      <c r="B651" s="4"/>
    </row>
    <row r="652" spans="1:2" x14ac:dyDescent="0.35">
      <c r="A652" s="8"/>
      <c r="B652" s="4"/>
    </row>
    <row r="653" spans="1:2" x14ac:dyDescent="0.35">
      <c r="A653" s="8"/>
      <c r="B653" s="4"/>
    </row>
    <row r="654" spans="1:2" x14ac:dyDescent="0.35">
      <c r="A654" s="8"/>
      <c r="B654" s="4"/>
    </row>
    <row r="655" spans="1:2" x14ac:dyDescent="0.35">
      <c r="A655" s="8"/>
      <c r="B655" s="4"/>
    </row>
    <row r="656" spans="1:2" x14ac:dyDescent="0.35">
      <c r="A656" s="8"/>
      <c r="B656" s="4"/>
    </row>
    <row r="657" spans="1:2" x14ac:dyDescent="0.35">
      <c r="A657" s="8"/>
      <c r="B657" s="4"/>
    </row>
    <row r="658" spans="1:2" x14ac:dyDescent="0.35">
      <c r="A658" s="8"/>
      <c r="B658" s="4"/>
    </row>
    <row r="659" spans="1:2" x14ac:dyDescent="0.35">
      <c r="A659" s="8"/>
      <c r="B659" s="4"/>
    </row>
    <row r="660" spans="1:2" x14ac:dyDescent="0.35">
      <c r="A660" s="8"/>
      <c r="B660" s="4"/>
    </row>
    <row r="661" spans="1:2" x14ac:dyDescent="0.35">
      <c r="A661" s="8"/>
      <c r="B661" s="4"/>
    </row>
    <row r="662" spans="1:2" x14ac:dyDescent="0.35">
      <c r="A662" s="8"/>
      <c r="B662" s="4"/>
    </row>
    <row r="663" spans="1:2" x14ac:dyDescent="0.35">
      <c r="A663" s="8"/>
      <c r="B663" s="4"/>
    </row>
    <row r="664" spans="1:2" x14ac:dyDescent="0.35">
      <c r="A664" s="8"/>
      <c r="B664" s="4"/>
    </row>
    <row r="665" spans="1:2" x14ac:dyDescent="0.35">
      <c r="A665" s="8"/>
      <c r="B665" s="4"/>
    </row>
    <row r="666" spans="1:2" x14ac:dyDescent="0.35">
      <c r="A666" s="8"/>
      <c r="B666" s="4"/>
    </row>
    <row r="667" spans="1:2" x14ac:dyDescent="0.35">
      <c r="A667" s="8"/>
      <c r="B667" s="4"/>
    </row>
    <row r="668" spans="1:2" x14ac:dyDescent="0.35">
      <c r="A668" s="8"/>
      <c r="B668" s="4"/>
    </row>
    <row r="669" spans="1:2" x14ac:dyDescent="0.35">
      <c r="A669" s="8"/>
      <c r="B669" s="4"/>
    </row>
    <row r="670" spans="1:2" x14ac:dyDescent="0.35">
      <c r="A670" s="8"/>
      <c r="B670" s="4"/>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view="pageBreakPreview" zoomScale="70" zoomScaleNormal="60" zoomScaleSheetLayoutView="70" workbookViewId="0">
      <selection activeCell="Z26" sqref="Z26"/>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CategoryMap</vt:lpstr>
      <vt:lpstr>youtube_data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DisCedric</dc:creator>
  <cp:lastModifiedBy>admin</cp:lastModifiedBy>
  <dcterms:created xsi:type="dcterms:W3CDTF">2025-07-25T04:32:59Z</dcterms:created>
  <dcterms:modified xsi:type="dcterms:W3CDTF">2025-09-24T13:17:37Z</dcterms:modified>
</cp:coreProperties>
</file>